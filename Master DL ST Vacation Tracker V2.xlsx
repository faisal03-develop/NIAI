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d.docs.live.net/d6ca309930807987/Desktop/Sam/"/>
    </mc:Choice>
  </mc:AlternateContent>
  <xr:revisionPtr revIDLastSave="0" documentId="8_{C37EF024-CCD8-4AFD-A744-52F99A15B179}" xr6:coauthVersionLast="47" xr6:coauthVersionMax="47" xr10:uidLastSave="{00000000-0000-0000-0000-000000000000}"/>
  <bookViews>
    <workbookView xWindow="-28920" yWindow="-120" windowWidth="29040" windowHeight="15720" tabRatio="893" xr2:uid="{00000000-000D-0000-FFFF-FFFF00000000}"/>
  </bookViews>
  <sheets>
    <sheet name="2026 Monthly Vacation" sheetId="7" r:id="rId1"/>
    <sheet name="2025 Monthly Vacation" sheetId="26" r:id="rId2"/>
    <sheet name="Dec 2025" sheetId="10" r:id="rId3"/>
    <sheet name="Jan 2026" sheetId="14" r:id="rId4"/>
    <sheet name="Feb 2026" sheetId="15" r:id="rId5"/>
    <sheet name="Mar 2026" sheetId="16" r:id="rId6"/>
    <sheet name="April 2026" sheetId="17" r:id="rId7"/>
    <sheet name="May 2026" sheetId="18" r:id="rId8"/>
    <sheet name="June 2026" sheetId="19" r:id="rId9"/>
    <sheet name="July 2026" sheetId="20" r:id="rId10"/>
    <sheet name="Aug 2026" sheetId="21" r:id="rId11"/>
    <sheet name="Sept 2026" sheetId="22" r:id="rId12"/>
    <sheet name="Oct 2026" sheetId="23" r:id="rId13"/>
    <sheet name="Nov 2026" sheetId="24" r:id="rId14"/>
    <sheet name="Dec 2026" sheetId="25" r:id="rId15"/>
    <sheet name="2026 Time Off Request" sheetId="13" r:id="rId16"/>
    <sheet name="2025 Time Off Request" sheetId="27" r:id="rId17"/>
    <sheet name="Contract Entitlement" sheetId="11" r:id="rId18"/>
  </sheets>
  <definedNames>
    <definedName name="__bookmark_1">#REF!</definedName>
    <definedName name="_xlnm._FilterDatabase" localSheetId="16" hidden="1">'2025 Time Off Request'!$A$1:$N$423</definedName>
    <definedName name="_xlnm._FilterDatabase" localSheetId="0" hidden="1">'2026 Monthly Vacation'!$A$3:$AL$3</definedName>
    <definedName name="_xlnm._FilterDatabase" localSheetId="15" hidden="1">'2026 Time Off Request'!$A$1:$L$71</definedName>
    <definedName name="_xlnm._FilterDatabase" localSheetId="17" hidden="1">'Contract Entitlement'!$A$3:$F$3</definedName>
    <definedName name="_xlnm._FilterDatabase" localSheetId="1" hidden="1">'2025 Monthly Vacation'!$A$3:$AB$3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6" i="13" l="1"/>
  <c r="L117" i="13"/>
  <c r="L118" i="13"/>
  <c r="L119" i="13"/>
  <c r="L120" i="13"/>
  <c r="L121" i="13"/>
  <c r="L122" i="13"/>
  <c r="L123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L114" i="13"/>
  <c r="L115" i="13"/>
  <c r="L113" i="13"/>
  <c r="L105" i="13"/>
  <c r="L106" i="13"/>
  <c r="L107" i="13"/>
  <c r="L108" i="13"/>
  <c r="L109" i="13"/>
  <c r="L110" i="13"/>
  <c r="L111" i="13"/>
  <c r="L112" i="13"/>
  <c r="L97" i="13"/>
  <c r="L98" i="13"/>
  <c r="L99" i="13"/>
  <c r="L100" i="13"/>
  <c r="L101" i="13"/>
  <c r="L102" i="13"/>
  <c r="L103" i="13"/>
  <c r="L104" i="13"/>
  <c r="F25" i="25"/>
  <c r="G25" i="25"/>
  <c r="H25" i="25"/>
  <c r="I25" i="25"/>
  <c r="J25" i="25"/>
  <c r="K25" i="25"/>
  <c r="L25" i="25"/>
  <c r="M25" i="25"/>
  <c r="N25" i="25"/>
  <c r="O25" i="25"/>
  <c r="P25" i="25"/>
  <c r="Q25" i="25"/>
  <c r="R25" i="25"/>
  <c r="S25" i="25"/>
  <c r="T25" i="25"/>
  <c r="U25" i="25"/>
  <c r="V25" i="25"/>
  <c r="W25" i="25"/>
  <c r="X25" i="25"/>
  <c r="Y25" i="25"/>
  <c r="Z25" i="25"/>
  <c r="AA25" i="25"/>
  <c r="AB25" i="25"/>
  <c r="AC25" i="25"/>
  <c r="AD25" i="25"/>
  <c r="AE25" i="25"/>
  <c r="AF25" i="25"/>
  <c r="AG25" i="25"/>
  <c r="AH25" i="25"/>
  <c r="AI25" i="25"/>
  <c r="AJ25" i="25"/>
  <c r="F27" i="25"/>
  <c r="G27" i="25"/>
  <c r="H27" i="25"/>
  <c r="I27" i="25"/>
  <c r="J27" i="25"/>
  <c r="K27" i="25"/>
  <c r="L27" i="25"/>
  <c r="M27" i="25"/>
  <c r="N27" i="25"/>
  <c r="O27" i="25"/>
  <c r="P27" i="25"/>
  <c r="Q27" i="25"/>
  <c r="R27" i="25"/>
  <c r="S27" i="25"/>
  <c r="T27" i="25"/>
  <c r="U27" i="25"/>
  <c r="V27" i="25"/>
  <c r="W27" i="25"/>
  <c r="X27" i="25"/>
  <c r="Y27" i="25"/>
  <c r="Z27" i="25"/>
  <c r="AA27" i="25"/>
  <c r="AB27" i="25"/>
  <c r="AC27" i="25"/>
  <c r="AD27" i="25"/>
  <c r="AE27" i="25"/>
  <c r="AF27" i="25"/>
  <c r="AG27" i="25"/>
  <c r="AH27" i="25"/>
  <c r="AI27" i="25"/>
  <c r="AJ27" i="25"/>
  <c r="F29" i="25"/>
  <c r="G29" i="25"/>
  <c r="H29" i="25"/>
  <c r="I29" i="25"/>
  <c r="J29" i="25"/>
  <c r="K29" i="25"/>
  <c r="L29" i="25"/>
  <c r="M29" i="25"/>
  <c r="N29" i="25"/>
  <c r="O29" i="25"/>
  <c r="P29" i="25"/>
  <c r="Q29" i="25"/>
  <c r="R29" i="25"/>
  <c r="S29" i="25"/>
  <c r="T29" i="25"/>
  <c r="U29" i="25"/>
  <c r="V29" i="25"/>
  <c r="W29" i="25"/>
  <c r="X29" i="25"/>
  <c r="Y29" i="25"/>
  <c r="Z29" i="25"/>
  <c r="AA29" i="25"/>
  <c r="AB29" i="25"/>
  <c r="AC29" i="25"/>
  <c r="AD29" i="25"/>
  <c r="AE29" i="25"/>
  <c r="AF29" i="25"/>
  <c r="AG29" i="25"/>
  <c r="AH29" i="25"/>
  <c r="AI29" i="25"/>
  <c r="AJ29" i="25"/>
  <c r="F30" i="25"/>
  <c r="G30" i="25"/>
  <c r="H30" i="25"/>
  <c r="I30" i="25"/>
  <c r="J30" i="25"/>
  <c r="K30" i="25"/>
  <c r="L30" i="25"/>
  <c r="M30" i="25"/>
  <c r="N30" i="25"/>
  <c r="O30" i="25"/>
  <c r="P30" i="25"/>
  <c r="Q30" i="25"/>
  <c r="R30" i="25"/>
  <c r="S30" i="25"/>
  <c r="T30" i="25"/>
  <c r="U30" i="25"/>
  <c r="V30" i="25"/>
  <c r="W30" i="25"/>
  <c r="X30" i="25"/>
  <c r="Y30" i="25"/>
  <c r="Z30" i="25"/>
  <c r="AA30" i="25"/>
  <c r="AB30" i="25"/>
  <c r="AC30" i="25"/>
  <c r="AD30" i="25"/>
  <c r="AE30" i="25"/>
  <c r="AF30" i="25"/>
  <c r="AG30" i="25"/>
  <c r="AH30" i="25"/>
  <c r="AI30" i="25"/>
  <c r="AJ30" i="25"/>
  <c r="F24" i="24"/>
  <c r="G24" i="24"/>
  <c r="H24" i="24"/>
  <c r="I24" i="24"/>
  <c r="J24" i="24"/>
  <c r="K24" i="24"/>
  <c r="L24" i="24"/>
  <c r="M24" i="24"/>
  <c r="N24" i="24"/>
  <c r="O24" i="24"/>
  <c r="P24" i="24"/>
  <c r="Q24" i="24"/>
  <c r="R24" i="24"/>
  <c r="S24" i="24"/>
  <c r="T24" i="24"/>
  <c r="U24" i="24"/>
  <c r="V24" i="24"/>
  <c r="W24" i="24"/>
  <c r="X24" i="24"/>
  <c r="Y24" i="24"/>
  <c r="Z24" i="24"/>
  <c r="AA24" i="24"/>
  <c r="AB24" i="24"/>
  <c r="AC24" i="24"/>
  <c r="AD24" i="24"/>
  <c r="AE24" i="24"/>
  <c r="AF24" i="24"/>
  <c r="AG24" i="24"/>
  <c r="AH24" i="24"/>
  <c r="AI24" i="24"/>
  <c r="F26" i="24"/>
  <c r="G26" i="24"/>
  <c r="H26" i="24"/>
  <c r="I26" i="24"/>
  <c r="J26" i="24"/>
  <c r="K26" i="24"/>
  <c r="L26" i="24"/>
  <c r="M26" i="24"/>
  <c r="N26" i="24"/>
  <c r="O26" i="24"/>
  <c r="P26" i="24"/>
  <c r="Q26" i="24"/>
  <c r="R26" i="24"/>
  <c r="S26" i="24"/>
  <c r="T26" i="24"/>
  <c r="U26" i="24"/>
  <c r="V26" i="24"/>
  <c r="W26" i="24"/>
  <c r="X26" i="24"/>
  <c r="Y26" i="24"/>
  <c r="Z26" i="24"/>
  <c r="AA26" i="24"/>
  <c r="AB26" i="24"/>
  <c r="AC26" i="24"/>
  <c r="AD26" i="24"/>
  <c r="AE26" i="24"/>
  <c r="AF26" i="24"/>
  <c r="AG26" i="24"/>
  <c r="AH26" i="24"/>
  <c r="AI26" i="24"/>
  <c r="F28" i="24"/>
  <c r="G28" i="24"/>
  <c r="H28" i="24"/>
  <c r="I28" i="24"/>
  <c r="J28" i="24"/>
  <c r="K28" i="24"/>
  <c r="L28" i="24"/>
  <c r="M28" i="24"/>
  <c r="N28" i="24"/>
  <c r="O28" i="24"/>
  <c r="P28" i="24"/>
  <c r="Q28" i="24"/>
  <c r="R28" i="24"/>
  <c r="S28" i="24"/>
  <c r="T28" i="24"/>
  <c r="U28" i="24"/>
  <c r="V28" i="24"/>
  <c r="W28" i="24"/>
  <c r="X28" i="24"/>
  <c r="Y28" i="24"/>
  <c r="Z28" i="24"/>
  <c r="AA28" i="24"/>
  <c r="AB28" i="24"/>
  <c r="AC28" i="24"/>
  <c r="AD28" i="24"/>
  <c r="AE28" i="24"/>
  <c r="AF28" i="24"/>
  <c r="AG28" i="24"/>
  <c r="AH28" i="24"/>
  <c r="AI28" i="24"/>
  <c r="F29" i="24"/>
  <c r="G29" i="24"/>
  <c r="H29" i="24"/>
  <c r="I29" i="24"/>
  <c r="J29" i="24"/>
  <c r="K29" i="24"/>
  <c r="L29" i="24"/>
  <c r="M29" i="24"/>
  <c r="N29" i="24"/>
  <c r="O29" i="24"/>
  <c r="P29" i="24"/>
  <c r="Q29" i="24"/>
  <c r="R29" i="24"/>
  <c r="S29" i="24"/>
  <c r="T29" i="24"/>
  <c r="U29" i="24"/>
  <c r="V29" i="24"/>
  <c r="W29" i="24"/>
  <c r="X29" i="24"/>
  <c r="Y29" i="24"/>
  <c r="Z29" i="24"/>
  <c r="AA29" i="24"/>
  <c r="AB29" i="24"/>
  <c r="AC29" i="24"/>
  <c r="AD29" i="24"/>
  <c r="AE29" i="24"/>
  <c r="AF29" i="24"/>
  <c r="AG29" i="24"/>
  <c r="AH29" i="24"/>
  <c r="AI29" i="24"/>
  <c r="F24" i="23"/>
  <c r="G24" i="23"/>
  <c r="H24" i="23"/>
  <c r="I24" i="23"/>
  <c r="J24" i="23"/>
  <c r="K24" i="23"/>
  <c r="L24" i="23"/>
  <c r="M24" i="23"/>
  <c r="N24" i="23"/>
  <c r="O24" i="23"/>
  <c r="P24" i="23"/>
  <c r="Q24" i="23"/>
  <c r="R24" i="23"/>
  <c r="S24" i="23"/>
  <c r="T24" i="23"/>
  <c r="U24" i="23"/>
  <c r="V24" i="23"/>
  <c r="W24" i="23"/>
  <c r="X24" i="23"/>
  <c r="Y24" i="23"/>
  <c r="Z24" i="23"/>
  <c r="AA24" i="23"/>
  <c r="AB24" i="23"/>
  <c r="AC24" i="23"/>
  <c r="AD24" i="23"/>
  <c r="AE24" i="23"/>
  <c r="AF24" i="23"/>
  <c r="AG24" i="23"/>
  <c r="AH24" i="23"/>
  <c r="AI24" i="23"/>
  <c r="AJ24" i="23"/>
  <c r="F26" i="23"/>
  <c r="G26" i="23"/>
  <c r="H26" i="23"/>
  <c r="I26" i="23"/>
  <c r="J26" i="23"/>
  <c r="K26" i="23"/>
  <c r="L26" i="23"/>
  <c r="M26" i="23"/>
  <c r="N26" i="23"/>
  <c r="O26" i="23"/>
  <c r="P26" i="23"/>
  <c r="Q26" i="23"/>
  <c r="R26" i="23"/>
  <c r="S26" i="23"/>
  <c r="T26" i="23"/>
  <c r="U26" i="23"/>
  <c r="V26" i="23"/>
  <c r="W26" i="23"/>
  <c r="X26" i="23"/>
  <c r="Y26" i="23"/>
  <c r="Z26" i="23"/>
  <c r="AA26" i="23"/>
  <c r="AB26" i="23"/>
  <c r="AC26" i="23"/>
  <c r="AD26" i="23"/>
  <c r="AE26" i="23"/>
  <c r="AF26" i="23"/>
  <c r="AG26" i="23"/>
  <c r="AH26" i="23"/>
  <c r="AI26" i="23"/>
  <c r="AJ26" i="23"/>
  <c r="F28" i="23"/>
  <c r="G28" i="23"/>
  <c r="H28" i="23"/>
  <c r="I28" i="23"/>
  <c r="J28" i="23"/>
  <c r="K28" i="23"/>
  <c r="L28" i="23"/>
  <c r="M28" i="23"/>
  <c r="N28" i="23"/>
  <c r="O28" i="23"/>
  <c r="P28" i="23"/>
  <c r="Q28" i="23"/>
  <c r="R28" i="23"/>
  <c r="S28" i="23"/>
  <c r="T28" i="23"/>
  <c r="U28" i="23"/>
  <c r="V28" i="23"/>
  <c r="W28" i="23"/>
  <c r="X28" i="23"/>
  <c r="Y28" i="23"/>
  <c r="Z28" i="23"/>
  <c r="AA28" i="23"/>
  <c r="AB28" i="23"/>
  <c r="AC28" i="23"/>
  <c r="AD28" i="23"/>
  <c r="AE28" i="23"/>
  <c r="AF28" i="23"/>
  <c r="AG28" i="23"/>
  <c r="AH28" i="23"/>
  <c r="AI28" i="23"/>
  <c r="AJ28" i="23"/>
  <c r="F29" i="23"/>
  <c r="G29" i="23"/>
  <c r="H29" i="23"/>
  <c r="I29" i="23"/>
  <c r="J29" i="23"/>
  <c r="K29" i="23"/>
  <c r="L29" i="23"/>
  <c r="M29" i="23"/>
  <c r="N29" i="23"/>
  <c r="O29" i="23"/>
  <c r="P29" i="23"/>
  <c r="Q29" i="23"/>
  <c r="R29" i="23"/>
  <c r="S29" i="23"/>
  <c r="T29" i="23"/>
  <c r="U29" i="23"/>
  <c r="V29" i="23"/>
  <c r="W29" i="23"/>
  <c r="X29" i="23"/>
  <c r="Y29" i="23"/>
  <c r="Z29" i="23"/>
  <c r="AA29" i="23"/>
  <c r="AB29" i="23"/>
  <c r="AC29" i="23"/>
  <c r="AD29" i="23"/>
  <c r="AE29" i="23"/>
  <c r="AF29" i="23"/>
  <c r="AG29" i="23"/>
  <c r="AH29" i="23"/>
  <c r="AI29" i="23"/>
  <c r="AJ29" i="23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S24" i="22"/>
  <c r="T24" i="22"/>
  <c r="U24" i="22"/>
  <c r="V24" i="22"/>
  <c r="W24" i="22"/>
  <c r="X24" i="22"/>
  <c r="Y24" i="22"/>
  <c r="Z24" i="22"/>
  <c r="AA24" i="22"/>
  <c r="AB24" i="22"/>
  <c r="AC24" i="22"/>
  <c r="AD24" i="22"/>
  <c r="AE24" i="22"/>
  <c r="AF24" i="22"/>
  <c r="AG24" i="22"/>
  <c r="AH24" i="22"/>
  <c r="AI24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S26" i="22"/>
  <c r="T26" i="22"/>
  <c r="U26" i="22"/>
  <c r="V26" i="22"/>
  <c r="W26" i="22"/>
  <c r="X26" i="22"/>
  <c r="Y26" i="22"/>
  <c r="Z26" i="22"/>
  <c r="AA26" i="22"/>
  <c r="AB26" i="22"/>
  <c r="AC26" i="22"/>
  <c r="AD26" i="22"/>
  <c r="AE26" i="22"/>
  <c r="AF26" i="22"/>
  <c r="AG26" i="22"/>
  <c r="AH26" i="22"/>
  <c r="AI26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S28" i="22"/>
  <c r="T28" i="22"/>
  <c r="U28" i="22"/>
  <c r="V28" i="22"/>
  <c r="W28" i="22"/>
  <c r="X28" i="22"/>
  <c r="Y28" i="22"/>
  <c r="Z28" i="22"/>
  <c r="AA28" i="22"/>
  <c r="AB28" i="22"/>
  <c r="AC28" i="22"/>
  <c r="AD28" i="22"/>
  <c r="AE28" i="22"/>
  <c r="AF28" i="22"/>
  <c r="AG28" i="22"/>
  <c r="AH28" i="22"/>
  <c r="AI28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S29" i="22"/>
  <c r="T29" i="22"/>
  <c r="U29" i="22"/>
  <c r="V29" i="22"/>
  <c r="W29" i="22"/>
  <c r="X29" i="22"/>
  <c r="Y29" i="22"/>
  <c r="Z29" i="22"/>
  <c r="AA29" i="22"/>
  <c r="AB29" i="22"/>
  <c r="AC29" i="22"/>
  <c r="AD29" i="22"/>
  <c r="AE29" i="22"/>
  <c r="AF29" i="22"/>
  <c r="AG29" i="22"/>
  <c r="AH29" i="22"/>
  <c r="AI29" i="22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F24" i="20"/>
  <c r="G24" i="20"/>
  <c r="H24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AG24" i="20"/>
  <c r="AH24" i="20"/>
  <c r="AI24" i="20"/>
  <c r="AJ24" i="20"/>
  <c r="F26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AG26" i="20"/>
  <c r="AH26" i="20"/>
  <c r="AI26" i="20"/>
  <c r="AJ26" i="20"/>
  <c r="F28" i="20"/>
  <c r="G28" i="20"/>
  <c r="H28" i="20"/>
  <c r="I28" i="20"/>
  <c r="J28" i="20"/>
  <c r="K28" i="20"/>
  <c r="L28" i="20"/>
  <c r="M28" i="20"/>
  <c r="N28" i="20"/>
  <c r="O28" i="20"/>
  <c r="P28" i="20"/>
  <c r="Q28" i="20"/>
  <c r="R28" i="20"/>
  <c r="S28" i="20"/>
  <c r="T28" i="20"/>
  <c r="U28" i="20"/>
  <c r="V28" i="20"/>
  <c r="W28" i="20"/>
  <c r="X28" i="20"/>
  <c r="Y28" i="20"/>
  <c r="Z28" i="20"/>
  <c r="AA28" i="20"/>
  <c r="AB28" i="20"/>
  <c r="AC28" i="20"/>
  <c r="AD28" i="20"/>
  <c r="AE28" i="20"/>
  <c r="AF28" i="20"/>
  <c r="AG28" i="20"/>
  <c r="AH28" i="20"/>
  <c r="AI28" i="20"/>
  <c r="AJ28" i="20"/>
  <c r="F29" i="20"/>
  <c r="G29" i="20"/>
  <c r="H29" i="20"/>
  <c r="I29" i="20"/>
  <c r="J29" i="20"/>
  <c r="K29" i="20"/>
  <c r="L29" i="20"/>
  <c r="M29" i="20"/>
  <c r="N29" i="20"/>
  <c r="O29" i="20"/>
  <c r="P29" i="20"/>
  <c r="Q29" i="20"/>
  <c r="R29" i="20"/>
  <c r="S29" i="20"/>
  <c r="T29" i="20"/>
  <c r="U29" i="20"/>
  <c r="V29" i="20"/>
  <c r="W29" i="20"/>
  <c r="X29" i="20"/>
  <c r="Y29" i="20"/>
  <c r="Z29" i="20"/>
  <c r="AA29" i="20"/>
  <c r="AB29" i="20"/>
  <c r="AC29" i="20"/>
  <c r="AD29" i="20"/>
  <c r="AE29" i="20"/>
  <c r="AF29" i="20"/>
  <c r="AG29" i="20"/>
  <c r="AH29" i="20"/>
  <c r="AI29" i="20"/>
  <c r="AJ29" i="20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AA26" i="19"/>
  <c r="AB26" i="19"/>
  <c r="AC26" i="19"/>
  <c r="AD26" i="19"/>
  <c r="AE26" i="19"/>
  <c r="AF26" i="19"/>
  <c r="AG26" i="19"/>
  <c r="AH26" i="19"/>
  <c r="AI26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W28" i="19"/>
  <c r="X28" i="19"/>
  <c r="Y28" i="19"/>
  <c r="Z28" i="19"/>
  <c r="AA28" i="19"/>
  <c r="AB28" i="19"/>
  <c r="AC28" i="19"/>
  <c r="AD28" i="19"/>
  <c r="AE28" i="19"/>
  <c r="AF28" i="19"/>
  <c r="AG28" i="19"/>
  <c r="AH28" i="19"/>
  <c r="AI28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Y29" i="19"/>
  <c r="Z29" i="19"/>
  <c r="AA29" i="19"/>
  <c r="AB29" i="19"/>
  <c r="AC29" i="19"/>
  <c r="AD29" i="19"/>
  <c r="AE29" i="19"/>
  <c r="AF29" i="19"/>
  <c r="AG29" i="19"/>
  <c r="AH29" i="19"/>
  <c r="AI29" i="19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AC24" i="18"/>
  <c r="AD24" i="18"/>
  <c r="AE24" i="18"/>
  <c r="AF24" i="18"/>
  <c r="AG24" i="18"/>
  <c r="AH24" i="18"/>
  <c r="AI24" i="18"/>
  <c r="AJ24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AE26" i="18"/>
  <c r="AF26" i="18"/>
  <c r="AG26" i="18"/>
  <c r="AH26" i="18"/>
  <c r="AI26" i="18"/>
  <c r="AJ26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AD28" i="18"/>
  <c r="AE28" i="18"/>
  <c r="AF28" i="18"/>
  <c r="AG28" i="18"/>
  <c r="AH28" i="18"/>
  <c r="AI28" i="18"/>
  <c r="AJ28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AA29" i="18"/>
  <c r="AB29" i="18"/>
  <c r="AC29" i="18"/>
  <c r="AD29" i="18"/>
  <c r="AE29" i="18"/>
  <c r="AF29" i="18"/>
  <c r="AG29" i="18"/>
  <c r="AH29" i="18"/>
  <c r="AI29" i="18"/>
  <c r="AJ29" i="18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Y24" i="17"/>
  <c r="Z24" i="17"/>
  <c r="AA24" i="17"/>
  <c r="AB24" i="17"/>
  <c r="AC24" i="17"/>
  <c r="AD24" i="17"/>
  <c r="AE24" i="17"/>
  <c r="AF24" i="17"/>
  <c r="AG24" i="17"/>
  <c r="AH24" i="17"/>
  <c r="AI24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Y26" i="17"/>
  <c r="Z26" i="17"/>
  <c r="AA26" i="17"/>
  <c r="AB26" i="17"/>
  <c r="AC26" i="17"/>
  <c r="AD26" i="17"/>
  <c r="AE26" i="17"/>
  <c r="AF26" i="17"/>
  <c r="AG26" i="17"/>
  <c r="AH26" i="17"/>
  <c r="AI26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Y28" i="17"/>
  <c r="Z28" i="17"/>
  <c r="AA28" i="17"/>
  <c r="AB28" i="17"/>
  <c r="AC28" i="17"/>
  <c r="AD28" i="17"/>
  <c r="AE28" i="17"/>
  <c r="AF28" i="17"/>
  <c r="AG28" i="17"/>
  <c r="AH28" i="17"/>
  <c r="AI28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Y29" i="17"/>
  <c r="Z29" i="17"/>
  <c r="AA29" i="17"/>
  <c r="AB29" i="17"/>
  <c r="AC29" i="17"/>
  <c r="AD29" i="17"/>
  <c r="AE29" i="17"/>
  <c r="AF29" i="17"/>
  <c r="AG29" i="17"/>
  <c r="AH29" i="17"/>
  <c r="AI29" i="17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AE24" i="16"/>
  <c r="AF24" i="16"/>
  <c r="AG24" i="16"/>
  <c r="AH24" i="16"/>
  <c r="AI24" i="16"/>
  <c r="AJ24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AG26" i="16"/>
  <c r="AH26" i="16"/>
  <c r="AI26" i="16"/>
  <c r="AJ26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F24" i="15"/>
  <c r="G24" i="15"/>
  <c r="H24" i="15"/>
  <c r="I24" i="15"/>
  <c r="J24" i="15"/>
  <c r="K24" i="15"/>
  <c r="L24" i="15"/>
  <c r="M24" i="15"/>
  <c r="N24" i="15"/>
  <c r="O24" i="15"/>
  <c r="P24" i="15"/>
  <c r="Q24" i="15"/>
  <c r="R24" i="15"/>
  <c r="S24" i="15"/>
  <c r="T24" i="15"/>
  <c r="U24" i="15"/>
  <c r="V24" i="15"/>
  <c r="W24" i="15"/>
  <c r="X24" i="15"/>
  <c r="Y24" i="15"/>
  <c r="Z24" i="15"/>
  <c r="AA24" i="15"/>
  <c r="AB24" i="15"/>
  <c r="AC24" i="15"/>
  <c r="AD24" i="15"/>
  <c r="AE24" i="15"/>
  <c r="AF24" i="15"/>
  <c r="AG24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X26" i="15"/>
  <c r="Y26" i="15"/>
  <c r="Z26" i="15"/>
  <c r="AA26" i="15"/>
  <c r="AB26" i="15"/>
  <c r="AC26" i="15"/>
  <c r="AD26" i="15"/>
  <c r="AE26" i="15"/>
  <c r="AF26" i="15"/>
  <c r="AG26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Z28" i="15"/>
  <c r="AA28" i="15"/>
  <c r="AB28" i="15"/>
  <c r="AC28" i="15"/>
  <c r="AD28" i="15"/>
  <c r="AE28" i="15"/>
  <c r="AF28" i="15"/>
  <c r="AG28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Z29" i="15"/>
  <c r="AA29" i="15"/>
  <c r="AB29" i="15"/>
  <c r="AC29" i="15"/>
  <c r="AD29" i="15"/>
  <c r="AE29" i="15"/>
  <c r="AF29" i="15"/>
  <c r="AG29" i="15"/>
  <c r="N20" i="7"/>
  <c r="N22" i="7"/>
  <c r="N25" i="7"/>
  <c r="G20" i="7"/>
  <c r="H20" i="7"/>
  <c r="J20" i="7"/>
  <c r="G21" i="7"/>
  <c r="H21" i="7"/>
  <c r="J21" i="7"/>
  <c r="G22" i="7"/>
  <c r="H22" i="7"/>
  <c r="J22" i="7"/>
  <c r="G23" i="7"/>
  <c r="H23" i="7"/>
  <c r="J23" i="7"/>
  <c r="G24" i="7"/>
  <c r="H24" i="7"/>
  <c r="J24" i="7"/>
  <c r="G25" i="7"/>
  <c r="H25" i="7"/>
  <c r="J25" i="7"/>
  <c r="E20" i="7"/>
  <c r="E21" i="7"/>
  <c r="E22" i="7"/>
  <c r="E23" i="7"/>
  <c r="E24" i="7"/>
  <c r="E25" i="7"/>
  <c r="I22" i="11"/>
  <c r="I20" i="11"/>
  <c r="I25" i="11"/>
  <c r="L92" i="13"/>
  <c r="L93" i="13"/>
  <c r="L94" i="13"/>
  <c r="L95" i="13"/>
  <c r="L96" i="13"/>
  <c r="L85" i="13"/>
  <c r="L86" i="13"/>
  <c r="L87" i="13"/>
  <c r="L88" i="13"/>
  <c r="L89" i="13"/>
  <c r="L90" i="13"/>
  <c r="J25" i="17" s="1"/>
  <c r="L91" i="13"/>
  <c r="F36" i="25"/>
  <c r="G36" i="25"/>
  <c r="H36" i="25"/>
  <c r="I36" i="25"/>
  <c r="J36" i="25"/>
  <c r="K36" i="25"/>
  <c r="L36" i="25"/>
  <c r="M36" i="25"/>
  <c r="N36" i="25"/>
  <c r="O36" i="25"/>
  <c r="P36" i="25"/>
  <c r="Q36" i="25"/>
  <c r="R36" i="25"/>
  <c r="S36" i="25"/>
  <c r="T36" i="25"/>
  <c r="U36" i="25"/>
  <c r="V36" i="25"/>
  <c r="W36" i="25"/>
  <c r="X36" i="25"/>
  <c r="Y36" i="25"/>
  <c r="Z36" i="25"/>
  <c r="AA36" i="25"/>
  <c r="AB36" i="25"/>
  <c r="AC36" i="25"/>
  <c r="AD36" i="25"/>
  <c r="AE36" i="25"/>
  <c r="AF36" i="25"/>
  <c r="AG36" i="25"/>
  <c r="AH36" i="25"/>
  <c r="AI36" i="25"/>
  <c r="AJ36" i="25"/>
  <c r="F35" i="24"/>
  <c r="G35" i="24"/>
  <c r="H35" i="24"/>
  <c r="I35" i="24"/>
  <c r="J35" i="24"/>
  <c r="K35" i="24"/>
  <c r="L35" i="24"/>
  <c r="M35" i="24"/>
  <c r="N35" i="24"/>
  <c r="O35" i="24"/>
  <c r="P35" i="24"/>
  <c r="Q35" i="24"/>
  <c r="R35" i="24"/>
  <c r="S35" i="24"/>
  <c r="T35" i="24"/>
  <c r="U35" i="24"/>
  <c r="V35" i="24"/>
  <c r="W35" i="24"/>
  <c r="X35" i="24"/>
  <c r="Y35" i="24"/>
  <c r="Z35" i="24"/>
  <c r="AA35" i="24"/>
  <c r="AB35" i="24"/>
  <c r="AC35" i="24"/>
  <c r="AD35" i="24"/>
  <c r="AE35" i="24"/>
  <c r="AF35" i="24"/>
  <c r="AG35" i="24"/>
  <c r="AH35" i="24"/>
  <c r="AI35" i="24"/>
  <c r="F35" i="23"/>
  <c r="G35" i="23"/>
  <c r="H35" i="23"/>
  <c r="I35" i="23"/>
  <c r="J35" i="23"/>
  <c r="K35" i="23"/>
  <c r="L35" i="23"/>
  <c r="M35" i="23"/>
  <c r="N35" i="23"/>
  <c r="O35" i="23"/>
  <c r="P35" i="23"/>
  <c r="Q35" i="23"/>
  <c r="R35" i="23"/>
  <c r="S35" i="23"/>
  <c r="T35" i="23"/>
  <c r="U35" i="23"/>
  <c r="V35" i="23"/>
  <c r="W35" i="23"/>
  <c r="X35" i="23"/>
  <c r="Y35" i="23"/>
  <c r="Z35" i="23"/>
  <c r="AA35" i="23"/>
  <c r="AB35" i="23"/>
  <c r="AC35" i="23"/>
  <c r="AD35" i="23"/>
  <c r="AE35" i="23"/>
  <c r="AF35" i="23"/>
  <c r="AG35" i="23"/>
  <c r="AH35" i="23"/>
  <c r="AI35" i="23"/>
  <c r="AJ35" i="23"/>
  <c r="F35" i="22"/>
  <c r="G35" i="22"/>
  <c r="H35" i="22"/>
  <c r="I35" i="22"/>
  <c r="J35" i="22"/>
  <c r="K35" i="22"/>
  <c r="L35" i="22"/>
  <c r="M35" i="22"/>
  <c r="N35" i="22"/>
  <c r="O35" i="22"/>
  <c r="P35" i="22"/>
  <c r="Q35" i="22"/>
  <c r="R35" i="22"/>
  <c r="S35" i="22"/>
  <c r="T35" i="22"/>
  <c r="U35" i="22"/>
  <c r="V35" i="22"/>
  <c r="W35" i="22"/>
  <c r="X35" i="22"/>
  <c r="Y35" i="22"/>
  <c r="Z35" i="22"/>
  <c r="AA35" i="22"/>
  <c r="AB35" i="22"/>
  <c r="AC35" i="22"/>
  <c r="AD35" i="22"/>
  <c r="AE35" i="22"/>
  <c r="AF35" i="22"/>
  <c r="AG35" i="22"/>
  <c r="AH35" i="22"/>
  <c r="AI35" i="22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F35" i="20"/>
  <c r="G35" i="20"/>
  <c r="H35" i="20"/>
  <c r="I35" i="20"/>
  <c r="J35" i="20"/>
  <c r="K35" i="20"/>
  <c r="L35" i="20"/>
  <c r="M35" i="20"/>
  <c r="N35" i="20"/>
  <c r="O35" i="20"/>
  <c r="P35" i="20"/>
  <c r="Q35" i="20"/>
  <c r="R35" i="20"/>
  <c r="S35" i="20"/>
  <c r="T35" i="20"/>
  <c r="U35" i="20"/>
  <c r="V35" i="20"/>
  <c r="W35" i="20"/>
  <c r="X35" i="20"/>
  <c r="Y35" i="20"/>
  <c r="Z35" i="20"/>
  <c r="AA35" i="20"/>
  <c r="AB35" i="20"/>
  <c r="AC35" i="20"/>
  <c r="AD35" i="20"/>
  <c r="AE35" i="20"/>
  <c r="AF35" i="20"/>
  <c r="AG35" i="20"/>
  <c r="AH35" i="20"/>
  <c r="AI35" i="20"/>
  <c r="AJ35" i="20"/>
  <c r="F35" i="19"/>
  <c r="G35" i="19"/>
  <c r="H35" i="19"/>
  <c r="I35" i="19"/>
  <c r="J35" i="19"/>
  <c r="K35" i="19"/>
  <c r="L35" i="19"/>
  <c r="M35" i="19"/>
  <c r="N35" i="19"/>
  <c r="O35" i="19"/>
  <c r="P35" i="19"/>
  <c r="Q35" i="19"/>
  <c r="R35" i="19"/>
  <c r="S35" i="19"/>
  <c r="T35" i="19"/>
  <c r="U35" i="19"/>
  <c r="V35" i="19"/>
  <c r="W35" i="19"/>
  <c r="X35" i="19"/>
  <c r="Y35" i="19"/>
  <c r="Z35" i="19"/>
  <c r="AA35" i="19"/>
  <c r="AB35" i="19"/>
  <c r="AC35" i="19"/>
  <c r="AD35" i="19"/>
  <c r="AE35" i="19"/>
  <c r="AF35" i="19"/>
  <c r="AG35" i="19"/>
  <c r="AH35" i="19"/>
  <c r="AI35" i="19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AA35" i="18"/>
  <c r="AB35" i="18"/>
  <c r="AC35" i="18"/>
  <c r="AD35" i="18"/>
  <c r="AE35" i="18"/>
  <c r="AF35" i="18"/>
  <c r="AG35" i="18"/>
  <c r="AH35" i="18"/>
  <c r="AI35" i="18"/>
  <c r="AJ35" i="18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Y35" i="17"/>
  <c r="Z35" i="17"/>
  <c r="AA35" i="17"/>
  <c r="AB35" i="17"/>
  <c r="AC35" i="17"/>
  <c r="AD35" i="17"/>
  <c r="AE35" i="17"/>
  <c r="AF35" i="17"/>
  <c r="AG35" i="17"/>
  <c r="AH35" i="17"/>
  <c r="AI35" i="17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AJ35" i="16"/>
  <c r="F35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AG35" i="15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I31" i="11"/>
  <c r="G31" i="7"/>
  <c r="J31" i="7"/>
  <c r="E31" i="7"/>
  <c r="H31" i="7" s="1"/>
  <c r="L81" i="13"/>
  <c r="L82" i="13"/>
  <c r="L83" i="13"/>
  <c r="L84" i="13"/>
  <c r="L72" i="13"/>
  <c r="L73" i="13"/>
  <c r="L74" i="13"/>
  <c r="L75" i="13"/>
  <c r="L76" i="13"/>
  <c r="L77" i="13"/>
  <c r="L78" i="13"/>
  <c r="L79" i="13"/>
  <c r="L80" i="13"/>
  <c r="H2" i="27"/>
  <c r="H3" i="27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E9" i="7"/>
  <c r="J41" i="7"/>
  <c r="J40" i="7"/>
  <c r="J39" i="7"/>
  <c r="J38" i="7"/>
  <c r="J37" i="7"/>
  <c r="J36" i="7"/>
  <c r="J35" i="7"/>
  <c r="J33" i="7"/>
  <c r="J32" i="7"/>
  <c r="J30" i="7"/>
  <c r="J29" i="7"/>
  <c r="J28" i="7"/>
  <c r="J27" i="7"/>
  <c r="J26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4" i="7"/>
  <c r="G41" i="7"/>
  <c r="G40" i="7"/>
  <c r="G39" i="7"/>
  <c r="G38" i="7"/>
  <c r="G37" i="7"/>
  <c r="G36" i="7"/>
  <c r="G35" i="7"/>
  <c r="G34" i="7"/>
  <c r="G33" i="7"/>
  <c r="G32" i="7"/>
  <c r="G30" i="7"/>
  <c r="G29" i="7"/>
  <c r="G28" i="7"/>
  <c r="G27" i="7"/>
  <c r="G26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H9" i="7"/>
  <c r="E41" i="7"/>
  <c r="H41" i="7" s="1"/>
  <c r="E40" i="7"/>
  <c r="H40" i="7" s="1"/>
  <c r="E39" i="7"/>
  <c r="H39" i="7" s="1"/>
  <c r="E38" i="7"/>
  <c r="H38" i="7" s="1"/>
  <c r="E37" i="7"/>
  <c r="H37" i="7" s="1"/>
  <c r="E36" i="7"/>
  <c r="H36" i="7" s="1"/>
  <c r="E35" i="7"/>
  <c r="H35" i="7" s="1"/>
  <c r="E34" i="7"/>
  <c r="H34" i="7" s="1"/>
  <c r="E33" i="7"/>
  <c r="H33" i="7" s="1"/>
  <c r="E32" i="7"/>
  <c r="H32" i="7" s="1"/>
  <c r="E30" i="7"/>
  <c r="E29" i="7"/>
  <c r="E28" i="7"/>
  <c r="E27" i="7"/>
  <c r="H27" i="7" s="1"/>
  <c r="E26" i="7"/>
  <c r="H26" i="7" s="1"/>
  <c r="E19" i="7"/>
  <c r="H19" i="7" s="1"/>
  <c r="E18" i="7"/>
  <c r="H18" i="7" s="1"/>
  <c r="E17" i="7"/>
  <c r="H17" i="7" s="1"/>
  <c r="E16" i="7"/>
  <c r="H16" i="7" s="1"/>
  <c r="E15" i="7"/>
  <c r="H15" i="7" s="1"/>
  <c r="E14" i="7"/>
  <c r="H14" i="7" s="1"/>
  <c r="E13" i="7"/>
  <c r="H13" i="7" s="1"/>
  <c r="E12" i="7"/>
  <c r="E11" i="7"/>
  <c r="E10" i="7"/>
  <c r="E8" i="7"/>
  <c r="H8" i="7" s="1"/>
  <c r="E7" i="7"/>
  <c r="H7" i="7" s="1"/>
  <c r="E6" i="7"/>
  <c r="H6" i="7" s="1"/>
  <c r="E5" i="7"/>
  <c r="H5" i="7" s="1"/>
  <c r="E4" i="7"/>
  <c r="H4" i="7" s="1"/>
  <c r="J6" i="26"/>
  <c r="J4" i="26"/>
  <c r="J33" i="26"/>
  <c r="J22" i="26"/>
  <c r="J23" i="26"/>
  <c r="J10" i="26"/>
  <c r="J9" i="26"/>
  <c r="J7" i="26"/>
  <c r="J13" i="26"/>
  <c r="J12" i="26"/>
  <c r="J35" i="26"/>
  <c r="J15" i="26"/>
  <c r="J34" i="26"/>
  <c r="J37" i="26"/>
  <c r="J36" i="26"/>
  <c r="J20" i="26"/>
  <c r="J32" i="26"/>
  <c r="J31" i="26"/>
  <c r="J30" i="26"/>
  <c r="J29" i="26"/>
  <c r="J28" i="26"/>
  <c r="J27" i="26"/>
  <c r="J26" i="26"/>
  <c r="J18" i="26"/>
  <c r="J14" i="26"/>
  <c r="J16" i="26"/>
  <c r="J17" i="26"/>
  <c r="J11" i="26"/>
  <c r="J21" i="26"/>
  <c r="J24" i="26"/>
  <c r="J25" i="26"/>
  <c r="J5" i="26"/>
  <c r="J19" i="26"/>
  <c r="J8" i="26"/>
  <c r="J39" i="26" s="1"/>
  <c r="H11" i="26"/>
  <c r="G6" i="26"/>
  <c r="G4" i="26"/>
  <c r="G33" i="26"/>
  <c r="G22" i="26"/>
  <c r="G23" i="26"/>
  <c r="G10" i="26"/>
  <c r="G9" i="26"/>
  <c r="G7" i="26"/>
  <c r="G13" i="26"/>
  <c r="G12" i="26"/>
  <c r="G35" i="26"/>
  <c r="G15" i="26"/>
  <c r="G34" i="26"/>
  <c r="G37" i="26"/>
  <c r="G36" i="26"/>
  <c r="G20" i="26"/>
  <c r="G32" i="26"/>
  <c r="G31" i="26"/>
  <c r="G30" i="26"/>
  <c r="G29" i="26"/>
  <c r="G28" i="26"/>
  <c r="G27" i="26"/>
  <c r="G26" i="26"/>
  <c r="G18" i="26"/>
  <c r="G14" i="26"/>
  <c r="G16" i="26"/>
  <c r="G17" i="26"/>
  <c r="G21" i="26"/>
  <c r="G24" i="26"/>
  <c r="G25" i="26"/>
  <c r="G5" i="26"/>
  <c r="G19" i="26"/>
  <c r="G8" i="26"/>
  <c r="E6" i="26"/>
  <c r="H6" i="26" s="1"/>
  <c r="E4" i="26"/>
  <c r="H4" i="26" s="1"/>
  <c r="E33" i="26"/>
  <c r="H33" i="26" s="1"/>
  <c r="E22" i="26"/>
  <c r="H22" i="26" s="1"/>
  <c r="E23" i="26"/>
  <c r="H23" i="26" s="1"/>
  <c r="E10" i="26"/>
  <c r="E9" i="26"/>
  <c r="E7" i="26"/>
  <c r="H7" i="26" s="1"/>
  <c r="E13" i="26"/>
  <c r="H13" i="26" s="1"/>
  <c r="E12" i="26"/>
  <c r="H12" i="26" s="1"/>
  <c r="E35" i="26"/>
  <c r="H35" i="26" s="1"/>
  <c r="E15" i="26"/>
  <c r="H15" i="26" s="1"/>
  <c r="E34" i="26"/>
  <c r="H34" i="26" s="1"/>
  <c r="E37" i="26"/>
  <c r="E36" i="26"/>
  <c r="H36" i="26" s="1"/>
  <c r="E20" i="26"/>
  <c r="H20" i="26" s="1"/>
  <c r="E32" i="26"/>
  <c r="H32" i="26" s="1"/>
  <c r="E31" i="26"/>
  <c r="H31" i="26" s="1"/>
  <c r="E30" i="26"/>
  <c r="H30" i="26" s="1"/>
  <c r="E29" i="26"/>
  <c r="H29" i="26" s="1"/>
  <c r="E28" i="26"/>
  <c r="E27" i="26"/>
  <c r="E26" i="26"/>
  <c r="H26" i="26" s="1"/>
  <c r="E18" i="26"/>
  <c r="H18" i="26" s="1"/>
  <c r="E14" i="26"/>
  <c r="H14" i="26" s="1"/>
  <c r="E16" i="26"/>
  <c r="H16" i="26" s="1"/>
  <c r="E17" i="26"/>
  <c r="H17" i="26" s="1"/>
  <c r="E21" i="26"/>
  <c r="H21" i="26" s="1"/>
  <c r="E24" i="26"/>
  <c r="H24" i="26" s="1"/>
  <c r="E25" i="26"/>
  <c r="H25" i="26" s="1"/>
  <c r="E5" i="26"/>
  <c r="H5" i="26" s="1"/>
  <c r="E19" i="26"/>
  <c r="H19" i="26" s="1"/>
  <c r="E8" i="26"/>
  <c r="H8" i="26" s="1"/>
  <c r="H24" i="11"/>
  <c r="I24" i="11"/>
  <c r="A39" i="26"/>
  <c r="A43" i="7"/>
  <c r="F8" i="14"/>
  <c r="L2" i="27"/>
  <c r="N2" i="27" s="1"/>
  <c r="L92" i="27"/>
  <c r="N92" i="27" s="1"/>
  <c r="L93" i="27"/>
  <c r="N93" i="27" s="1"/>
  <c r="L94" i="27"/>
  <c r="N94" i="27" s="1"/>
  <c r="L95" i="27"/>
  <c r="N95" i="27" s="1"/>
  <c r="L96" i="27"/>
  <c r="N96" i="27" s="1"/>
  <c r="L97" i="27"/>
  <c r="N97" i="27" s="1"/>
  <c r="L98" i="27"/>
  <c r="N98" i="27" s="1"/>
  <c r="L99" i="27"/>
  <c r="N99" i="27" s="1"/>
  <c r="L100" i="27"/>
  <c r="N100" i="27" s="1"/>
  <c r="L101" i="27"/>
  <c r="N101" i="27" s="1"/>
  <c r="L102" i="27"/>
  <c r="N102" i="27" s="1"/>
  <c r="L103" i="27"/>
  <c r="N103" i="27" s="1"/>
  <c r="L104" i="27"/>
  <c r="N104" i="27" s="1"/>
  <c r="L105" i="27"/>
  <c r="N105" i="27" s="1"/>
  <c r="L106" i="27"/>
  <c r="N106" i="27" s="1"/>
  <c r="L107" i="27"/>
  <c r="N107" i="27" s="1"/>
  <c r="L108" i="27"/>
  <c r="N108" i="27" s="1"/>
  <c r="L109" i="27"/>
  <c r="N109" i="27" s="1"/>
  <c r="L110" i="27"/>
  <c r="N110" i="27" s="1"/>
  <c r="L111" i="27"/>
  <c r="N111" i="27" s="1"/>
  <c r="L112" i="27"/>
  <c r="N112" i="27" s="1"/>
  <c r="L113" i="27"/>
  <c r="N113" i="27" s="1"/>
  <c r="L114" i="27"/>
  <c r="N114" i="27" s="1"/>
  <c r="L115" i="27"/>
  <c r="N115" i="27" s="1"/>
  <c r="L116" i="27"/>
  <c r="N116" i="27" s="1"/>
  <c r="L117" i="27"/>
  <c r="N117" i="27" s="1"/>
  <c r="L118" i="27"/>
  <c r="N118" i="27" s="1"/>
  <c r="L119" i="27"/>
  <c r="N119" i="27" s="1"/>
  <c r="L120" i="27"/>
  <c r="N120" i="27" s="1"/>
  <c r="L121" i="27"/>
  <c r="N121" i="27" s="1"/>
  <c r="L122" i="27"/>
  <c r="N122" i="27" s="1"/>
  <c r="L123" i="27"/>
  <c r="N123" i="27" s="1"/>
  <c r="L124" i="27"/>
  <c r="N124" i="27" s="1"/>
  <c r="L125" i="27"/>
  <c r="N125" i="27" s="1"/>
  <c r="L126" i="27"/>
  <c r="N126" i="27" s="1"/>
  <c r="L127" i="27"/>
  <c r="N127" i="27" s="1"/>
  <c r="L128" i="27"/>
  <c r="N128" i="27" s="1"/>
  <c r="L129" i="27"/>
  <c r="N129" i="27" s="1"/>
  <c r="L130" i="27"/>
  <c r="N130" i="27" s="1"/>
  <c r="L131" i="27"/>
  <c r="N131" i="27" s="1"/>
  <c r="L132" i="27"/>
  <c r="N132" i="27" s="1"/>
  <c r="L133" i="27"/>
  <c r="N133" i="27" s="1"/>
  <c r="L134" i="27"/>
  <c r="N134" i="27" s="1"/>
  <c r="L135" i="27"/>
  <c r="N135" i="27" s="1"/>
  <c r="L136" i="27"/>
  <c r="N136" i="27" s="1"/>
  <c r="L137" i="27"/>
  <c r="N137" i="27" s="1"/>
  <c r="L138" i="27"/>
  <c r="N138" i="27" s="1"/>
  <c r="L139" i="27"/>
  <c r="N139" i="27" s="1"/>
  <c r="L140" i="27"/>
  <c r="N140" i="27" s="1"/>
  <c r="L141" i="27"/>
  <c r="N141" i="27" s="1"/>
  <c r="L142" i="27"/>
  <c r="N142" i="27" s="1"/>
  <c r="L143" i="27"/>
  <c r="N143" i="27" s="1"/>
  <c r="L144" i="27"/>
  <c r="N144" i="27" s="1"/>
  <c r="L145" i="27"/>
  <c r="N145" i="27" s="1"/>
  <c r="L146" i="27"/>
  <c r="N146" i="27" s="1"/>
  <c r="L147" i="27"/>
  <c r="N147" i="27" s="1"/>
  <c r="L148" i="27"/>
  <c r="N148" i="27" s="1"/>
  <c r="L149" i="27"/>
  <c r="N149" i="27" s="1"/>
  <c r="L150" i="27"/>
  <c r="N150" i="27" s="1"/>
  <c r="L151" i="27"/>
  <c r="N151" i="27" s="1"/>
  <c r="L152" i="27"/>
  <c r="N152" i="27" s="1"/>
  <c r="L153" i="27"/>
  <c r="N153" i="27" s="1"/>
  <c r="L154" i="27"/>
  <c r="N154" i="27" s="1"/>
  <c r="L155" i="27"/>
  <c r="N155" i="27" s="1"/>
  <c r="L156" i="27"/>
  <c r="N156" i="27" s="1"/>
  <c r="L157" i="27"/>
  <c r="N157" i="27" s="1"/>
  <c r="L158" i="27"/>
  <c r="N158" i="27" s="1"/>
  <c r="L159" i="27"/>
  <c r="N159" i="27" s="1"/>
  <c r="L160" i="27"/>
  <c r="N160" i="27" s="1"/>
  <c r="L161" i="27"/>
  <c r="N161" i="27" s="1"/>
  <c r="L162" i="27"/>
  <c r="N162" i="27" s="1"/>
  <c r="L163" i="27"/>
  <c r="N163" i="27" s="1"/>
  <c r="L164" i="27"/>
  <c r="N164" i="27" s="1"/>
  <c r="L165" i="27"/>
  <c r="N165" i="27" s="1"/>
  <c r="L166" i="27"/>
  <c r="N166" i="27" s="1"/>
  <c r="L167" i="27"/>
  <c r="N167" i="27" s="1"/>
  <c r="L168" i="27"/>
  <c r="N168" i="27" s="1"/>
  <c r="L169" i="27"/>
  <c r="N169" i="27" s="1"/>
  <c r="L170" i="27"/>
  <c r="N170" i="27" s="1"/>
  <c r="L171" i="27"/>
  <c r="N171" i="27" s="1"/>
  <c r="L172" i="27"/>
  <c r="N172" i="27" s="1"/>
  <c r="L173" i="27"/>
  <c r="N173" i="27" s="1"/>
  <c r="L174" i="27"/>
  <c r="N174" i="27" s="1"/>
  <c r="L175" i="27"/>
  <c r="N175" i="27" s="1"/>
  <c r="L176" i="27"/>
  <c r="N176" i="27" s="1"/>
  <c r="L177" i="27"/>
  <c r="N177" i="27" s="1"/>
  <c r="L178" i="27"/>
  <c r="N178" i="27" s="1"/>
  <c r="L179" i="27"/>
  <c r="N179" i="27" s="1"/>
  <c r="L180" i="27"/>
  <c r="N180" i="27" s="1"/>
  <c r="L181" i="27"/>
  <c r="N181" i="27" s="1"/>
  <c r="L182" i="27"/>
  <c r="N182" i="27" s="1"/>
  <c r="L183" i="27"/>
  <c r="N183" i="27" s="1"/>
  <c r="L184" i="27"/>
  <c r="N184" i="27" s="1"/>
  <c r="L185" i="27"/>
  <c r="N185" i="27" s="1"/>
  <c r="L186" i="27"/>
  <c r="N186" i="27" s="1"/>
  <c r="L187" i="27"/>
  <c r="N187" i="27" s="1"/>
  <c r="L188" i="27"/>
  <c r="N188" i="27" s="1"/>
  <c r="L189" i="27"/>
  <c r="N189" i="27" s="1"/>
  <c r="L190" i="27"/>
  <c r="N190" i="27" s="1"/>
  <c r="L191" i="27"/>
  <c r="N191" i="27" s="1"/>
  <c r="L192" i="27"/>
  <c r="N192" i="27" s="1"/>
  <c r="L193" i="27"/>
  <c r="N193" i="27" s="1"/>
  <c r="L194" i="27"/>
  <c r="N194" i="27" s="1"/>
  <c r="L195" i="27"/>
  <c r="N195" i="27" s="1"/>
  <c r="L196" i="27"/>
  <c r="N196" i="27" s="1"/>
  <c r="L197" i="27"/>
  <c r="N197" i="27" s="1"/>
  <c r="L198" i="27"/>
  <c r="N198" i="27" s="1"/>
  <c r="L199" i="27"/>
  <c r="N199" i="27" s="1"/>
  <c r="L200" i="27"/>
  <c r="N200" i="27" s="1"/>
  <c r="L201" i="27"/>
  <c r="N201" i="27" s="1"/>
  <c r="L202" i="27"/>
  <c r="N202" i="27" s="1"/>
  <c r="L203" i="27"/>
  <c r="N203" i="27" s="1"/>
  <c r="L204" i="27"/>
  <c r="N204" i="27" s="1"/>
  <c r="L205" i="27"/>
  <c r="N205" i="27" s="1"/>
  <c r="L206" i="27"/>
  <c r="N206" i="27" s="1"/>
  <c r="L207" i="27"/>
  <c r="N207" i="27" s="1"/>
  <c r="L208" i="27"/>
  <c r="N208" i="27" s="1"/>
  <c r="L209" i="27"/>
  <c r="N209" i="27" s="1"/>
  <c r="L210" i="27"/>
  <c r="N210" i="27" s="1"/>
  <c r="L211" i="27"/>
  <c r="N211" i="27" s="1"/>
  <c r="L212" i="27"/>
  <c r="N212" i="27" s="1"/>
  <c r="L213" i="27"/>
  <c r="N213" i="27" s="1"/>
  <c r="L214" i="27"/>
  <c r="N214" i="27" s="1"/>
  <c r="L215" i="27"/>
  <c r="N215" i="27" s="1"/>
  <c r="L216" i="27"/>
  <c r="N216" i="27" s="1"/>
  <c r="L217" i="27"/>
  <c r="N217" i="27" s="1"/>
  <c r="L218" i="27"/>
  <c r="N218" i="27" s="1"/>
  <c r="L219" i="27"/>
  <c r="N219" i="27" s="1"/>
  <c r="L220" i="27"/>
  <c r="N220" i="27" s="1"/>
  <c r="L221" i="27"/>
  <c r="N221" i="27" s="1"/>
  <c r="L222" i="27"/>
  <c r="N222" i="27" s="1"/>
  <c r="L223" i="27"/>
  <c r="N223" i="27" s="1"/>
  <c r="L224" i="27"/>
  <c r="N224" i="27" s="1"/>
  <c r="L225" i="27"/>
  <c r="N225" i="27" s="1"/>
  <c r="L226" i="27"/>
  <c r="N226" i="27" s="1"/>
  <c r="L227" i="27"/>
  <c r="N227" i="27" s="1"/>
  <c r="L228" i="27"/>
  <c r="N228" i="27" s="1"/>
  <c r="L229" i="27"/>
  <c r="N229" i="27" s="1"/>
  <c r="L230" i="27"/>
  <c r="N230" i="27" s="1"/>
  <c r="L231" i="27"/>
  <c r="N231" i="27" s="1"/>
  <c r="L232" i="27"/>
  <c r="N232" i="27" s="1"/>
  <c r="L233" i="27"/>
  <c r="N233" i="27" s="1"/>
  <c r="L234" i="27"/>
  <c r="N234" i="27" s="1"/>
  <c r="L235" i="27"/>
  <c r="N235" i="27" s="1"/>
  <c r="L236" i="27"/>
  <c r="N236" i="27" s="1"/>
  <c r="L237" i="27"/>
  <c r="N237" i="27" s="1"/>
  <c r="L238" i="27"/>
  <c r="N238" i="27" s="1"/>
  <c r="L239" i="27"/>
  <c r="N239" i="27" s="1"/>
  <c r="L240" i="27"/>
  <c r="N240" i="27" s="1"/>
  <c r="L241" i="27"/>
  <c r="N241" i="27" s="1"/>
  <c r="L242" i="27"/>
  <c r="N242" i="27" s="1"/>
  <c r="L243" i="27"/>
  <c r="N243" i="27" s="1"/>
  <c r="L244" i="27"/>
  <c r="N244" i="27" s="1"/>
  <c r="L245" i="27"/>
  <c r="N245" i="27" s="1"/>
  <c r="L246" i="27"/>
  <c r="N246" i="27" s="1"/>
  <c r="L247" i="27"/>
  <c r="N247" i="27" s="1"/>
  <c r="L248" i="27"/>
  <c r="N248" i="27" s="1"/>
  <c r="L249" i="27"/>
  <c r="N249" i="27" s="1"/>
  <c r="L250" i="27"/>
  <c r="N250" i="27" s="1"/>
  <c r="L251" i="27"/>
  <c r="N251" i="27" s="1"/>
  <c r="L252" i="27"/>
  <c r="N252" i="27" s="1"/>
  <c r="L253" i="27"/>
  <c r="N253" i="27" s="1"/>
  <c r="L254" i="27"/>
  <c r="N254" i="27" s="1"/>
  <c r="L255" i="27"/>
  <c r="N255" i="27" s="1"/>
  <c r="L256" i="27"/>
  <c r="N256" i="27" s="1"/>
  <c r="L257" i="27"/>
  <c r="N257" i="27" s="1"/>
  <c r="L258" i="27"/>
  <c r="N258" i="27" s="1"/>
  <c r="L259" i="27"/>
  <c r="N259" i="27" s="1"/>
  <c r="L260" i="27"/>
  <c r="N260" i="27" s="1"/>
  <c r="L261" i="27"/>
  <c r="N261" i="27" s="1"/>
  <c r="L262" i="27"/>
  <c r="N262" i="27" s="1"/>
  <c r="L263" i="27"/>
  <c r="N263" i="27" s="1"/>
  <c r="L264" i="27"/>
  <c r="N264" i="27" s="1"/>
  <c r="L265" i="27"/>
  <c r="N265" i="27" s="1"/>
  <c r="L266" i="27"/>
  <c r="N266" i="27" s="1"/>
  <c r="L267" i="27"/>
  <c r="N267" i="27" s="1"/>
  <c r="L268" i="27"/>
  <c r="N268" i="27" s="1"/>
  <c r="L269" i="27"/>
  <c r="N269" i="27" s="1"/>
  <c r="L270" i="27"/>
  <c r="N270" i="27" s="1"/>
  <c r="L271" i="27"/>
  <c r="N271" i="27" s="1"/>
  <c r="L272" i="27"/>
  <c r="N272" i="27" s="1"/>
  <c r="L273" i="27"/>
  <c r="N273" i="27" s="1"/>
  <c r="L274" i="27"/>
  <c r="N274" i="27" s="1"/>
  <c r="L275" i="27"/>
  <c r="N275" i="27" s="1"/>
  <c r="L276" i="27"/>
  <c r="N276" i="27" s="1"/>
  <c r="L277" i="27"/>
  <c r="N277" i="27" s="1"/>
  <c r="L278" i="27"/>
  <c r="N278" i="27" s="1"/>
  <c r="L279" i="27"/>
  <c r="N279" i="27" s="1"/>
  <c r="L280" i="27"/>
  <c r="N280" i="27" s="1"/>
  <c r="L281" i="27"/>
  <c r="N281" i="27" s="1"/>
  <c r="L282" i="27"/>
  <c r="N282" i="27" s="1"/>
  <c r="L283" i="27"/>
  <c r="N283" i="27" s="1"/>
  <c r="L284" i="27"/>
  <c r="N284" i="27" s="1"/>
  <c r="L285" i="27"/>
  <c r="N285" i="27" s="1"/>
  <c r="L286" i="27"/>
  <c r="N286" i="27" s="1"/>
  <c r="L287" i="27"/>
  <c r="N287" i="27" s="1"/>
  <c r="L288" i="27"/>
  <c r="N288" i="27" s="1"/>
  <c r="L289" i="27"/>
  <c r="N289" i="27" s="1"/>
  <c r="L290" i="27"/>
  <c r="N290" i="27" s="1"/>
  <c r="L291" i="27"/>
  <c r="N291" i="27" s="1"/>
  <c r="L292" i="27"/>
  <c r="N292" i="27" s="1"/>
  <c r="L293" i="27"/>
  <c r="N293" i="27" s="1"/>
  <c r="L294" i="27"/>
  <c r="N294" i="27" s="1"/>
  <c r="L295" i="27"/>
  <c r="N295" i="27" s="1"/>
  <c r="L296" i="27"/>
  <c r="N296" i="27" s="1"/>
  <c r="L297" i="27"/>
  <c r="N297" i="27" s="1"/>
  <c r="L298" i="27"/>
  <c r="N298" i="27" s="1"/>
  <c r="L299" i="27"/>
  <c r="N299" i="27" s="1"/>
  <c r="L300" i="27"/>
  <c r="N300" i="27" s="1"/>
  <c r="L301" i="27"/>
  <c r="N301" i="27" s="1"/>
  <c r="L302" i="27"/>
  <c r="N302" i="27" s="1"/>
  <c r="L303" i="27"/>
  <c r="N303" i="27" s="1"/>
  <c r="L304" i="27"/>
  <c r="N304" i="27" s="1"/>
  <c r="L305" i="27"/>
  <c r="N305" i="27" s="1"/>
  <c r="L306" i="27"/>
  <c r="N306" i="27" s="1"/>
  <c r="L307" i="27"/>
  <c r="N307" i="27" s="1"/>
  <c r="L308" i="27"/>
  <c r="N308" i="27" s="1"/>
  <c r="L309" i="27"/>
  <c r="N309" i="27" s="1"/>
  <c r="L310" i="27"/>
  <c r="N310" i="27" s="1"/>
  <c r="L311" i="27"/>
  <c r="N311" i="27" s="1"/>
  <c r="L312" i="27"/>
  <c r="N312" i="27" s="1"/>
  <c r="L313" i="27"/>
  <c r="N313" i="27" s="1"/>
  <c r="L314" i="27"/>
  <c r="N314" i="27" s="1"/>
  <c r="L315" i="27"/>
  <c r="N315" i="27" s="1"/>
  <c r="L316" i="27"/>
  <c r="N316" i="27" s="1"/>
  <c r="L317" i="27"/>
  <c r="N317" i="27" s="1"/>
  <c r="L318" i="27"/>
  <c r="N318" i="27" s="1"/>
  <c r="L319" i="27"/>
  <c r="N319" i="27" s="1"/>
  <c r="L320" i="27"/>
  <c r="N320" i="27" s="1"/>
  <c r="L321" i="27"/>
  <c r="N321" i="27" s="1"/>
  <c r="L322" i="27"/>
  <c r="N322" i="27" s="1"/>
  <c r="L323" i="27"/>
  <c r="N323" i="27" s="1"/>
  <c r="L324" i="27"/>
  <c r="N324" i="27" s="1"/>
  <c r="L325" i="27"/>
  <c r="N325" i="27" s="1"/>
  <c r="L326" i="27"/>
  <c r="N326" i="27" s="1"/>
  <c r="L327" i="27"/>
  <c r="N327" i="27" s="1"/>
  <c r="L328" i="27"/>
  <c r="N328" i="27" s="1"/>
  <c r="L329" i="27"/>
  <c r="N329" i="27" s="1"/>
  <c r="L330" i="27"/>
  <c r="N330" i="27" s="1"/>
  <c r="L331" i="27"/>
  <c r="N331" i="27" s="1"/>
  <c r="L332" i="27"/>
  <c r="N332" i="27" s="1"/>
  <c r="L333" i="27"/>
  <c r="N333" i="27" s="1"/>
  <c r="L334" i="27"/>
  <c r="N334" i="27" s="1"/>
  <c r="L335" i="27"/>
  <c r="N335" i="27" s="1"/>
  <c r="L336" i="27"/>
  <c r="N336" i="27" s="1"/>
  <c r="L337" i="27"/>
  <c r="N337" i="27" s="1"/>
  <c r="L338" i="27"/>
  <c r="N338" i="27" s="1"/>
  <c r="L339" i="27"/>
  <c r="N339" i="27" s="1"/>
  <c r="L340" i="27"/>
  <c r="N340" i="27" s="1"/>
  <c r="L341" i="27"/>
  <c r="N341" i="27" s="1"/>
  <c r="L342" i="27"/>
  <c r="N342" i="27" s="1"/>
  <c r="L343" i="27"/>
  <c r="N343" i="27" s="1"/>
  <c r="L344" i="27"/>
  <c r="N344" i="27" s="1"/>
  <c r="L345" i="27"/>
  <c r="N345" i="27" s="1"/>
  <c r="L346" i="27"/>
  <c r="N346" i="27" s="1"/>
  <c r="L347" i="27"/>
  <c r="N347" i="27" s="1"/>
  <c r="L348" i="27"/>
  <c r="N348" i="27" s="1"/>
  <c r="L349" i="27"/>
  <c r="N349" i="27" s="1"/>
  <c r="L350" i="27"/>
  <c r="N350" i="27" s="1"/>
  <c r="L351" i="27"/>
  <c r="N351" i="27" s="1"/>
  <c r="L352" i="27"/>
  <c r="N352" i="27" s="1"/>
  <c r="L353" i="27"/>
  <c r="N353" i="27" s="1"/>
  <c r="L354" i="27"/>
  <c r="N354" i="27" s="1"/>
  <c r="L355" i="27"/>
  <c r="N355" i="27" s="1"/>
  <c r="L356" i="27"/>
  <c r="N356" i="27" s="1"/>
  <c r="L357" i="27"/>
  <c r="N357" i="27" s="1"/>
  <c r="L358" i="27"/>
  <c r="N358" i="27" s="1"/>
  <c r="L359" i="27"/>
  <c r="N359" i="27" s="1"/>
  <c r="L360" i="27"/>
  <c r="N360" i="27" s="1"/>
  <c r="L361" i="27"/>
  <c r="N361" i="27" s="1"/>
  <c r="L362" i="27"/>
  <c r="N362" i="27" s="1"/>
  <c r="L363" i="27"/>
  <c r="N363" i="27" s="1"/>
  <c r="L364" i="27"/>
  <c r="N364" i="27" s="1"/>
  <c r="L365" i="27"/>
  <c r="N365" i="27" s="1"/>
  <c r="L366" i="27"/>
  <c r="N366" i="27" s="1"/>
  <c r="L367" i="27"/>
  <c r="N367" i="27" s="1"/>
  <c r="L368" i="27"/>
  <c r="N368" i="27" s="1"/>
  <c r="L369" i="27"/>
  <c r="N369" i="27" s="1"/>
  <c r="L370" i="27"/>
  <c r="N370" i="27" s="1"/>
  <c r="L371" i="27"/>
  <c r="N371" i="27" s="1"/>
  <c r="L372" i="27"/>
  <c r="N372" i="27" s="1"/>
  <c r="L373" i="27"/>
  <c r="N373" i="27" s="1"/>
  <c r="L374" i="27"/>
  <c r="N374" i="27" s="1"/>
  <c r="L375" i="27"/>
  <c r="N375" i="27" s="1"/>
  <c r="L376" i="27"/>
  <c r="N376" i="27" s="1"/>
  <c r="L377" i="27"/>
  <c r="N377" i="27" s="1"/>
  <c r="L378" i="27"/>
  <c r="N378" i="27" s="1"/>
  <c r="L379" i="27"/>
  <c r="N379" i="27" s="1"/>
  <c r="L380" i="27"/>
  <c r="N380" i="27" s="1"/>
  <c r="L381" i="27"/>
  <c r="N381" i="27" s="1"/>
  <c r="L382" i="27"/>
  <c r="N382" i="27" s="1"/>
  <c r="L383" i="27"/>
  <c r="N383" i="27" s="1"/>
  <c r="L384" i="27"/>
  <c r="N384" i="27" s="1"/>
  <c r="L385" i="27"/>
  <c r="N385" i="27" s="1"/>
  <c r="L386" i="27"/>
  <c r="N386" i="27" s="1"/>
  <c r="L387" i="27"/>
  <c r="N387" i="27" s="1"/>
  <c r="L388" i="27"/>
  <c r="N388" i="27" s="1"/>
  <c r="L389" i="27"/>
  <c r="N389" i="27" s="1"/>
  <c r="L390" i="27"/>
  <c r="N390" i="27" s="1"/>
  <c r="L391" i="27"/>
  <c r="N391" i="27" s="1"/>
  <c r="L392" i="27"/>
  <c r="N392" i="27" s="1"/>
  <c r="L393" i="27"/>
  <c r="N393" i="27" s="1"/>
  <c r="L394" i="27"/>
  <c r="N394" i="27" s="1"/>
  <c r="L395" i="27"/>
  <c r="N395" i="27" s="1"/>
  <c r="L396" i="27"/>
  <c r="N396" i="27" s="1"/>
  <c r="L397" i="27"/>
  <c r="N397" i="27" s="1"/>
  <c r="L398" i="27"/>
  <c r="N398" i="27" s="1"/>
  <c r="L399" i="27"/>
  <c r="N399" i="27" s="1"/>
  <c r="L400" i="27"/>
  <c r="N400" i="27" s="1"/>
  <c r="L401" i="27"/>
  <c r="N401" i="27" s="1"/>
  <c r="L402" i="27"/>
  <c r="N402" i="27" s="1"/>
  <c r="L403" i="27"/>
  <c r="N403" i="27" s="1"/>
  <c r="L404" i="27"/>
  <c r="N404" i="27" s="1"/>
  <c r="L405" i="27"/>
  <c r="N405" i="27" s="1"/>
  <c r="L406" i="27"/>
  <c r="N406" i="27" s="1"/>
  <c r="L407" i="27"/>
  <c r="N407" i="27" s="1"/>
  <c r="L408" i="27"/>
  <c r="N408" i="27" s="1"/>
  <c r="L409" i="27"/>
  <c r="N409" i="27" s="1"/>
  <c r="L410" i="27"/>
  <c r="N410" i="27" s="1"/>
  <c r="L411" i="27"/>
  <c r="N411" i="27" s="1"/>
  <c r="L412" i="27"/>
  <c r="N412" i="27" s="1"/>
  <c r="L413" i="27"/>
  <c r="N413" i="27" s="1"/>
  <c r="L414" i="27"/>
  <c r="N414" i="27" s="1"/>
  <c r="L415" i="27"/>
  <c r="N415" i="27" s="1"/>
  <c r="L416" i="27"/>
  <c r="N416" i="27" s="1"/>
  <c r="L417" i="27"/>
  <c r="N417" i="27" s="1"/>
  <c r="L418" i="27"/>
  <c r="N418" i="27" s="1"/>
  <c r="L419" i="27"/>
  <c r="N419" i="27" s="1"/>
  <c r="L420" i="27"/>
  <c r="N420" i="27" s="1"/>
  <c r="L421" i="27"/>
  <c r="N421" i="27" s="1"/>
  <c r="L422" i="27"/>
  <c r="N422" i="27" s="1"/>
  <c r="H422" i="27"/>
  <c r="H421" i="27"/>
  <c r="H420" i="27"/>
  <c r="H419" i="27"/>
  <c r="H418" i="27"/>
  <c r="H417" i="27"/>
  <c r="H416" i="27"/>
  <c r="H415" i="27"/>
  <c r="H414" i="27"/>
  <c r="H413" i="27"/>
  <c r="H412" i="27"/>
  <c r="H411" i="27"/>
  <c r="H410" i="27"/>
  <c r="H409" i="27"/>
  <c r="H408" i="27"/>
  <c r="H407" i="27"/>
  <c r="H406" i="27"/>
  <c r="H405" i="27"/>
  <c r="H404" i="27"/>
  <c r="H403" i="27"/>
  <c r="H402" i="27"/>
  <c r="H401" i="27"/>
  <c r="H400" i="27"/>
  <c r="H399" i="27"/>
  <c r="H398" i="27"/>
  <c r="H397" i="27"/>
  <c r="H396" i="27"/>
  <c r="H395" i="27"/>
  <c r="H394" i="27"/>
  <c r="H393" i="27"/>
  <c r="H392" i="27"/>
  <c r="H391" i="27"/>
  <c r="H390" i="27"/>
  <c r="H389" i="27"/>
  <c r="H388" i="27"/>
  <c r="H387" i="27"/>
  <c r="H386" i="27"/>
  <c r="H385" i="27"/>
  <c r="H384" i="27"/>
  <c r="H383" i="27"/>
  <c r="H382" i="27"/>
  <c r="H381" i="27"/>
  <c r="H380" i="27"/>
  <c r="H379" i="27"/>
  <c r="H378" i="27"/>
  <c r="H377" i="27"/>
  <c r="H376" i="27"/>
  <c r="H375" i="27"/>
  <c r="H374" i="27"/>
  <c r="H373" i="27"/>
  <c r="H372" i="27"/>
  <c r="H371" i="27"/>
  <c r="H370" i="27"/>
  <c r="H369" i="27"/>
  <c r="H368" i="27"/>
  <c r="H367" i="27"/>
  <c r="H366" i="27"/>
  <c r="H365" i="27"/>
  <c r="H364" i="27"/>
  <c r="H363" i="27"/>
  <c r="H362" i="27"/>
  <c r="H361" i="27"/>
  <c r="H360" i="27"/>
  <c r="H359" i="27"/>
  <c r="H358" i="27"/>
  <c r="H357" i="27"/>
  <c r="H356" i="27"/>
  <c r="H355" i="27"/>
  <c r="H354" i="27"/>
  <c r="H353" i="27"/>
  <c r="H352" i="27"/>
  <c r="H351" i="27"/>
  <c r="H350" i="27"/>
  <c r="H349" i="27"/>
  <c r="H348" i="27"/>
  <c r="H347" i="27"/>
  <c r="H346" i="27"/>
  <c r="H345" i="27"/>
  <c r="H344" i="27"/>
  <c r="H343" i="27"/>
  <c r="H342" i="27"/>
  <c r="H341" i="27"/>
  <c r="H340" i="27"/>
  <c r="H339" i="27"/>
  <c r="H338" i="27"/>
  <c r="H337" i="27"/>
  <c r="H336" i="27"/>
  <c r="H335" i="27"/>
  <c r="H334" i="27"/>
  <c r="H333" i="27"/>
  <c r="H332" i="27"/>
  <c r="H331" i="27"/>
  <c r="H330" i="27"/>
  <c r="H329" i="27"/>
  <c r="H328" i="27"/>
  <c r="H327" i="27"/>
  <c r="H326" i="27"/>
  <c r="H325" i="27"/>
  <c r="H324" i="27"/>
  <c r="H323" i="27"/>
  <c r="H322" i="27"/>
  <c r="H321" i="27"/>
  <c r="H320" i="27"/>
  <c r="H319" i="27"/>
  <c r="H318" i="27"/>
  <c r="H317" i="27"/>
  <c r="H316" i="27"/>
  <c r="H315" i="27"/>
  <c r="H314" i="27"/>
  <c r="H313" i="27"/>
  <c r="H312" i="27"/>
  <c r="H311" i="27"/>
  <c r="H310" i="27"/>
  <c r="H309" i="27"/>
  <c r="H308" i="27"/>
  <c r="H307" i="27"/>
  <c r="H306" i="27"/>
  <c r="H305" i="27"/>
  <c r="H304" i="27"/>
  <c r="H303" i="27"/>
  <c r="H302" i="27"/>
  <c r="H301" i="27"/>
  <c r="H300" i="27"/>
  <c r="H299" i="27"/>
  <c r="H298" i="27"/>
  <c r="H297" i="27"/>
  <c r="H296" i="27"/>
  <c r="H295" i="27"/>
  <c r="H294" i="27"/>
  <c r="H293" i="27"/>
  <c r="H292" i="27"/>
  <c r="H291" i="27"/>
  <c r="H290" i="27"/>
  <c r="H289" i="27"/>
  <c r="H288" i="27"/>
  <c r="H287" i="27"/>
  <c r="H286" i="27"/>
  <c r="H285" i="27"/>
  <c r="H284" i="27"/>
  <c r="H283" i="27"/>
  <c r="H282" i="27"/>
  <c r="H281" i="27"/>
  <c r="H280" i="27"/>
  <c r="H279" i="27"/>
  <c r="H278" i="27"/>
  <c r="H277" i="27"/>
  <c r="H276" i="27"/>
  <c r="H275" i="27"/>
  <c r="H274" i="27"/>
  <c r="H273" i="27"/>
  <c r="H272" i="27"/>
  <c r="H271" i="27"/>
  <c r="H270" i="27"/>
  <c r="H269" i="27"/>
  <c r="H268" i="27"/>
  <c r="H267" i="27"/>
  <c r="H266" i="27"/>
  <c r="H265" i="27"/>
  <c r="H264" i="27"/>
  <c r="H263" i="27"/>
  <c r="H262" i="27"/>
  <c r="H261" i="27"/>
  <c r="H260" i="27"/>
  <c r="H259" i="27"/>
  <c r="H258" i="27"/>
  <c r="H257" i="27"/>
  <c r="H256" i="27"/>
  <c r="H255" i="27"/>
  <c r="H254" i="27"/>
  <c r="H253" i="27"/>
  <c r="H252" i="27"/>
  <c r="H251" i="27"/>
  <c r="H250" i="27"/>
  <c r="H249" i="27"/>
  <c r="H248" i="27"/>
  <c r="H247" i="27"/>
  <c r="H246" i="27"/>
  <c r="H245" i="27"/>
  <c r="H244" i="27"/>
  <c r="H243" i="27"/>
  <c r="H242" i="27"/>
  <c r="H241" i="27"/>
  <c r="H240" i="27"/>
  <c r="H239" i="27"/>
  <c r="H238" i="27"/>
  <c r="H237" i="27"/>
  <c r="H236" i="27"/>
  <c r="H235" i="27"/>
  <c r="H234" i="27"/>
  <c r="H233" i="27"/>
  <c r="H232" i="27"/>
  <c r="H231" i="27"/>
  <c r="H230" i="27"/>
  <c r="H229" i="27"/>
  <c r="H228" i="27"/>
  <c r="H227" i="27"/>
  <c r="H226" i="27"/>
  <c r="H225" i="27"/>
  <c r="H224" i="27"/>
  <c r="H223" i="27"/>
  <c r="H222" i="27"/>
  <c r="H221" i="27"/>
  <c r="H220" i="27"/>
  <c r="H219" i="27"/>
  <c r="H218" i="27"/>
  <c r="H217" i="27"/>
  <c r="H216" i="27"/>
  <c r="H215" i="27"/>
  <c r="H214" i="27"/>
  <c r="H213" i="27"/>
  <c r="H212" i="27"/>
  <c r="H211" i="27"/>
  <c r="H210" i="27"/>
  <c r="H209" i="27"/>
  <c r="H208" i="27"/>
  <c r="H207" i="27"/>
  <c r="H206" i="27"/>
  <c r="H205" i="27"/>
  <c r="H204" i="27"/>
  <c r="H203" i="27"/>
  <c r="H202" i="27"/>
  <c r="H201" i="27"/>
  <c r="H200" i="27"/>
  <c r="H199" i="27"/>
  <c r="H198" i="27"/>
  <c r="H197" i="27"/>
  <c r="H196" i="27"/>
  <c r="H195" i="27"/>
  <c r="H194" i="27"/>
  <c r="H193" i="27"/>
  <c r="H192" i="27"/>
  <c r="H191" i="27"/>
  <c r="H190" i="27"/>
  <c r="H189" i="27"/>
  <c r="H188" i="27"/>
  <c r="H187" i="27"/>
  <c r="H186" i="27"/>
  <c r="H185" i="27"/>
  <c r="H184" i="27"/>
  <c r="H183" i="27"/>
  <c r="H182" i="27"/>
  <c r="H181" i="27"/>
  <c r="H180" i="27"/>
  <c r="H179" i="27"/>
  <c r="H178" i="27"/>
  <c r="H177" i="27"/>
  <c r="H176" i="27"/>
  <c r="H175" i="27"/>
  <c r="H174" i="27"/>
  <c r="H173" i="27"/>
  <c r="H172" i="27"/>
  <c r="H171" i="27"/>
  <c r="H170" i="27"/>
  <c r="H169" i="27"/>
  <c r="H168" i="27"/>
  <c r="H167" i="27"/>
  <c r="H166" i="27"/>
  <c r="H165" i="27"/>
  <c r="H164" i="27"/>
  <c r="H163" i="27"/>
  <c r="H162" i="27"/>
  <c r="H161" i="27"/>
  <c r="H160" i="27"/>
  <c r="H159" i="27"/>
  <c r="H158" i="27"/>
  <c r="H157" i="27"/>
  <c r="H156" i="27"/>
  <c r="H155" i="27"/>
  <c r="H154" i="27"/>
  <c r="H153" i="27"/>
  <c r="H152" i="27"/>
  <c r="H151" i="27"/>
  <c r="H150" i="27"/>
  <c r="H149" i="27"/>
  <c r="H148" i="27"/>
  <c r="H147" i="27"/>
  <c r="H146" i="27"/>
  <c r="H145" i="27"/>
  <c r="H144" i="27"/>
  <c r="H143" i="27"/>
  <c r="H142" i="27"/>
  <c r="H141" i="27"/>
  <c r="H140" i="27"/>
  <c r="H139" i="27"/>
  <c r="H138" i="27"/>
  <c r="H137" i="27"/>
  <c r="H136" i="27"/>
  <c r="H135" i="27"/>
  <c r="H134" i="27"/>
  <c r="H133" i="27"/>
  <c r="H132" i="27"/>
  <c r="H131" i="27"/>
  <c r="H130" i="27"/>
  <c r="H129" i="27"/>
  <c r="H128" i="27"/>
  <c r="H127" i="27"/>
  <c r="H126" i="27"/>
  <c r="H125" i="27"/>
  <c r="H124" i="27"/>
  <c r="H123" i="27"/>
  <c r="H122" i="27"/>
  <c r="H121" i="27"/>
  <c r="H120" i="27"/>
  <c r="H119" i="27"/>
  <c r="H118" i="27"/>
  <c r="H117" i="27"/>
  <c r="H116" i="27"/>
  <c r="H115" i="27"/>
  <c r="H114" i="27"/>
  <c r="H113" i="27"/>
  <c r="H112" i="27"/>
  <c r="H111" i="27"/>
  <c r="H110" i="27"/>
  <c r="H109" i="27"/>
  <c r="H108" i="27"/>
  <c r="H107" i="27"/>
  <c r="H106" i="27"/>
  <c r="H105" i="27"/>
  <c r="H104" i="27"/>
  <c r="H103" i="27"/>
  <c r="H102" i="27"/>
  <c r="H101" i="27"/>
  <c r="H100" i="27"/>
  <c r="H99" i="27"/>
  <c r="H98" i="27"/>
  <c r="H97" i="27"/>
  <c r="H96" i="27"/>
  <c r="H95" i="27"/>
  <c r="H94" i="27"/>
  <c r="H93" i="27"/>
  <c r="H92" i="27"/>
  <c r="H91" i="27"/>
  <c r="H90" i="27"/>
  <c r="H89" i="27"/>
  <c r="H88" i="27"/>
  <c r="H87" i="27"/>
  <c r="H86" i="27"/>
  <c r="H85" i="27"/>
  <c r="H84" i="27"/>
  <c r="H83" i="27"/>
  <c r="L91" i="27"/>
  <c r="N91" i="27" s="1"/>
  <c r="L90" i="27"/>
  <c r="N90" i="27" s="1"/>
  <c r="L89" i="27"/>
  <c r="N89" i="27" s="1"/>
  <c r="L88" i="27"/>
  <c r="N88" i="27" s="1"/>
  <c r="L87" i="27"/>
  <c r="N87" i="27" s="1"/>
  <c r="L86" i="27"/>
  <c r="N86" i="27" s="1"/>
  <c r="L85" i="27"/>
  <c r="N85" i="27" s="1"/>
  <c r="L84" i="27"/>
  <c r="N84" i="27" s="1"/>
  <c r="L83" i="27"/>
  <c r="N83" i="27" s="1"/>
  <c r="L82" i="27"/>
  <c r="N82" i="27" s="1"/>
  <c r="L81" i="27"/>
  <c r="N81" i="27" s="1"/>
  <c r="L80" i="27"/>
  <c r="N80" i="27" s="1"/>
  <c r="L79" i="27"/>
  <c r="N79" i="27" s="1"/>
  <c r="L78" i="27"/>
  <c r="N78" i="27" s="1"/>
  <c r="L77" i="27"/>
  <c r="N77" i="27" s="1"/>
  <c r="L76" i="27"/>
  <c r="N76" i="27" s="1"/>
  <c r="L75" i="27"/>
  <c r="N75" i="27" s="1"/>
  <c r="L74" i="27"/>
  <c r="N74" i="27" s="1"/>
  <c r="L73" i="27"/>
  <c r="N73" i="27" s="1"/>
  <c r="L72" i="27"/>
  <c r="N72" i="27" s="1"/>
  <c r="L71" i="27"/>
  <c r="N71" i="27" s="1"/>
  <c r="L70" i="27"/>
  <c r="N70" i="27" s="1"/>
  <c r="L69" i="27"/>
  <c r="N69" i="27" s="1"/>
  <c r="L68" i="27"/>
  <c r="N68" i="27" s="1"/>
  <c r="L67" i="27"/>
  <c r="N67" i="27" s="1"/>
  <c r="L66" i="27"/>
  <c r="N66" i="27" s="1"/>
  <c r="L65" i="27"/>
  <c r="N65" i="27" s="1"/>
  <c r="L64" i="27"/>
  <c r="N64" i="27" s="1"/>
  <c r="L63" i="27"/>
  <c r="N63" i="27" s="1"/>
  <c r="L62" i="27"/>
  <c r="N62" i="27" s="1"/>
  <c r="L61" i="27"/>
  <c r="N61" i="27" s="1"/>
  <c r="L60" i="27"/>
  <c r="N60" i="27" s="1"/>
  <c r="L59" i="27"/>
  <c r="N59" i="27" s="1"/>
  <c r="L58" i="27"/>
  <c r="N58" i="27" s="1"/>
  <c r="L57" i="27"/>
  <c r="N57" i="27" s="1"/>
  <c r="L56" i="27"/>
  <c r="N56" i="27" s="1"/>
  <c r="L55" i="27"/>
  <c r="N55" i="27" s="1"/>
  <c r="L54" i="27"/>
  <c r="N54" i="27" s="1"/>
  <c r="L53" i="27"/>
  <c r="N53" i="27" s="1"/>
  <c r="L52" i="27"/>
  <c r="N52" i="27" s="1"/>
  <c r="L51" i="27"/>
  <c r="N51" i="27" s="1"/>
  <c r="L50" i="27"/>
  <c r="N50" i="27" s="1"/>
  <c r="L49" i="27"/>
  <c r="N49" i="27" s="1"/>
  <c r="L48" i="27"/>
  <c r="N48" i="27" s="1"/>
  <c r="L47" i="27"/>
  <c r="N47" i="27" s="1"/>
  <c r="L46" i="27"/>
  <c r="N46" i="27" s="1"/>
  <c r="L45" i="27"/>
  <c r="N45" i="27" s="1"/>
  <c r="L44" i="27"/>
  <c r="N44" i="27" s="1"/>
  <c r="L43" i="27"/>
  <c r="N43" i="27" s="1"/>
  <c r="L42" i="27"/>
  <c r="N42" i="27" s="1"/>
  <c r="L41" i="27"/>
  <c r="N41" i="27" s="1"/>
  <c r="L40" i="27"/>
  <c r="N40" i="27" s="1"/>
  <c r="L39" i="27"/>
  <c r="N39" i="27" s="1"/>
  <c r="L38" i="27"/>
  <c r="N38" i="27" s="1"/>
  <c r="L37" i="27"/>
  <c r="N37" i="27" s="1"/>
  <c r="L36" i="27"/>
  <c r="N36" i="27" s="1"/>
  <c r="L35" i="27"/>
  <c r="N35" i="27" s="1"/>
  <c r="L34" i="27"/>
  <c r="N34" i="27" s="1"/>
  <c r="L33" i="27"/>
  <c r="N33" i="27" s="1"/>
  <c r="L32" i="27"/>
  <c r="N32" i="27" s="1"/>
  <c r="L31" i="27"/>
  <c r="N31" i="27" s="1"/>
  <c r="L30" i="27"/>
  <c r="N30" i="27" s="1"/>
  <c r="L29" i="27"/>
  <c r="N29" i="27" s="1"/>
  <c r="L28" i="27"/>
  <c r="N28" i="27" s="1"/>
  <c r="L27" i="27"/>
  <c r="N27" i="27" s="1"/>
  <c r="L26" i="27"/>
  <c r="N26" i="27" s="1"/>
  <c r="L25" i="27"/>
  <c r="N25" i="27" s="1"/>
  <c r="L24" i="27"/>
  <c r="N24" i="27" s="1"/>
  <c r="L23" i="27"/>
  <c r="N23" i="27" s="1"/>
  <c r="L22" i="27"/>
  <c r="N22" i="27" s="1"/>
  <c r="L21" i="27"/>
  <c r="N21" i="27" s="1"/>
  <c r="L20" i="27"/>
  <c r="N20" i="27" s="1"/>
  <c r="L19" i="27"/>
  <c r="N19" i="27" s="1"/>
  <c r="L18" i="27"/>
  <c r="N18" i="27" s="1"/>
  <c r="L17" i="27"/>
  <c r="N17" i="27" s="1"/>
  <c r="L16" i="27"/>
  <c r="N16" i="27" s="1"/>
  <c r="L15" i="27"/>
  <c r="N15" i="27" s="1"/>
  <c r="L14" i="27"/>
  <c r="N14" i="27" s="1"/>
  <c r="L13" i="27"/>
  <c r="N13" i="27" s="1"/>
  <c r="L12" i="27"/>
  <c r="N12" i="27" s="1"/>
  <c r="L11" i="27"/>
  <c r="N11" i="27" s="1"/>
  <c r="L10" i="27"/>
  <c r="N10" i="27" s="1"/>
  <c r="L9" i="27"/>
  <c r="N9" i="27" s="1"/>
  <c r="L8" i="27"/>
  <c r="N8" i="27" s="1"/>
  <c r="L7" i="27"/>
  <c r="N7" i="27" s="1"/>
  <c r="L6" i="27"/>
  <c r="N6" i="27" s="1"/>
  <c r="L5" i="27"/>
  <c r="N5" i="27" s="1"/>
  <c r="L4" i="27"/>
  <c r="N4" i="27" s="1"/>
  <c r="L3" i="27"/>
  <c r="N3" i="27" s="1"/>
  <c r="AA10" i="10"/>
  <c r="AB10" i="10"/>
  <c r="AC10" i="10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1" i="11"/>
  <c r="I23" i="11"/>
  <c r="I26" i="11"/>
  <c r="I27" i="11"/>
  <c r="I28" i="11"/>
  <c r="I29" i="11"/>
  <c r="I30" i="11"/>
  <c r="I32" i="11"/>
  <c r="I33" i="11"/>
  <c r="I34" i="11"/>
  <c r="I35" i="11"/>
  <c r="I36" i="11"/>
  <c r="I37" i="11"/>
  <c r="I38" i="11"/>
  <c r="I39" i="11"/>
  <c r="I40" i="11"/>
  <c r="I41" i="11"/>
  <c r="I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1" i="11"/>
  <c r="H23" i="11"/>
  <c r="H26" i="11"/>
  <c r="H27" i="11"/>
  <c r="H28" i="11"/>
  <c r="H29" i="11"/>
  <c r="H30" i="11"/>
  <c r="H32" i="11"/>
  <c r="H33" i="11"/>
  <c r="H34" i="11"/>
  <c r="H35" i="11"/>
  <c r="H36" i="11"/>
  <c r="H37" i="11"/>
  <c r="H38" i="11"/>
  <c r="H39" i="11"/>
  <c r="H40" i="11"/>
  <c r="H41" i="11"/>
  <c r="H5" i="11"/>
  <c r="H4" i="11"/>
  <c r="I4" i="11" s="1"/>
  <c r="AJ46" i="25"/>
  <c r="AI46" i="25"/>
  <c r="AH46" i="25"/>
  <c r="AG46" i="25"/>
  <c r="AF46" i="25"/>
  <c r="AE46" i="25"/>
  <c r="AD46" i="25"/>
  <c r="AC46" i="25"/>
  <c r="AB46" i="25"/>
  <c r="AA46" i="25"/>
  <c r="Z46" i="25"/>
  <c r="Y46" i="25"/>
  <c r="X46" i="25"/>
  <c r="W46" i="25"/>
  <c r="V46" i="25"/>
  <c r="U46" i="25"/>
  <c r="T46" i="25"/>
  <c r="S46" i="25"/>
  <c r="R46" i="25"/>
  <c r="Q46" i="25"/>
  <c r="P46" i="25"/>
  <c r="O46" i="25"/>
  <c r="N46" i="25"/>
  <c r="M46" i="25"/>
  <c r="L46" i="25"/>
  <c r="K46" i="25"/>
  <c r="J46" i="25"/>
  <c r="I46" i="25"/>
  <c r="H46" i="25"/>
  <c r="G46" i="25"/>
  <c r="F46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AJ24" i="25"/>
  <c r="AI24" i="25"/>
  <c r="AH24" i="25"/>
  <c r="AG24" i="25"/>
  <c r="AF24" i="25"/>
  <c r="AE24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AJ13" i="25"/>
  <c r="AI13" i="25"/>
  <c r="AH13" i="25"/>
  <c r="AG13" i="25"/>
  <c r="AF13" i="25"/>
  <c r="AE13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AJ10" i="25"/>
  <c r="AI10" i="25"/>
  <c r="AH10" i="25"/>
  <c r="AG10" i="25"/>
  <c r="AF10" i="25"/>
  <c r="AE10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AJ8" i="25"/>
  <c r="AI8" i="25"/>
  <c r="AH8" i="25"/>
  <c r="AG8" i="25"/>
  <c r="AF8" i="25"/>
  <c r="AE8" i="25"/>
  <c r="AD8" i="25"/>
  <c r="AC8" i="25"/>
  <c r="AB8" i="25"/>
  <c r="AA8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AJ2" i="25"/>
  <c r="AI2" i="25"/>
  <c r="AH2" i="25"/>
  <c r="AG2" i="25"/>
  <c r="AF2" i="25"/>
  <c r="AE2" i="25"/>
  <c r="AD2" i="25"/>
  <c r="AC2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I2" i="25"/>
  <c r="H2" i="25"/>
  <c r="G2" i="25"/>
  <c r="F2" i="25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AI13" i="24"/>
  <c r="AH13" i="24"/>
  <c r="AG13" i="24"/>
  <c r="AF13" i="24"/>
  <c r="AE13" i="24"/>
  <c r="AD13" i="24"/>
  <c r="AC13" i="24"/>
  <c r="AB13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AI10" i="24"/>
  <c r="AH10" i="24"/>
  <c r="AG10" i="24"/>
  <c r="AF10" i="24"/>
  <c r="AE10" i="24"/>
  <c r="AD10" i="24"/>
  <c r="AC10" i="24"/>
  <c r="AB10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AI8" i="24"/>
  <c r="AH8" i="24"/>
  <c r="AG8" i="24"/>
  <c r="AF8" i="24"/>
  <c r="AE8" i="24"/>
  <c r="AD8" i="24"/>
  <c r="AC8" i="24"/>
  <c r="AB8" i="24"/>
  <c r="AA8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F8" i="24"/>
  <c r="AI2" i="24"/>
  <c r="AH2" i="24"/>
  <c r="AG2" i="24"/>
  <c r="AF2" i="24"/>
  <c r="AE2" i="24"/>
  <c r="AD2" i="24"/>
  <c r="AC2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I2" i="24"/>
  <c r="H2" i="24"/>
  <c r="G2" i="24"/>
  <c r="F2" i="24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AJ13" i="23"/>
  <c r="AI13" i="23"/>
  <c r="AH13" i="23"/>
  <c r="AG13" i="23"/>
  <c r="AF13" i="23"/>
  <c r="AE13" i="23"/>
  <c r="AD13" i="23"/>
  <c r="AC13" i="23"/>
  <c r="AB13" i="23"/>
  <c r="AA13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AJ10" i="23"/>
  <c r="AI10" i="23"/>
  <c r="AH10" i="23"/>
  <c r="AG10" i="23"/>
  <c r="AF10" i="23"/>
  <c r="AE10" i="23"/>
  <c r="AD10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AJ8" i="23"/>
  <c r="AI8" i="23"/>
  <c r="AH8" i="23"/>
  <c r="AG8" i="23"/>
  <c r="AF8" i="23"/>
  <c r="AE8" i="23"/>
  <c r="AD8" i="23"/>
  <c r="AC8" i="23"/>
  <c r="AB8" i="23"/>
  <c r="AA8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AJ2" i="23"/>
  <c r="AI2" i="23"/>
  <c r="AH2" i="23"/>
  <c r="AG2" i="23"/>
  <c r="AF2" i="23"/>
  <c r="AE2" i="23"/>
  <c r="AD2" i="23"/>
  <c r="AC2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O2" i="23"/>
  <c r="N2" i="23"/>
  <c r="M2" i="23"/>
  <c r="L2" i="23"/>
  <c r="K2" i="23"/>
  <c r="J2" i="23"/>
  <c r="I2" i="23"/>
  <c r="H2" i="23"/>
  <c r="G2" i="23"/>
  <c r="F2" i="23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I8" i="22"/>
  <c r="AH8" i="22"/>
  <c r="AG8" i="22"/>
  <c r="AF8" i="22"/>
  <c r="AE8" i="22"/>
  <c r="AD8" i="22"/>
  <c r="AC8" i="22"/>
  <c r="AB8" i="22"/>
  <c r="AA8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AI2" i="22"/>
  <c r="AH2" i="22"/>
  <c r="AG2" i="22"/>
  <c r="AF2" i="22"/>
  <c r="AE2" i="22"/>
  <c r="AD2" i="22"/>
  <c r="AC2" i="22"/>
  <c r="AB2" i="22"/>
  <c r="AA2" i="22"/>
  <c r="Z2" i="22"/>
  <c r="Y2" i="22"/>
  <c r="X2" i="22"/>
  <c r="W2" i="22"/>
  <c r="V2" i="22"/>
  <c r="U2" i="22"/>
  <c r="T2" i="22"/>
  <c r="S2" i="22"/>
  <c r="R2" i="22"/>
  <c r="Q2" i="22"/>
  <c r="P2" i="22"/>
  <c r="O2" i="22"/>
  <c r="N2" i="22"/>
  <c r="M2" i="22"/>
  <c r="L2" i="22"/>
  <c r="K2" i="22"/>
  <c r="J2" i="22"/>
  <c r="I2" i="22"/>
  <c r="H2" i="22"/>
  <c r="G2" i="22"/>
  <c r="F2" i="22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AJ2" i="21"/>
  <c r="AI2" i="21"/>
  <c r="AH2" i="21"/>
  <c r="AG2" i="21"/>
  <c r="AF2" i="21"/>
  <c r="AE2" i="21"/>
  <c r="AD2" i="21"/>
  <c r="AC2" i="21"/>
  <c r="AB2" i="21"/>
  <c r="AA2" i="21"/>
  <c r="Z2" i="21"/>
  <c r="Y2" i="21"/>
  <c r="X2" i="21"/>
  <c r="W2" i="21"/>
  <c r="V2" i="21"/>
  <c r="U2" i="21"/>
  <c r="T2" i="21"/>
  <c r="S2" i="21"/>
  <c r="R2" i="21"/>
  <c r="Q2" i="21"/>
  <c r="P2" i="21"/>
  <c r="O2" i="21"/>
  <c r="N2" i="21"/>
  <c r="M2" i="21"/>
  <c r="L2" i="21"/>
  <c r="K2" i="21"/>
  <c r="J2" i="21"/>
  <c r="I2" i="21"/>
  <c r="H2" i="21"/>
  <c r="G2" i="21"/>
  <c r="F2" i="21"/>
  <c r="AJ10" i="20"/>
  <c r="AJ13" i="20"/>
  <c r="AJ16" i="20"/>
  <c r="AJ19" i="20"/>
  <c r="AJ20" i="20"/>
  <c r="AJ23" i="20"/>
  <c r="AJ33" i="20"/>
  <c r="AJ40" i="20"/>
  <c r="AJ41" i="20"/>
  <c r="AJ42" i="20"/>
  <c r="AJ45" i="20"/>
  <c r="AJ8" i="20"/>
  <c r="AJ2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AI8" i="19"/>
  <c r="AH8" i="19"/>
  <c r="AG8" i="19"/>
  <c r="AF8" i="19"/>
  <c r="AE8" i="19"/>
  <c r="AD8" i="19"/>
  <c r="AC8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AI2" i="19"/>
  <c r="AH2" i="19"/>
  <c r="AG2" i="19"/>
  <c r="AF2" i="19"/>
  <c r="AE2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AJ10" i="18"/>
  <c r="AJ13" i="18"/>
  <c r="AJ16" i="18"/>
  <c r="AJ19" i="18"/>
  <c r="AJ20" i="18"/>
  <c r="AJ23" i="18"/>
  <c r="AJ33" i="18"/>
  <c r="AJ40" i="18"/>
  <c r="AJ41" i="18"/>
  <c r="AJ42" i="18"/>
  <c r="AJ45" i="18"/>
  <c r="AJ8" i="18"/>
  <c r="AJ2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AI13" i="18"/>
  <c r="AH13" i="18"/>
  <c r="AG13" i="18"/>
  <c r="AF13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AI8" i="18"/>
  <c r="AH8" i="18"/>
  <c r="AG8" i="18"/>
  <c r="AF8" i="18"/>
  <c r="AE8" i="18"/>
  <c r="AD8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AI2" i="18"/>
  <c r="AH2" i="18"/>
  <c r="AG2" i="18"/>
  <c r="AF2" i="18"/>
  <c r="AE2" i="18"/>
  <c r="AD2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AI8" i="17"/>
  <c r="AH8" i="17"/>
  <c r="AG8" i="17"/>
  <c r="AF8" i="17"/>
  <c r="AE8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AI2" i="17"/>
  <c r="AH2" i="17"/>
  <c r="AG2" i="17"/>
  <c r="AF2" i="17"/>
  <c r="AE2" i="17"/>
  <c r="AD2" i="17"/>
  <c r="AC2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O2" i="17"/>
  <c r="N2" i="17"/>
  <c r="M2" i="17"/>
  <c r="L2" i="17"/>
  <c r="K2" i="17"/>
  <c r="J2" i="17"/>
  <c r="I2" i="17"/>
  <c r="H2" i="17"/>
  <c r="G2" i="17"/>
  <c r="F2" i="17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AJ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AJ8" i="16"/>
  <c r="AI8" i="16"/>
  <c r="AH8" i="16"/>
  <c r="AG8" i="16"/>
  <c r="AF8" i="16"/>
  <c r="AE8" i="16"/>
  <c r="AD8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AJ2" i="16"/>
  <c r="AI2" i="16"/>
  <c r="AH2" i="16"/>
  <c r="AG2" i="16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F13" i="14"/>
  <c r="F8" i="15"/>
  <c r="G8" i="15"/>
  <c r="F10" i="15"/>
  <c r="G10" i="15"/>
  <c r="F13" i="15"/>
  <c r="G13" i="15"/>
  <c r="F16" i="15"/>
  <c r="G16" i="15"/>
  <c r="F19" i="15"/>
  <c r="G19" i="15"/>
  <c r="F20" i="15"/>
  <c r="G20" i="15"/>
  <c r="F23" i="15"/>
  <c r="G23" i="15"/>
  <c r="F33" i="15"/>
  <c r="G33" i="15"/>
  <c r="F40" i="15"/>
  <c r="G40" i="15"/>
  <c r="F41" i="15"/>
  <c r="G41" i="15"/>
  <c r="F42" i="15"/>
  <c r="G42" i="15"/>
  <c r="F45" i="15"/>
  <c r="G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AJ24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L15" i="13"/>
  <c r="L7" i="13"/>
  <c r="L65" i="13"/>
  <c r="L66" i="13"/>
  <c r="L67" i="13"/>
  <c r="I22" i="10" s="1"/>
  <c r="L68" i="13"/>
  <c r="L69" i="13"/>
  <c r="L70" i="13"/>
  <c r="L71" i="13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AG2" i="10"/>
  <c r="AH2" i="10"/>
  <c r="AI2" i="10"/>
  <c r="AJ2" i="10"/>
  <c r="F2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D10" i="10"/>
  <c r="AE10" i="10"/>
  <c r="AF10" i="10"/>
  <c r="AG10" i="10"/>
  <c r="AH10" i="10"/>
  <c r="AI10" i="10"/>
  <c r="AJ10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H22" i="10"/>
  <c r="L22" i="10"/>
  <c r="Q22" i="10"/>
  <c r="U22" i="10"/>
  <c r="Z22" i="10"/>
  <c r="AD22" i="10"/>
  <c r="AI22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I28" i="10"/>
  <c r="L28" i="10"/>
  <c r="O28" i="10"/>
  <c r="R28" i="10"/>
  <c r="U28" i="10"/>
  <c r="X28" i="10"/>
  <c r="AA28" i="10"/>
  <c r="AD28" i="10"/>
  <c r="AG28" i="10"/>
  <c r="AJ28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J31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J39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J40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J42" i="10"/>
  <c r="F10" i="10"/>
  <c r="E10" i="10" s="1"/>
  <c r="F19" i="10"/>
  <c r="F20" i="10"/>
  <c r="F22" i="10"/>
  <c r="F23" i="10"/>
  <c r="F27" i="10"/>
  <c r="F31" i="10"/>
  <c r="F39" i="10"/>
  <c r="F40" i="10"/>
  <c r="F42" i="10"/>
  <c r="F8" i="10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3" i="13"/>
  <c r="L4" i="13"/>
  <c r="L5" i="13"/>
  <c r="L6" i="13"/>
  <c r="L8" i="13"/>
  <c r="L9" i="13"/>
  <c r="L10" i="13"/>
  <c r="AE17" i="14" s="1"/>
  <c r="L11" i="13"/>
  <c r="L12" i="13"/>
  <c r="L13" i="13"/>
  <c r="L14" i="13"/>
  <c r="L16" i="13"/>
  <c r="L17" i="13"/>
  <c r="L2" i="13"/>
  <c r="AI30" i="17" s="1"/>
  <c r="H28" i="14" l="1"/>
  <c r="K28" i="14"/>
  <c r="N28" i="14"/>
  <c r="Q28" i="14"/>
  <c r="T28" i="14"/>
  <c r="W28" i="14"/>
  <c r="Z28" i="14"/>
  <c r="AC28" i="14"/>
  <c r="AF28" i="14"/>
  <c r="AI28" i="14"/>
  <c r="J30" i="15"/>
  <c r="M30" i="15"/>
  <c r="P30" i="15"/>
  <c r="S30" i="15"/>
  <c r="V30" i="15"/>
  <c r="Y30" i="15"/>
  <c r="AB30" i="15"/>
  <c r="AE30" i="15"/>
  <c r="G30" i="16"/>
  <c r="J30" i="16"/>
  <c r="M30" i="16"/>
  <c r="P30" i="16"/>
  <c r="S30" i="16"/>
  <c r="V30" i="16"/>
  <c r="Y30" i="16"/>
  <c r="AB30" i="16"/>
  <c r="AE30" i="16"/>
  <c r="AH30" i="16"/>
  <c r="G30" i="17"/>
  <c r="J30" i="17"/>
  <c r="M30" i="17"/>
  <c r="P30" i="17"/>
  <c r="S30" i="17"/>
  <c r="V30" i="17"/>
  <c r="Y30" i="17"/>
  <c r="AC30" i="17"/>
  <c r="AH30" i="17"/>
  <c r="AI28" i="10"/>
  <c r="AF28" i="10"/>
  <c r="AC28" i="10"/>
  <c r="Z28" i="10"/>
  <c r="W28" i="10"/>
  <c r="T28" i="10"/>
  <c r="Q28" i="10"/>
  <c r="N28" i="10"/>
  <c r="K28" i="10"/>
  <c r="H28" i="10"/>
  <c r="F28" i="14"/>
  <c r="I28" i="14"/>
  <c r="L28" i="14"/>
  <c r="O28" i="14"/>
  <c r="R28" i="14"/>
  <c r="U28" i="14"/>
  <c r="X28" i="14"/>
  <c r="AA28" i="14"/>
  <c r="AD28" i="14"/>
  <c r="AG28" i="14"/>
  <c r="AJ28" i="14"/>
  <c r="H30" i="15"/>
  <c r="K30" i="15"/>
  <c r="N30" i="15"/>
  <c r="Q30" i="15"/>
  <c r="T30" i="15"/>
  <c r="W30" i="15"/>
  <c r="Z30" i="15"/>
  <c r="AC30" i="15"/>
  <c r="AF30" i="15"/>
  <c r="G30" i="15"/>
  <c r="H30" i="16"/>
  <c r="K30" i="16"/>
  <c r="N30" i="16"/>
  <c r="Q30" i="16"/>
  <c r="T30" i="16"/>
  <c r="W30" i="16"/>
  <c r="Z30" i="16"/>
  <c r="AC30" i="16"/>
  <c r="AF30" i="16"/>
  <c r="AI30" i="16"/>
  <c r="H30" i="17"/>
  <c r="K30" i="17"/>
  <c r="N30" i="17"/>
  <c r="Q30" i="17"/>
  <c r="T30" i="17"/>
  <c r="W30" i="17"/>
  <c r="Z30" i="17"/>
  <c r="AE30" i="17"/>
  <c r="AJ31" i="25"/>
  <c r="AG31" i="25"/>
  <c r="AD31" i="25"/>
  <c r="AA31" i="25"/>
  <c r="X31" i="25"/>
  <c r="U31" i="25"/>
  <c r="R31" i="25"/>
  <c r="O31" i="25"/>
  <c r="L31" i="25"/>
  <c r="I31" i="25"/>
  <c r="F31" i="25"/>
  <c r="AG30" i="24"/>
  <c r="AD30" i="24"/>
  <c r="AA30" i="24"/>
  <c r="X30" i="24"/>
  <c r="U30" i="24"/>
  <c r="R30" i="24"/>
  <c r="O30" i="24"/>
  <c r="L30" i="24"/>
  <c r="I30" i="24"/>
  <c r="F30" i="24"/>
  <c r="AJ30" i="23"/>
  <c r="AG30" i="23"/>
  <c r="AD30" i="23"/>
  <c r="AA30" i="23"/>
  <c r="X30" i="23"/>
  <c r="U30" i="23"/>
  <c r="R30" i="23"/>
  <c r="O30" i="23"/>
  <c r="L30" i="23"/>
  <c r="I30" i="23"/>
  <c r="F30" i="23"/>
  <c r="AI30" i="22"/>
  <c r="AF30" i="22"/>
  <c r="AC30" i="22"/>
  <c r="Z30" i="22"/>
  <c r="W30" i="22"/>
  <c r="T30" i="22"/>
  <c r="Q30" i="22"/>
  <c r="N30" i="22"/>
  <c r="K30" i="22"/>
  <c r="H30" i="22"/>
  <c r="AI30" i="21"/>
  <c r="AF30" i="21"/>
  <c r="AC30" i="21"/>
  <c r="Z30" i="21"/>
  <c r="W30" i="21"/>
  <c r="T30" i="21"/>
  <c r="Q30" i="21"/>
  <c r="N30" i="21"/>
  <c r="K30" i="21"/>
  <c r="H30" i="21"/>
  <c r="AG30" i="20"/>
  <c r="AD30" i="20"/>
  <c r="AA30" i="20"/>
  <c r="X30" i="20"/>
  <c r="U30" i="20"/>
  <c r="R30" i="20"/>
  <c r="O30" i="20"/>
  <c r="L30" i="20"/>
  <c r="I30" i="20"/>
  <c r="F30" i="20"/>
  <c r="AG30" i="19"/>
  <c r="AD30" i="19"/>
  <c r="AA30" i="19"/>
  <c r="X30" i="19"/>
  <c r="U30" i="19"/>
  <c r="R30" i="19"/>
  <c r="O30" i="19"/>
  <c r="L30" i="19"/>
  <c r="I30" i="19"/>
  <c r="F30" i="19"/>
  <c r="AI30" i="18"/>
  <c r="AF30" i="18"/>
  <c r="AC30" i="18"/>
  <c r="Z30" i="18"/>
  <c r="W30" i="18"/>
  <c r="T30" i="18"/>
  <c r="Q30" i="18"/>
  <c r="N30" i="18"/>
  <c r="K30" i="18"/>
  <c r="H30" i="18"/>
  <c r="AI31" i="25"/>
  <c r="AF31" i="25"/>
  <c r="AC31" i="25"/>
  <c r="Z31" i="25"/>
  <c r="W31" i="25"/>
  <c r="T31" i="25"/>
  <c r="Q31" i="25"/>
  <c r="N31" i="25"/>
  <c r="K31" i="25"/>
  <c r="H31" i="25"/>
  <c r="AI30" i="24"/>
  <c r="AF30" i="24"/>
  <c r="AC30" i="24"/>
  <c r="Z30" i="24"/>
  <c r="W30" i="24"/>
  <c r="T30" i="24"/>
  <c r="Q30" i="24"/>
  <c r="N30" i="24"/>
  <c r="K30" i="24"/>
  <c r="H30" i="24"/>
  <c r="AI30" i="23"/>
  <c r="AF30" i="23"/>
  <c r="AC30" i="23"/>
  <c r="Z30" i="23"/>
  <c r="W30" i="23"/>
  <c r="T30" i="23"/>
  <c r="Q30" i="23"/>
  <c r="N30" i="23"/>
  <c r="K30" i="23"/>
  <c r="H30" i="23"/>
  <c r="AH30" i="22"/>
  <c r="AE30" i="22"/>
  <c r="AB30" i="22"/>
  <c r="Y30" i="22"/>
  <c r="V30" i="22"/>
  <c r="S30" i="22"/>
  <c r="P30" i="22"/>
  <c r="M30" i="22"/>
  <c r="J30" i="22"/>
  <c r="G30" i="22"/>
  <c r="AH30" i="21"/>
  <c r="AE30" i="21"/>
  <c r="AB30" i="21"/>
  <c r="Y30" i="21"/>
  <c r="V30" i="21"/>
  <c r="S30" i="21"/>
  <c r="P30" i="21"/>
  <c r="M30" i="21"/>
  <c r="J30" i="21"/>
  <c r="G30" i="21"/>
  <c r="AI30" i="20"/>
  <c r="AF30" i="20"/>
  <c r="AC30" i="20"/>
  <c r="Z30" i="20"/>
  <c r="W30" i="20"/>
  <c r="T30" i="20"/>
  <c r="Q30" i="20"/>
  <c r="N30" i="20"/>
  <c r="K30" i="20"/>
  <c r="H30" i="20"/>
  <c r="AI30" i="19"/>
  <c r="AF30" i="19"/>
  <c r="AC30" i="19"/>
  <c r="Z30" i="19"/>
  <c r="W30" i="19"/>
  <c r="T30" i="19"/>
  <c r="Q30" i="19"/>
  <c r="N30" i="19"/>
  <c r="K30" i="19"/>
  <c r="H30" i="19"/>
  <c r="AJ30" i="18"/>
  <c r="AH30" i="18"/>
  <c r="AE30" i="18"/>
  <c r="AB30" i="18"/>
  <c r="Y30" i="18"/>
  <c r="V30" i="18"/>
  <c r="S30" i="18"/>
  <c r="P30" i="18"/>
  <c r="M30" i="18"/>
  <c r="J30" i="18"/>
  <c r="G30" i="18"/>
  <c r="AH31" i="25"/>
  <c r="AE31" i="25"/>
  <c r="AB31" i="25"/>
  <c r="Y31" i="25"/>
  <c r="V31" i="25"/>
  <c r="S31" i="25"/>
  <c r="P31" i="25"/>
  <c r="M31" i="25"/>
  <c r="J31" i="25"/>
  <c r="G31" i="25"/>
  <c r="AH30" i="24"/>
  <c r="AE30" i="24"/>
  <c r="AB30" i="24"/>
  <c r="Y30" i="24"/>
  <c r="V30" i="24"/>
  <c r="S30" i="24"/>
  <c r="P30" i="24"/>
  <c r="M30" i="24"/>
  <c r="J30" i="24"/>
  <c r="G30" i="24"/>
  <c r="AH30" i="23"/>
  <c r="AE30" i="23"/>
  <c r="AB30" i="23"/>
  <c r="Y30" i="23"/>
  <c r="V30" i="23"/>
  <c r="S30" i="23"/>
  <c r="P30" i="23"/>
  <c r="M30" i="23"/>
  <c r="J30" i="23"/>
  <c r="G30" i="23"/>
  <c r="AG30" i="22"/>
  <c r="AD30" i="22"/>
  <c r="AA30" i="22"/>
  <c r="X30" i="22"/>
  <c r="U30" i="22"/>
  <c r="R30" i="22"/>
  <c r="O30" i="22"/>
  <c r="L30" i="22"/>
  <c r="I30" i="22"/>
  <c r="F30" i="22"/>
  <c r="AJ30" i="21"/>
  <c r="AG30" i="21"/>
  <c r="AD30" i="21"/>
  <c r="AA30" i="21"/>
  <c r="X30" i="21"/>
  <c r="U30" i="21"/>
  <c r="R30" i="21"/>
  <c r="O30" i="21"/>
  <c r="L30" i="21"/>
  <c r="I30" i="21"/>
  <c r="F30" i="21"/>
  <c r="AJ30" i="20"/>
  <c r="AH30" i="20"/>
  <c r="AE30" i="20"/>
  <c r="AB30" i="20"/>
  <c r="Y30" i="20"/>
  <c r="V30" i="20"/>
  <c r="S30" i="20"/>
  <c r="P30" i="20"/>
  <c r="M30" i="20"/>
  <c r="J30" i="20"/>
  <c r="G30" i="20"/>
  <c r="AH30" i="19"/>
  <c r="AE30" i="19"/>
  <c r="AB30" i="19"/>
  <c r="Y30" i="19"/>
  <c r="V30" i="19"/>
  <c r="S30" i="19"/>
  <c r="P30" i="19"/>
  <c r="M30" i="19"/>
  <c r="J30" i="19"/>
  <c r="G30" i="19"/>
  <c r="AG30" i="18"/>
  <c r="AD30" i="18"/>
  <c r="AA30" i="18"/>
  <c r="X30" i="18"/>
  <c r="U30" i="18"/>
  <c r="R30" i="18"/>
  <c r="O30" i="18"/>
  <c r="L30" i="18"/>
  <c r="I30" i="18"/>
  <c r="F30" i="18"/>
  <c r="AG30" i="17"/>
  <c r="AD30" i="17"/>
  <c r="AA30" i="17"/>
  <c r="F28" i="10"/>
  <c r="AH28" i="10"/>
  <c r="AE28" i="10"/>
  <c r="AB28" i="10"/>
  <c r="Y28" i="10"/>
  <c r="V28" i="10"/>
  <c r="S28" i="10"/>
  <c r="P28" i="10"/>
  <c r="M28" i="10"/>
  <c r="J28" i="10"/>
  <c r="G28" i="10"/>
  <c r="G28" i="14"/>
  <c r="J28" i="14"/>
  <c r="M28" i="14"/>
  <c r="P28" i="14"/>
  <c r="S28" i="14"/>
  <c r="V28" i="14"/>
  <c r="Y28" i="14"/>
  <c r="AB28" i="14"/>
  <c r="AE28" i="14"/>
  <c r="AH28" i="14"/>
  <c r="I30" i="15"/>
  <c r="L30" i="15"/>
  <c r="O30" i="15"/>
  <c r="R30" i="15"/>
  <c r="U30" i="15"/>
  <c r="X30" i="15"/>
  <c r="AA30" i="15"/>
  <c r="AD30" i="15"/>
  <c r="AG30" i="15"/>
  <c r="F30" i="15"/>
  <c r="F30" i="16"/>
  <c r="I30" i="16"/>
  <c r="L30" i="16"/>
  <c r="O30" i="16"/>
  <c r="R30" i="16"/>
  <c r="U30" i="16"/>
  <c r="X30" i="16"/>
  <c r="AA30" i="16"/>
  <c r="AD30" i="16"/>
  <c r="AG30" i="16"/>
  <c r="AJ30" i="16"/>
  <c r="F30" i="17"/>
  <c r="I30" i="17"/>
  <c r="L30" i="17"/>
  <c r="O30" i="17"/>
  <c r="R30" i="17"/>
  <c r="U30" i="17"/>
  <c r="X30" i="17"/>
  <c r="AB30" i="17"/>
  <c r="AF30" i="17"/>
  <c r="H28" i="25"/>
  <c r="K28" i="25"/>
  <c r="N28" i="25"/>
  <c r="Q28" i="25"/>
  <c r="T28" i="25"/>
  <c r="W28" i="25"/>
  <c r="Z28" i="25"/>
  <c r="AC28" i="25"/>
  <c r="AF28" i="25"/>
  <c r="AI28" i="25"/>
  <c r="H27" i="24"/>
  <c r="K27" i="24"/>
  <c r="N27" i="24"/>
  <c r="Q27" i="24"/>
  <c r="T27" i="24"/>
  <c r="W27" i="24"/>
  <c r="Z27" i="24"/>
  <c r="AC27" i="24"/>
  <c r="AF27" i="24"/>
  <c r="AI27" i="24"/>
  <c r="F27" i="23"/>
  <c r="I27" i="23"/>
  <c r="L27" i="23"/>
  <c r="O27" i="23"/>
  <c r="R27" i="23"/>
  <c r="U27" i="23"/>
  <c r="X27" i="23"/>
  <c r="AA27" i="23"/>
  <c r="AD27" i="23"/>
  <c r="AG27" i="23"/>
  <c r="AJ27" i="23"/>
  <c r="F27" i="22"/>
  <c r="I27" i="22"/>
  <c r="L27" i="22"/>
  <c r="O27" i="22"/>
  <c r="R27" i="22"/>
  <c r="U27" i="22"/>
  <c r="X27" i="22"/>
  <c r="AA27" i="22"/>
  <c r="AD27" i="22"/>
  <c r="AG27" i="22"/>
  <c r="G27" i="21"/>
  <c r="J27" i="21"/>
  <c r="M27" i="21"/>
  <c r="P27" i="21"/>
  <c r="S27" i="21"/>
  <c r="V27" i="21"/>
  <c r="Y27" i="21"/>
  <c r="AB27" i="21"/>
  <c r="AE27" i="21"/>
  <c r="AH27" i="21"/>
  <c r="H27" i="20"/>
  <c r="K27" i="20"/>
  <c r="N27" i="20"/>
  <c r="Q27" i="20"/>
  <c r="T27" i="20"/>
  <c r="W27" i="20"/>
  <c r="Z27" i="20"/>
  <c r="AC27" i="20"/>
  <c r="AF27" i="20"/>
  <c r="AI27" i="20"/>
  <c r="H27" i="19"/>
  <c r="K27" i="19"/>
  <c r="N27" i="19"/>
  <c r="Q27" i="19"/>
  <c r="T27" i="19"/>
  <c r="W27" i="19"/>
  <c r="Z27" i="19"/>
  <c r="AC27" i="19"/>
  <c r="AF27" i="19"/>
  <c r="AI27" i="19"/>
  <c r="F27" i="18"/>
  <c r="I27" i="18"/>
  <c r="L27" i="18"/>
  <c r="O27" i="18"/>
  <c r="R27" i="18"/>
  <c r="U27" i="18"/>
  <c r="X27" i="18"/>
  <c r="AA27" i="18"/>
  <c r="AD27" i="18"/>
  <c r="AG27" i="18"/>
  <c r="AJ27" i="18"/>
  <c r="F28" i="25"/>
  <c r="I28" i="25"/>
  <c r="L28" i="25"/>
  <c r="O28" i="25"/>
  <c r="R28" i="25"/>
  <c r="U28" i="25"/>
  <c r="X28" i="25"/>
  <c r="AA28" i="25"/>
  <c r="AD28" i="25"/>
  <c r="AG28" i="25"/>
  <c r="AJ28" i="25"/>
  <c r="F27" i="24"/>
  <c r="I27" i="24"/>
  <c r="L27" i="24"/>
  <c r="O27" i="24"/>
  <c r="R27" i="24"/>
  <c r="U27" i="24"/>
  <c r="X27" i="24"/>
  <c r="AA27" i="24"/>
  <c r="AD27" i="24"/>
  <c r="AG27" i="24"/>
  <c r="G27" i="23"/>
  <c r="J27" i="23"/>
  <c r="M27" i="23"/>
  <c r="P27" i="23"/>
  <c r="S27" i="23"/>
  <c r="V27" i="23"/>
  <c r="Y27" i="23"/>
  <c r="AB27" i="23"/>
  <c r="AE27" i="23"/>
  <c r="AH27" i="23"/>
  <c r="G27" i="22"/>
  <c r="J27" i="22"/>
  <c r="M27" i="22"/>
  <c r="P27" i="22"/>
  <c r="S27" i="22"/>
  <c r="V27" i="22"/>
  <c r="Y27" i="22"/>
  <c r="AB27" i="22"/>
  <c r="AE27" i="22"/>
  <c r="AH27" i="22"/>
  <c r="H27" i="21"/>
  <c r="K27" i="21"/>
  <c r="N27" i="21"/>
  <c r="Q27" i="21"/>
  <c r="T27" i="21"/>
  <c r="W27" i="21"/>
  <c r="Z27" i="21"/>
  <c r="AC27" i="21"/>
  <c r="AF27" i="21"/>
  <c r="AI27" i="21"/>
  <c r="F27" i="20"/>
  <c r="I27" i="20"/>
  <c r="L27" i="20"/>
  <c r="O27" i="20"/>
  <c r="R27" i="20"/>
  <c r="U27" i="20"/>
  <c r="X27" i="20"/>
  <c r="AA27" i="20"/>
  <c r="AD27" i="20"/>
  <c r="AG27" i="20"/>
  <c r="AJ27" i="20"/>
  <c r="F27" i="19"/>
  <c r="I27" i="19"/>
  <c r="L27" i="19"/>
  <c r="O27" i="19"/>
  <c r="R27" i="19"/>
  <c r="U27" i="19"/>
  <c r="X27" i="19"/>
  <c r="AA27" i="19"/>
  <c r="AD27" i="19"/>
  <c r="AG27" i="19"/>
  <c r="G27" i="18"/>
  <c r="J27" i="18"/>
  <c r="M27" i="18"/>
  <c r="P27" i="18"/>
  <c r="S27" i="18"/>
  <c r="V27" i="18"/>
  <c r="Y27" i="18"/>
  <c r="AB27" i="18"/>
  <c r="AE27" i="18"/>
  <c r="AH27" i="18"/>
  <c r="G27" i="17"/>
  <c r="J27" i="17"/>
  <c r="M27" i="17"/>
  <c r="G28" i="25"/>
  <c r="J28" i="25"/>
  <c r="M28" i="25"/>
  <c r="P28" i="25"/>
  <c r="S28" i="25"/>
  <c r="V28" i="25"/>
  <c r="Y28" i="25"/>
  <c r="AB28" i="25"/>
  <c r="AE28" i="25"/>
  <c r="AH28" i="25"/>
  <c r="G27" i="24"/>
  <c r="J27" i="24"/>
  <c r="M27" i="24"/>
  <c r="P27" i="24"/>
  <c r="S27" i="24"/>
  <c r="V27" i="24"/>
  <c r="Y27" i="24"/>
  <c r="AB27" i="24"/>
  <c r="AE27" i="24"/>
  <c r="AH27" i="24"/>
  <c r="H27" i="23"/>
  <c r="K27" i="23"/>
  <c r="N27" i="23"/>
  <c r="Q27" i="23"/>
  <c r="T27" i="23"/>
  <c r="W27" i="23"/>
  <c r="Z27" i="23"/>
  <c r="AC27" i="23"/>
  <c r="AF27" i="23"/>
  <c r="AI27" i="23"/>
  <c r="H27" i="22"/>
  <c r="K27" i="22"/>
  <c r="N27" i="22"/>
  <c r="Q27" i="22"/>
  <c r="T27" i="22"/>
  <c r="W27" i="22"/>
  <c r="Z27" i="22"/>
  <c r="AC27" i="22"/>
  <c r="AF27" i="22"/>
  <c r="AI27" i="22"/>
  <c r="F27" i="21"/>
  <c r="I27" i="21"/>
  <c r="L27" i="21"/>
  <c r="O27" i="21"/>
  <c r="R27" i="21"/>
  <c r="U27" i="21"/>
  <c r="X27" i="21"/>
  <c r="AA27" i="21"/>
  <c r="AD27" i="21"/>
  <c r="AG27" i="21"/>
  <c r="AJ27" i="21"/>
  <c r="G27" i="20"/>
  <c r="J27" i="20"/>
  <c r="M27" i="20"/>
  <c r="P27" i="20"/>
  <c r="S27" i="20"/>
  <c r="V27" i="20"/>
  <c r="Y27" i="20"/>
  <c r="AB27" i="20"/>
  <c r="AE27" i="20"/>
  <c r="AH27" i="20"/>
  <c r="G27" i="19"/>
  <c r="J27" i="19"/>
  <c r="M27" i="19"/>
  <c r="P27" i="19"/>
  <c r="S27" i="19"/>
  <c r="V27" i="19"/>
  <c r="Y27" i="19"/>
  <c r="AB27" i="19"/>
  <c r="AE27" i="19"/>
  <c r="AH27" i="19"/>
  <c r="H27" i="18"/>
  <c r="K27" i="18"/>
  <c r="N27" i="18"/>
  <c r="Q27" i="18"/>
  <c r="T27" i="18"/>
  <c r="W27" i="18"/>
  <c r="Z27" i="18"/>
  <c r="AC27" i="18"/>
  <c r="AF27" i="18"/>
  <c r="AI27" i="18"/>
  <c r="AG27" i="15"/>
  <c r="AD27" i="15"/>
  <c r="AA27" i="15"/>
  <c r="X27" i="15"/>
  <c r="U27" i="15"/>
  <c r="R27" i="15"/>
  <c r="O27" i="15"/>
  <c r="L27" i="15"/>
  <c r="I27" i="15"/>
  <c r="F27" i="15"/>
  <c r="AI27" i="16"/>
  <c r="AF27" i="16"/>
  <c r="AC27" i="16"/>
  <c r="Z27" i="16"/>
  <c r="W27" i="16"/>
  <c r="T27" i="16"/>
  <c r="Q27" i="16"/>
  <c r="N27" i="16"/>
  <c r="K27" i="16"/>
  <c r="H27" i="16"/>
  <c r="AH27" i="17"/>
  <c r="AE27" i="17"/>
  <c r="AB27" i="17"/>
  <c r="Y27" i="17"/>
  <c r="V27" i="17"/>
  <c r="S27" i="17"/>
  <c r="P27" i="17"/>
  <c r="L27" i="17"/>
  <c r="H27" i="17"/>
  <c r="AF27" i="15"/>
  <c r="AC27" i="15"/>
  <c r="Z27" i="15"/>
  <c r="W27" i="15"/>
  <c r="T27" i="15"/>
  <c r="Q27" i="15"/>
  <c r="N27" i="15"/>
  <c r="K27" i="15"/>
  <c r="H27" i="15"/>
  <c r="AH27" i="16"/>
  <c r="AE27" i="16"/>
  <c r="AB27" i="16"/>
  <c r="Y27" i="16"/>
  <c r="V27" i="16"/>
  <c r="S27" i="16"/>
  <c r="P27" i="16"/>
  <c r="M27" i="16"/>
  <c r="J27" i="16"/>
  <c r="G27" i="16"/>
  <c r="AG27" i="17"/>
  <c r="AD27" i="17"/>
  <c r="AA27" i="17"/>
  <c r="X27" i="17"/>
  <c r="U27" i="17"/>
  <c r="R27" i="17"/>
  <c r="O27" i="17"/>
  <c r="K27" i="17"/>
  <c r="F27" i="17"/>
  <c r="AE27" i="15"/>
  <c r="AB27" i="15"/>
  <c r="Y27" i="15"/>
  <c r="V27" i="15"/>
  <c r="S27" i="15"/>
  <c r="P27" i="15"/>
  <c r="M27" i="15"/>
  <c r="J27" i="15"/>
  <c r="G27" i="15"/>
  <c r="AJ27" i="16"/>
  <c r="AG27" i="16"/>
  <c r="AD27" i="16"/>
  <c r="AA27" i="16"/>
  <c r="X27" i="16"/>
  <c r="U27" i="16"/>
  <c r="R27" i="16"/>
  <c r="O27" i="16"/>
  <c r="L27" i="16"/>
  <c r="I27" i="16"/>
  <c r="F27" i="16"/>
  <c r="AI27" i="17"/>
  <c r="AF27" i="17"/>
  <c r="AC27" i="17"/>
  <c r="Z27" i="17"/>
  <c r="W27" i="17"/>
  <c r="T27" i="17"/>
  <c r="Q27" i="17"/>
  <c r="N27" i="17"/>
  <c r="I27" i="17"/>
  <c r="E20" i="10"/>
  <c r="F12" i="10"/>
  <c r="AI12" i="17"/>
  <c r="G29" i="10"/>
  <c r="AJ12" i="10"/>
  <c r="AG12" i="10"/>
  <c r="AD12" i="10"/>
  <c r="AA12" i="10"/>
  <c r="X12" i="10"/>
  <c r="U12" i="10"/>
  <c r="R12" i="10"/>
  <c r="O12" i="10"/>
  <c r="L12" i="10"/>
  <c r="I12" i="10"/>
  <c r="F12" i="14"/>
  <c r="I12" i="14"/>
  <c r="L12" i="14"/>
  <c r="O12" i="14"/>
  <c r="R12" i="14"/>
  <c r="U12" i="14"/>
  <c r="X12" i="14"/>
  <c r="AA12" i="14"/>
  <c r="AD12" i="14"/>
  <c r="AG12" i="14"/>
  <c r="AJ12" i="14"/>
  <c r="J12" i="15"/>
  <c r="M12" i="15"/>
  <c r="P12" i="15"/>
  <c r="S12" i="15"/>
  <c r="V12" i="15"/>
  <c r="Y12" i="15"/>
  <c r="AB12" i="15"/>
  <c r="AE12" i="15"/>
  <c r="G12" i="15"/>
  <c r="H12" i="16"/>
  <c r="K12" i="16"/>
  <c r="N12" i="16"/>
  <c r="Q12" i="16"/>
  <c r="T12" i="16"/>
  <c r="W12" i="16"/>
  <c r="Z12" i="16"/>
  <c r="AC12" i="16"/>
  <c r="AF12" i="16"/>
  <c r="AI12" i="16"/>
  <c r="H12" i="17"/>
  <c r="K12" i="17"/>
  <c r="N12" i="17"/>
  <c r="Q12" i="17"/>
  <c r="T12" i="17"/>
  <c r="W12" i="17"/>
  <c r="Z12" i="17"/>
  <c r="AD12" i="17"/>
  <c r="AJ12" i="25"/>
  <c r="AG12" i="25"/>
  <c r="AD12" i="25"/>
  <c r="AA12" i="25"/>
  <c r="X12" i="25"/>
  <c r="U12" i="25"/>
  <c r="R12" i="25"/>
  <c r="O12" i="25"/>
  <c r="L12" i="25"/>
  <c r="I12" i="25"/>
  <c r="F12" i="25"/>
  <c r="AG12" i="24"/>
  <c r="AD12" i="24"/>
  <c r="AA12" i="24"/>
  <c r="X12" i="24"/>
  <c r="U12" i="24"/>
  <c r="R12" i="24"/>
  <c r="O12" i="24"/>
  <c r="L12" i="24"/>
  <c r="I12" i="24"/>
  <c r="F12" i="24"/>
  <c r="AJ12" i="23"/>
  <c r="AG12" i="23"/>
  <c r="AD12" i="23"/>
  <c r="AA12" i="23"/>
  <c r="X12" i="23"/>
  <c r="U12" i="23"/>
  <c r="R12" i="23"/>
  <c r="O12" i="23"/>
  <c r="L12" i="23"/>
  <c r="I12" i="23"/>
  <c r="F12" i="23"/>
  <c r="AG12" i="22"/>
  <c r="AD12" i="22"/>
  <c r="AA12" i="22"/>
  <c r="X12" i="22"/>
  <c r="U12" i="22"/>
  <c r="R12" i="22"/>
  <c r="O12" i="22"/>
  <c r="L12" i="22"/>
  <c r="I12" i="22"/>
  <c r="F12" i="22"/>
  <c r="AJ12" i="21"/>
  <c r="AG12" i="21"/>
  <c r="AD12" i="21"/>
  <c r="AA12" i="21"/>
  <c r="X12" i="21"/>
  <c r="U12" i="21"/>
  <c r="R12" i="21"/>
  <c r="O12" i="21"/>
  <c r="L12" i="21"/>
  <c r="I12" i="21"/>
  <c r="F12" i="21"/>
  <c r="AG12" i="20"/>
  <c r="AD12" i="20"/>
  <c r="AA12" i="20"/>
  <c r="X12" i="20"/>
  <c r="U12" i="20"/>
  <c r="R12" i="20"/>
  <c r="O12" i="20"/>
  <c r="L12" i="20"/>
  <c r="I12" i="20"/>
  <c r="F12" i="20"/>
  <c r="AG12" i="19"/>
  <c r="AD12" i="19"/>
  <c r="AA12" i="19"/>
  <c r="X12" i="19"/>
  <c r="U12" i="19"/>
  <c r="R12" i="19"/>
  <c r="O12" i="19"/>
  <c r="L12" i="19"/>
  <c r="I12" i="19"/>
  <c r="F12" i="19"/>
  <c r="AG12" i="18"/>
  <c r="AD12" i="18"/>
  <c r="AA12" i="18"/>
  <c r="X12" i="18"/>
  <c r="U12" i="18"/>
  <c r="R12" i="18"/>
  <c r="O12" i="18"/>
  <c r="L12" i="18"/>
  <c r="I12" i="18"/>
  <c r="F12" i="18"/>
  <c r="AI12" i="25"/>
  <c r="AF12" i="25"/>
  <c r="AC12" i="25"/>
  <c r="Z12" i="25"/>
  <c r="W12" i="25"/>
  <c r="T12" i="25"/>
  <c r="Q12" i="25"/>
  <c r="N12" i="25"/>
  <c r="K12" i="25"/>
  <c r="H12" i="25"/>
  <c r="AI12" i="24"/>
  <c r="AF12" i="24"/>
  <c r="AC12" i="24"/>
  <c r="Z12" i="24"/>
  <c r="W12" i="24"/>
  <c r="T12" i="24"/>
  <c r="Q12" i="24"/>
  <c r="N12" i="24"/>
  <c r="K12" i="24"/>
  <c r="H12" i="24"/>
  <c r="AI12" i="23"/>
  <c r="AF12" i="23"/>
  <c r="AC12" i="23"/>
  <c r="Z12" i="23"/>
  <c r="W12" i="23"/>
  <c r="T12" i="23"/>
  <c r="Q12" i="23"/>
  <c r="N12" i="23"/>
  <c r="K12" i="23"/>
  <c r="H12" i="23"/>
  <c r="AI12" i="22"/>
  <c r="AF12" i="22"/>
  <c r="AC12" i="22"/>
  <c r="Z12" i="22"/>
  <c r="W12" i="22"/>
  <c r="T12" i="22"/>
  <c r="Q12" i="22"/>
  <c r="N12" i="22"/>
  <c r="K12" i="22"/>
  <c r="H12" i="22"/>
  <c r="AI12" i="21"/>
  <c r="AF12" i="21"/>
  <c r="AC12" i="21"/>
  <c r="Z12" i="21"/>
  <c r="W12" i="21"/>
  <c r="T12" i="21"/>
  <c r="Q12" i="21"/>
  <c r="N12" i="21"/>
  <c r="K12" i="21"/>
  <c r="H12" i="21"/>
  <c r="AI12" i="20"/>
  <c r="AF12" i="20"/>
  <c r="AC12" i="20"/>
  <c r="Z12" i="20"/>
  <c r="W12" i="20"/>
  <c r="T12" i="20"/>
  <c r="Q12" i="20"/>
  <c r="N12" i="20"/>
  <c r="K12" i="20"/>
  <c r="H12" i="20"/>
  <c r="AI12" i="19"/>
  <c r="AF12" i="19"/>
  <c r="AC12" i="19"/>
  <c r="Z12" i="19"/>
  <c r="W12" i="19"/>
  <c r="T12" i="19"/>
  <c r="Q12" i="19"/>
  <c r="N12" i="19"/>
  <c r="K12" i="19"/>
  <c r="H12" i="19"/>
  <c r="AI12" i="18"/>
  <c r="AF12" i="18"/>
  <c r="AC12" i="18"/>
  <c r="Z12" i="18"/>
  <c r="W12" i="18"/>
  <c r="T12" i="18"/>
  <c r="Q12" i="18"/>
  <c r="N12" i="18"/>
  <c r="K12" i="18"/>
  <c r="H12" i="18"/>
  <c r="AH12" i="25"/>
  <c r="AE12" i="25"/>
  <c r="AB12" i="25"/>
  <c r="Y12" i="25"/>
  <c r="V12" i="25"/>
  <c r="S12" i="25"/>
  <c r="P12" i="25"/>
  <c r="M12" i="25"/>
  <c r="J12" i="25"/>
  <c r="G12" i="25"/>
  <c r="AH12" i="24"/>
  <c r="AE12" i="24"/>
  <c r="AB12" i="24"/>
  <c r="Y12" i="24"/>
  <c r="V12" i="24"/>
  <c r="S12" i="24"/>
  <c r="P12" i="24"/>
  <c r="M12" i="24"/>
  <c r="J12" i="24"/>
  <c r="G12" i="24"/>
  <c r="AH12" i="23"/>
  <c r="AE12" i="23"/>
  <c r="AB12" i="23"/>
  <c r="Y12" i="23"/>
  <c r="V12" i="23"/>
  <c r="S12" i="23"/>
  <c r="P12" i="23"/>
  <c r="M12" i="23"/>
  <c r="J12" i="23"/>
  <c r="G12" i="23"/>
  <c r="AH12" i="22"/>
  <c r="AE12" i="22"/>
  <c r="AB12" i="22"/>
  <c r="Y12" i="22"/>
  <c r="V12" i="22"/>
  <c r="S12" i="22"/>
  <c r="P12" i="22"/>
  <c r="M12" i="22"/>
  <c r="J12" i="22"/>
  <c r="G12" i="22"/>
  <c r="AH12" i="21"/>
  <c r="AE12" i="21"/>
  <c r="AB12" i="21"/>
  <c r="Y12" i="21"/>
  <c r="V12" i="21"/>
  <c r="S12" i="21"/>
  <c r="P12" i="21"/>
  <c r="M12" i="21"/>
  <c r="J12" i="21"/>
  <c r="G12" i="21"/>
  <c r="AJ12" i="20"/>
  <c r="AH12" i="20"/>
  <c r="AE12" i="20"/>
  <c r="AB12" i="20"/>
  <c r="Y12" i="20"/>
  <c r="V12" i="20"/>
  <c r="S12" i="20"/>
  <c r="P12" i="20"/>
  <c r="M12" i="20"/>
  <c r="J12" i="20"/>
  <c r="G12" i="20"/>
  <c r="AH12" i="19"/>
  <c r="AE12" i="19"/>
  <c r="AB12" i="19"/>
  <c r="Y12" i="19"/>
  <c r="V12" i="19"/>
  <c r="S12" i="19"/>
  <c r="P12" i="19"/>
  <c r="M12" i="19"/>
  <c r="J12" i="19"/>
  <c r="G12" i="19"/>
  <c r="AJ12" i="18"/>
  <c r="AH12" i="18"/>
  <c r="AE12" i="18"/>
  <c r="AB12" i="18"/>
  <c r="Y12" i="18"/>
  <c r="V12" i="18"/>
  <c r="S12" i="18"/>
  <c r="P12" i="18"/>
  <c r="M12" i="18"/>
  <c r="J12" i="18"/>
  <c r="G12" i="18"/>
  <c r="AH12" i="17"/>
  <c r="AE12" i="17"/>
  <c r="AB12" i="17"/>
  <c r="AI12" i="10"/>
  <c r="AF12" i="10"/>
  <c r="AC12" i="10"/>
  <c r="Z12" i="10"/>
  <c r="W12" i="10"/>
  <c r="T12" i="10"/>
  <c r="Q12" i="10"/>
  <c r="N12" i="10"/>
  <c r="K12" i="10"/>
  <c r="H12" i="10"/>
  <c r="G12" i="14"/>
  <c r="J12" i="14"/>
  <c r="M12" i="14"/>
  <c r="P12" i="14"/>
  <c r="S12" i="14"/>
  <c r="V12" i="14"/>
  <c r="Y12" i="14"/>
  <c r="AB12" i="14"/>
  <c r="AE12" i="14"/>
  <c r="AH12" i="14"/>
  <c r="H12" i="15"/>
  <c r="K12" i="15"/>
  <c r="N12" i="15"/>
  <c r="Q12" i="15"/>
  <c r="T12" i="15"/>
  <c r="W12" i="15"/>
  <c r="Z12" i="15"/>
  <c r="AC12" i="15"/>
  <c r="AF12" i="15"/>
  <c r="F12" i="15"/>
  <c r="F12" i="16"/>
  <c r="I12" i="16"/>
  <c r="L12" i="16"/>
  <c r="O12" i="16"/>
  <c r="R12" i="16"/>
  <c r="U12" i="16"/>
  <c r="X12" i="16"/>
  <c r="AA12" i="16"/>
  <c r="AD12" i="16"/>
  <c r="AG12" i="16"/>
  <c r="AJ12" i="16"/>
  <c r="F12" i="17"/>
  <c r="I12" i="17"/>
  <c r="L12" i="17"/>
  <c r="O12" i="17"/>
  <c r="R12" i="17"/>
  <c r="U12" i="17"/>
  <c r="X12" i="17"/>
  <c r="AA12" i="17"/>
  <c r="AF12" i="17"/>
  <c r="AH12" i="10"/>
  <c r="AE12" i="10"/>
  <c r="AB12" i="10"/>
  <c r="Y12" i="10"/>
  <c r="V12" i="10"/>
  <c r="S12" i="10"/>
  <c r="P12" i="10"/>
  <c r="M12" i="10"/>
  <c r="J12" i="10"/>
  <c r="G12" i="10"/>
  <c r="H12" i="14"/>
  <c r="K12" i="14"/>
  <c r="N12" i="14"/>
  <c r="Q12" i="14"/>
  <c r="T12" i="14"/>
  <c r="W12" i="14"/>
  <c r="Z12" i="14"/>
  <c r="AC12" i="14"/>
  <c r="AF12" i="14"/>
  <c r="AI12" i="14"/>
  <c r="I12" i="15"/>
  <c r="L12" i="15"/>
  <c r="O12" i="15"/>
  <c r="R12" i="15"/>
  <c r="U12" i="15"/>
  <c r="X12" i="15"/>
  <c r="AA12" i="15"/>
  <c r="AD12" i="15"/>
  <c r="AG12" i="15"/>
  <c r="G12" i="16"/>
  <c r="J12" i="16"/>
  <c r="M12" i="16"/>
  <c r="P12" i="16"/>
  <c r="S12" i="16"/>
  <c r="V12" i="16"/>
  <c r="Y12" i="16"/>
  <c r="AB12" i="16"/>
  <c r="AE12" i="16"/>
  <c r="AH12" i="16"/>
  <c r="G12" i="17"/>
  <c r="J12" i="17"/>
  <c r="M12" i="17"/>
  <c r="P12" i="17"/>
  <c r="S12" i="17"/>
  <c r="V12" i="17"/>
  <c r="Y12" i="17"/>
  <c r="AC12" i="17"/>
  <c r="AG12" i="17"/>
  <c r="AI29" i="10"/>
  <c r="AF29" i="10"/>
  <c r="AC29" i="10"/>
  <c r="Z29" i="10"/>
  <c r="W29" i="10"/>
  <c r="S29" i="10"/>
  <c r="N29" i="10"/>
  <c r="J29" i="10"/>
  <c r="AF25" i="15"/>
  <c r="AC25" i="15"/>
  <c r="Z25" i="15"/>
  <c r="W25" i="15"/>
  <c r="T25" i="15"/>
  <c r="Q25" i="15"/>
  <c r="N25" i="15"/>
  <c r="K25" i="15"/>
  <c r="H25" i="15"/>
  <c r="E29" i="16"/>
  <c r="P25" i="7" s="1"/>
  <c r="E27" i="16"/>
  <c r="AI25" i="16"/>
  <c r="AF25" i="16"/>
  <c r="AC25" i="16"/>
  <c r="Z25" i="16"/>
  <c r="W25" i="16"/>
  <c r="T25" i="16"/>
  <c r="Q25" i="16"/>
  <c r="N25" i="16"/>
  <c r="K25" i="16"/>
  <c r="H25" i="16"/>
  <c r="E29" i="17"/>
  <c r="Q25" i="7" s="1"/>
  <c r="E28" i="17"/>
  <c r="E26" i="17"/>
  <c r="Q22" i="7" s="1"/>
  <c r="AG25" i="17"/>
  <c r="AD25" i="17"/>
  <c r="AA25" i="17"/>
  <c r="X25" i="17"/>
  <c r="U25" i="17"/>
  <c r="R25" i="17"/>
  <c r="N25" i="17"/>
  <c r="AH29" i="10"/>
  <c r="AE29" i="10"/>
  <c r="AB29" i="10"/>
  <c r="Y29" i="10"/>
  <c r="V29" i="10"/>
  <c r="Q29" i="10"/>
  <c r="M29" i="10"/>
  <c r="H29" i="10"/>
  <c r="F26" i="25"/>
  <c r="G26" i="25"/>
  <c r="H26" i="25"/>
  <c r="I26" i="25"/>
  <c r="J26" i="25"/>
  <c r="K26" i="25"/>
  <c r="L26" i="25"/>
  <c r="M26" i="25"/>
  <c r="N26" i="25"/>
  <c r="O26" i="25"/>
  <c r="P26" i="25"/>
  <c r="Q26" i="25"/>
  <c r="R26" i="25"/>
  <c r="S26" i="25"/>
  <c r="T26" i="25"/>
  <c r="U26" i="25"/>
  <c r="V26" i="25"/>
  <c r="W26" i="25"/>
  <c r="X26" i="25"/>
  <c r="Y26" i="25"/>
  <c r="Z26" i="25"/>
  <c r="AA26" i="25"/>
  <c r="AB26" i="25"/>
  <c r="AC26" i="25"/>
  <c r="AD26" i="25"/>
  <c r="AE26" i="25"/>
  <c r="AF26" i="25"/>
  <c r="AG26" i="25"/>
  <c r="AH26" i="25"/>
  <c r="AI26" i="25"/>
  <c r="AJ26" i="25"/>
  <c r="H25" i="24"/>
  <c r="K25" i="24"/>
  <c r="N25" i="24"/>
  <c r="Q25" i="24"/>
  <c r="T25" i="24"/>
  <c r="W25" i="24"/>
  <c r="Z25" i="24"/>
  <c r="AC25" i="24"/>
  <c r="AF25" i="24"/>
  <c r="AI25" i="24"/>
  <c r="G25" i="23"/>
  <c r="J25" i="23"/>
  <c r="M25" i="23"/>
  <c r="P25" i="23"/>
  <c r="S25" i="23"/>
  <c r="V25" i="23"/>
  <c r="Y25" i="23"/>
  <c r="AB25" i="23"/>
  <c r="AE25" i="23"/>
  <c r="AH25" i="23"/>
  <c r="H25" i="22"/>
  <c r="K25" i="22"/>
  <c r="N25" i="22"/>
  <c r="Q25" i="22"/>
  <c r="T25" i="22"/>
  <c r="W25" i="22"/>
  <c r="Z25" i="22"/>
  <c r="AC25" i="22"/>
  <c r="AF25" i="22"/>
  <c r="AI25" i="22"/>
  <c r="G25" i="21"/>
  <c r="J25" i="21"/>
  <c r="M25" i="21"/>
  <c r="P25" i="21"/>
  <c r="S25" i="21"/>
  <c r="V25" i="21"/>
  <c r="Y25" i="21"/>
  <c r="AB25" i="21"/>
  <c r="AE25" i="21"/>
  <c r="AH25" i="21"/>
  <c r="G25" i="20"/>
  <c r="J25" i="20"/>
  <c r="M25" i="20"/>
  <c r="P25" i="20"/>
  <c r="S25" i="20"/>
  <c r="V25" i="20"/>
  <c r="Y25" i="20"/>
  <c r="AB25" i="20"/>
  <c r="AE25" i="20"/>
  <c r="AH25" i="20"/>
  <c r="H25" i="19"/>
  <c r="K25" i="19"/>
  <c r="N25" i="19"/>
  <c r="Q25" i="19"/>
  <c r="T25" i="19"/>
  <c r="W25" i="19"/>
  <c r="Z25" i="19"/>
  <c r="AC25" i="19"/>
  <c r="AF25" i="19"/>
  <c r="AI25" i="19"/>
  <c r="G25" i="18"/>
  <c r="J25" i="18"/>
  <c r="M25" i="18"/>
  <c r="P25" i="18"/>
  <c r="S25" i="18"/>
  <c r="V25" i="18"/>
  <c r="Y25" i="18"/>
  <c r="AB25" i="18"/>
  <c r="AE25" i="18"/>
  <c r="AH25" i="18"/>
  <c r="F25" i="24"/>
  <c r="I25" i="24"/>
  <c r="L25" i="24"/>
  <c r="O25" i="24"/>
  <c r="R25" i="24"/>
  <c r="U25" i="24"/>
  <c r="X25" i="24"/>
  <c r="AA25" i="24"/>
  <c r="AD25" i="24"/>
  <c r="AG25" i="24"/>
  <c r="H25" i="23"/>
  <c r="K25" i="23"/>
  <c r="N25" i="23"/>
  <c r="Q25" i="23"/>
  <c r="T25" i="23"/>
  <c r="W25" i="23"/>
  <c r="Z25" i="23"/>
  <c r="AC25" i="23"/>
  <c r="AF25" i="23"/>
  <c r="AI25" i="23"/>
  <c r="F25" i="22"/>
  <c r="I25" i="22"/>
  <c r="L25" i="22"/>
  <c r="O25" i="22"/>
  <c r="R25" i="22"/>
  <c r="U25" i="22"/>
  <c r="X25" i="22"/>
  <c r="AA25" i="22"/>
  <c r="AD25" i="22"/>
  <c r="AG25" i="22"/>
  <c r="H25" i="21"/>
  <c r="K25" i="21"/>
  <c r="N25" i="21"/>
  <c r="Q25" i="21"/>
  <c r="T25" i="21"/>
  <c r="W25" i="21"/>
  <c r="Z25" i="21"/>
  <c r="AC25" i="21"/>
  <c r="AF25" i="21"/>
  <c r="AI25" i="21"/>
  <c r="H25" i="20"/>
  <c r="K25" i="20"/>
  <c r="N25" i="20"/>
  <c r="Q25" i="20"/>
  <c r="T25" i="20"/>
  <c r="W25" i="20"/>
  <c r="Z25" i="20"/>
  <c r="AC25" i="20"/>
  <c r="AF25" i="20"/>
  <c r="AI25" i="20"/>
  <c r="F25" i="19"/>
  <c r="E25" i="19" s="1"/>
  <c r="I25" i="19"/>
  <c r="L25" i="19"/>
  <c r="O25" i="19"/>
  <c r="R25" i="19"/>
  <c r="U25" i="19"/>
  <c r="X25" i="19"/>
  <c r="AA25" i="19"/>
  <c r="AD25" i="19"/>
  <c r="AG25" i="19"/>
  <c r="H25" i="18"/>
  <c r="K25" i="18"/>
  <c r="N25" i="18"/>
  <c r="Q25" i="18"/>
  <c r="T25" i="18"/>
  <c r="W25" i="18"/>
  <c r="Z25" i="18"/>
  <c r="AC25" i="18"/>
  <c r="AF25" i="18"/>
  <c r="AI25" i="18"/>
  <c r="F25" i="17"/>
  <c r="I25" i="17"/>
  <c r="L25" i="17"/>
  <c r="O25" i="17"/>
  <c r="G25" i="24"/>
  <c r="J25" i="24"/>
  <c r="M25" i="24"/>
  <c r="P25" i="24"/>
  <c r="S25" i="24"/>
  <c r="V25" i="24"/>
  <c r="Y25" i="24"/>
  <c r="AB25" i="24"/>
  <c r="AE25" i="24"/>
  <c r="AH25" i="24"/>
  <c r="F25" i="23"/>
  <c r="I25" i="23"/>
  <c r="L25" i="23"/>
  <c r="O25" i="23"/>
  <c r="R25" i="23"/>
  <c r="U25" i="23"/>
  <c r="X25" i="23"/>
  <c r="AA25" i="23"/>
  <c r="AD25" i="23"/>
  <c r="AG25" i="23"/>
  <c r="AJ25" i="23"/>
  <c r="G25" i="22"/>
  <c r="J25" i="22"/>
  <c r="M25" i="22"/>
  <c r="P25" i="22"/>
  <c r="S25" i="22"/>
  <c r="V25" i="22"/>
  <c r="Y25" i="22"/>
  <c r="AB25" i="22"/>
  <c r="AE25" i="22"/>
  <c r="AH25" i="22"/>
  <c r="F25" i="21"/>
  <c r="I25" i="21"/>
  <c r="L25" i="21"/>
  <c r="O25" i="21"/>
  <c r="R25" i="21"/>
  <c r="U25" i="21"/>
  <c r="X25" i="21"/>
  <c r="AA25" i="21"/>
  <c r="AD25" i="21"/>
  <c r="AG25" i="21"/>
  <c r="AJ25" i="21"/>
  <c r="F25" i="20"/>
  <c r="I25" i="20"/>
  <c r="L25" i="20"/>
  <c r="O25" i="20"/>
  <c r="R25" i="20"/>
  <c r="U25" i="20"/>
  <c r="X25" i="20"/>
  <c r="AA25" i="20"/>
  <c r="AD25" i="20"/>
  <c r="AG25" i="20"/>
  <c r="AJ25" i="20"/>
  <c r="G25" i="19"/>
  <c r="J25" i="19"/>
  <c r="M25" i="19"/>
  <c r="P25" i="19"/>
  <c r="S25" i="19"/>
  <c r="V25" i="19"/>
  <c r="Y25" i="19"/>
  <c r="AB25" i="19"/>
  <c r="AE25" i="19"/>
  <c r="AH25" i="19"/>
  <c r="F25" i="18"/>
  <c r="I25" i="18"/>
  <c r="L25" i="18"/>
  <c r="O25" i="18"/>
  <c r="R25" i="18"/>
  <c r="U25" i="18"/>
  <c r="X25" i="18"/>
  <c r="AA25" i="18"/>
  <c r="AD25" i="18"/>
  <c r="AG25" i="18"/>
  <c r="AJ25" i="18"/>
  <c r="AE25" i="15"/>
  <c r="AB25" i="15"/>
  <c r="Y25" i="15"/>
  <c r="V25" i="15"/>
  <c r="S25" i="15"/>
  <c r="P25" i="15"/>
  <c r="M25" i="15"/>
  <c r="J25" i="15"/>
  <c r="G25" i="15"/>
  <c r="E26" i="16"/>
  <c r="P22" i="7" s="1"/>
  <c r="AH25" i="16"/>
  <c r="AE25" i="16"/>
  <c r="AB25" i="16"/>
  <c r="Y25" i="16"/>
  <c r="V25" i="16"/>
  <c r="S25" i="16"/>
  <c r="P25" i="16"/>
  <c r="M25" i="16"/>
  <c r="J25" i="16"/>
  <c r="G25" i="16"/>
  <c r="AI25" i="17"/>
  <c r="AF25" i="17"/>
  <c r="AC25" i="17"/>
  <c r="Z25" i="17"/>
  <c r="W25" i="17"/>
  <c r="T25" i="17"/>
  <c r="Q25" i="17"/>
  <c r="M25" i="17"/>
  <c r="H25" i="17"/>
  <c r="F29" i="10"/>
  <c r="AJ29" i="10"/>
  <c r="AG29" i="10"/>
  <c r="AD29" i="10"/>
  <c r="AA29" i="10"/>
  <c r="X29" i="10"/>
  <c r="T29" i="10"/>
  <c r="P29" i="10"/>
  <c r="K29" i="10"/>
  <c r="AG25" i="15"/>
  <c r="AD25" i="15"/>
  <c r="AA25" i="15"/>
  <c r="X25" i="15"/>
  <c r="U25" i="15"/>
  <c r="R25" i="15"/>
  <c r="O25" i="15"/>
  <c r="L25" i="15"/>
  <c r="I25" i="15"/>
  <c r="F25" i="15"/>
  <c r="E28" i="16"/>
  <c r="AJ25" i="16"/>
  <c r="AG25" i="16"/>
  <c r="AD25" i="16"/>
  <c r="AA25" i="16"/>
  <c r="X25" i="16"/>
  <c r="U25" i="16"/>
  <c r="R25" i="16"/>
  <c r="O25" i="16"/>
  <c r="L25" i="16"/>
  <c r="I25" i="16"/>
  <c r="F25" i="16"/>
  <c r="E27" i="17"/>
  <c r="AH25" i="17"/>
  <c r="AE25" i="17"/>
  <c r="AB25" i="17"/>
  <c r="Y25" i="17"/>
  <c r="V25" i="17"/>
  <c r="S25" i="17"/>
  <c r="P25" i="17"/>
  <c r="K25" i="17"/>
  <c r="G25" i="17"/>
  <c r="E28" i="18"/>
  <c r="E28" i="21"/>
  <c r="E29" i="22"/>
  <c r="V25" i="7" s="1"/>
  <c r="E28" i="22"/>
  <c r="E28" i="23"/>
  <c r="E30" i="25"/>
  <c r="Y25" i="7" s="1"/>
  <c r="E28" i="20"/>
  <c r="E27" i="20"/>
  <c r="E26" i="20"/>
  <c r="T22" i="7" s="1"/>
  <c r="E29" i="21"/>
  <c r="U25" i="7" s="1"/>
  <c r="E27" i="21"/>
  <c r="E26" i="21"/>
  <c r="U22" i="7" s="1"/>
  <c r="E27" i="22"/>
  <c r="E26" i="22"/>
  <c r="V22" i="7" s="1"/>
  <c r="E29" i="24"/>
  <c r="E27" i="24"/>
  <c r="E26" i="24"/>
  <c r="X22" i="7" s="1"/>
  <c r="E29" i="18"/>
  <c r="R25" i="7" s="1"/>
  <c r="E27" i="18"/>
  <c r="E29" i="20"/>
  <c r="T25" i="7" s="1"/>
  <c r="E29" i="23"/>
  <c r="W25" i="7" s="1"/>
  <c r="E27" i="23"/>
  <c r="E26" i="23"/>
  <c r="W22" i="7" s="1"/>
  <c r="E28" i="24"/>
  <c r="E29" i="25"/>
  <c r="E28" i="25"/>
  <c r="E27" i="25"/>
  <c r="Y22" i="7" s="1"/>
  <c r="E26" i="18"/>
  <c r="R22" i="7" s="1"/>
  <c r="E25" i="25"/>
  <c r="Y20" i="7" s="1"/>
  <c r="E24" i="24"/>
  <c r="X20" i="7" s="1"/>
  <c r="E24" i="23"/>
  <c r="W20" i="7" s="1"/>
  <c r="E24" i="22"/>
  <c r="V20" i="7" s="1"/>
  <c r="E24" i="21"/>
  <c r="U20" i="7" s="1"/>
  <c r="E24" i="20"/>
  <c r="T20" i="7" s="1"/>
  <c r="E29" i="19"/>
  <c r="S25" i="7" s="1"/>
  <c r="E27" i="19"/>
  <c r="E26" i="19"/>
  <c r="S22" i="7" s="1"/>
  <c r="E28" i="19"/>
  <c r="E24" i="19"/>
  <c r="S20" i="7" s="1"/>
  <c r="E24" i="18"/>
  <c r="R20" i="7" s="1"/>
  <c r="E24" i="17"/>
  <c r="Q20" i="7" s="1"/>
  <c r="E24" i="16"/>
  <c r="P20" i="7" s="1"/>
  <c r="E27" i="15"/>
  <c r="E29" i="15"/>
  <c r="O25" i="7" s="1"/>
  <c r="E28" i="15"/>
  <c r="E26" i="15"/>
  <c r="O22" i="7" s="1"/>
  <c r="E24" i="15"/>
  <c r="O20" i="7" s="1"/>
  <c r="F36" i="10"/>
  <c r="AI39" i="17"/>
  <c r="AH21" i="22"/>
  <c r="AE21" i="22"/>
  <c r="AB21" i="22"/>
  <c r="Y21" i="22"/>
  <c r="V21" i="22"/>
  <c r="S21" i="22"/>
  <c r="P21" i="22"/>
  <c r="M21" i="22"/>
  <c r="J21" i="22"/>
  <c r="G21" i="22"/>
  <c r="AH21" i="21"/>
  <c r="AE21" i="21"/>
  <c r="AB21" i="21"/>
  <c r="Y21" i="21"/>
  <c r="V21" i="21"/>
  <c r="S21" i="21"/>
  <c r="P21" i="21"/>
  <c r="M21" i="21"/>
  <c r="J21" i="21"/>
  <c r="G21" i="21"/>
  <c r="AJ21" i="20"/>
  <c r="AH21" i="20"/>
  <c r="AE21" i="20"/>
  <c r="AB21" i="20"/>
  <c r="Y21" i="20"/>
  <c r="V21" i="20"/>
  <c r="S21" i="20"/>
  <c r="P21" i="20"/>
  <c r="M21" i="20"/>
  <c r="J21" i="20"/>
  <c r="G21" i="20"/>
  <c r="AH21" i="19"/>
  <c r="AE21" i="19"/>
  <c r="AB21" i="19"/>
  <c r="Y21" i="19"/>
  <c r="V21" i="19"/>
  <c r="S21" i="19"/>
  <c r="P21" i="19"/>
  <c r="M21" i="19"/>
  <c r="J21" i="19"/>
  <c r="G21" i="19"/>
  <c r="AJ21" i="18"/>
  <c r="AG21" i="22"/>
  <c r="AD21" i="22"/>
  <c r="AA21" i="22"/>
  <c r="X21" i="22"/>
  <c r="U21" i="22"/>
  <c r="R21" i="22"/>
  <c r="O21" i="22"/>
  <c r="L21" i="22"/>
  <c r="I21" i="22"/>
  <c r="F21" i="22"/>
  <c r="AJ21" i="21"/>
  <c r="AG21" i="21"/>
  <c r="AD21" i="21"/>
  <c r="AA21" i="21"/>
  <c r="X21" i="21"/>
  <c r="U21" i="21"/>
  <c r="R21" i="21"/>
  <c r="O21" i="21"/>
  <c r="L21" i="21"/>
  <c r="I21" i="21"/>
  <c r="F21" i="21"/>
  <c r="AG21" i="20"/>
  <c r="AD21" i="20"/>
  <c r="AA21" i="20"/>
  <c r="X21" i="20"/>
  <c r="U21" i="20"/>
  <c r="R21" i="20"/>
  <c r="O21" i="20"/>
  <c r="L21" i="20"/>
  <c r="I21" i="20"/>
  <c r="F21" i="20"/>
  <c r="AG21" i="19"/>
  <c r="AD21" i="19"/>
  <c r="AA21" i="19"/>
  <c r="X21" i="19"/>
  <c r="U21" i="19"/>
  <c r="R21" i="19"/>
  <c r="O21" i="19"/>
  <c r="L21" i="19"/>
  <c r="I21" i="19"/>
  <c r="F21" i="19"/>
  <c r="AI21" i="22"/>
  <c r="AF21" i="22"/>
  <c r="AC21" i="22"/>
  <c r="Z21" i="22"/>
  <c r="W21" i="22"/>
  <c r="T21" i="22"/>
  <c r="Q21" i="22"/>
  <c r="N21" i="22"/>
  <c r="K21" i="22"/>
  <c r="H21" i="22"/>
  <c r="AI21" i="21"/>
  <c r="AF21" i="21"/>
  <c r="AC21" i="21"/>
  <c r="Z21" i="21"/>
  <c r="W21" i="21"/>
  <c r="T21" i="21"/>
  <c r="Q21" i="21"/>
  <c r="N21" i="21"/>
  <c r="K21" i="21"/>
  <c r="H21" i="21"/>
  <c r="AI21" i="20"/>
  <c r="AF21" i="20"/>
  <c r="AC21" i="20"/>
  <c r="Z21" i="20"/>
  <c r="W21" i="20"/>
  <c r="T21" i="20"/>
  <c r="Q21" i="20"/>
  <c r="N21" i="20"/>
  <c r="K21" i="20"/>
  <c r="H21" i="20"/>
  <c r="AI21" i="19"/>
  <c r="AF21" i="19"/>
  <c r="AC21" i="19"/>
  <c r="Z21" i="19"/>
  <c r="W21" i="19"/>
  <c r="T21" i="19"/>
  <c r="Q21" i="19"/>
  <c r="N21" i="19"/>
  <c r="K21" i="19"/>
  <c r="H21" i="19"/>
  <c r="AH21" i="18"/>
  <c r="AE21" i="18"/>
  <c r="AB21" i="18"/>
  <c r="Y21" i="18"/>
  <c r="V21" i="18"/>
  <c r="S21" i="18"/>
  <c r="P21" i="18"/>
  <c r="M21" i="18"/>
  <c r="J21" i="18"/>
  <c r="G21" i="18"/>
  <c r="AH21" i="17"/>
  <c r="AE21" i="17"/>
  <c r="AB21" i="17"/>
  <c r="Y21" i="17"/>
  <c r="V21" i="17"/>
  <c r="S21" i="17"/>
  <c r="P21" i="17"/>
  <c r="M21" i="17"/>
  <c r="J21" i="17"/>
  <c r="G21" i="17"/>
  <c r="AH21" i="16"/>
  <c r="AE21" i="16"/>
  <c r="AB21" i="16"/>
  <c r="Y21" i="16"/>
  <c r="V21" i="16"/>
  <c r="S21" i="16"/>
  <c r="P21" i="16"/>
  <c r="M21" i="16"/>
  <c r="J21" i="16"/>
  <c r="G21" i="16"/>
  <c r="F21" i="15"/>
  <c r="AG21" i="18"/>
  <c r="AD21" i="18"/>
  <c r="AA21" i="18"/>
  <c r="X21" i="18"/>
  <c r="U21" i="18"/>
  <c r="R21" i="18"/>
  <c r="O21" i="18"/>
  <c r="L21" i="18"/>
  <c r="I21" i="18"/>
  <c r="F21" i="18"/>
  <c r="AG21" i="17"/>
  <c r="AD21" i="17"/>
  <c r="AA21" i="17"/>
  <c r="X21" i="17"/>
  <c r="U21" i="17"/>
  <c r="R21" i="17"/>
  <c r="O21" i="17"/>
  <c r="L21" i="17"/>
  <c r="I21" i="17"/>
  <c r="F21" i="17"/>
  <c r="AJ21" i="16"/>
  <c r="AG21" i="16"/>
  <c r="AD21" i="16"/>
  <c r="AA21" i="16"/>
  <c r="X21" i="16"/>
  <c r="U21" i="16"/>
  <c r="R21" i="16"/>
  <c r="O21" i="16"/>
  <c r="L21" i="16"/>
  <c r="I21" i="16"/>
  <c r="F21" i="16"/>
  <c r="G21" i="15"/>
  <c r="AI21" i="18"/>
  <c r="AF21" i="18"/>
  <c r="AC21" i="18"/>
  <c r="Z21" i="18"/>
  <c r="W21" i="18"/>
  <c r="T21" i="18"/>
  <c r="Q21" i="18"/>
  <c r="N21" i="18"/>
  <c r="K21" i="18"/>
  <c r="H21" i="18"/>
  <c r="AI21" i="17"/>
  <c r="AF21" i="17"/>
  <c r="AC21" i="17"/>
  <c r="Z21" i="17"/>
  <c r="W21" i="17"/>
  <c r="T21" i="17"/>
  <c r="Q21" i="17"/>
  <c r="N21" i="17"/>
  <c r="K21" i="17"/>
  <c r="H21" i="17"/>
  <c r="AI21" i="16"/>
  <c r="AF21" i="16"/>
  <c r="AC21" i="16"/>
  <c r="Z21" i="16"/>
  <c r="W21" i="16"/>
  <c r="T21" i="16"/>
  <c r="Q21" i="16"/>
  <c r="N21" i="16"/>
  <c r="K21" i="16"/>
  <c r="H21" i="16"/>
  <c r="AH31" i="22"/>
  <c r="AE31" i="22"/>
  <c r="AB31" i="22"/>
  <c r="Y31" i="22"/>
  <c r="V31" i="22"/>
  <c r="S31" i="22"/>
  <c r="P31" i="22"/>
  <c r="M31" i="22"/>
  <c r="J31" i="22"/>
  <c r="G31" i="22"/>
  <c r="AH31" i="21"/>
  <c r="AE31" i="21"/>
  <c r="AB31" i="21"/>
  <c r="Y31" i="21"/>
  <c r="V31" i="21"/>
  <c r="S31" i="21"/>
  <c r="P31" i="21"/>
  <c r="M31" i="21"/>
  <c r="J31" i="21"/>
  <c r="G31" i="21"/>
  <c r="AJ31" i="20"/>
  <c r="AH31" i="20"/>
  <c r="AE31" i="20"/>
  <c r="AB31" i="20"/>
  <c r="Y31" i="20"/>
  <c r="V31" i="20"/>
  <c r="S31" i="20"/>
  <c r="P31" i="20"/>
  <c r="M31" i="20"/>
  <c r="J31" i="20"/>
  <c r="G31" i="20"/>
  <c r="AH31" i="19"/>
  <c r="AE31" i="19"/>
  <c r="AB31" i="19"/>
  <c r="Y31" i="19"/>
  <c r="V31" i="19"/>
  <c r="S31" i="19"/>
  <c r="P31" i="19"/>
  <c r="M31" i="19"/>
  <c r="J31" i="19"/>
  <c r="G31" i="19"/>
  <c r="AJ31" i="18"/>
  <c r="AG31" i="22"/>
  <c r="AD31" i="22"/>
  <c r="AA31" i="22"/>
  <c r="X31" i="22"/>
  <c r="U31" i="22"/>
  <c r="R31" i="22"/>
  <c r="O31" i="22"/>
  <c r="L31" i="22"/>
  <c r="I31" i="22"/>
  <c r="F31" i="22"/>
  <c r="AJ31" i="21"/>
  <c r="AG31" i="21"/>
  <c r="AD31" i="21"/>
  <c r="AA31" i="21"/>
  <c r="X31" i="21"/>
  <c r="U31" i="21"/>
  <c r="R31" i="21"/>
  <c r="O31" i="21"/>
  <c r="L31" i="21"/>
  <c r="I31" i="21"/>
  <c r="F31" i="21"/>
  <c r="AG31" i="20"/>
  <c r="AD31" i="20"/>
  <c r="AA31" i="20"/>
  <c r="X31" i="20"/>
  <c r="U31" i="20"/>
  <c r="R31" i="20"/>
  <c r="O31" i="20"/>
  <c r="L31" i="20"/>
  <c r="I31" i="20"/>
  <c r="F31" i="20"/>
  <c r="AG31" i="19"/>
  <c r="AD31" i="19"/>
  <c r="AA31" i="19"/>
  <c r="X31" i="19"/>
  <c r="U31" i="19"/>
  <c r="R31" i="19"/>
  <c r="O31" i="19"/>
  <c r="L31" i="19"/>
  <c r="I31" i="19"/>
  <c r="F31" i="19"/>
  <c r="AG31" i="18"/>
  <c r="AD31" i="18"/>
  <c r="AA31" i="18"/>
  <c r="AI31" i="22"/>
  <c r="AF31" i="22"/>
  <c r="AC31" i="22"/>
  <c r="Z31" i="22"/>
  <c r="W31" i="22"/>
  <c r="T31" i="22"/>
  <c r="Q31" i="22"/>
  <c r="N31" i="22"/>
  <c r="K31" i="22"/>
  <c r="H31" i="22"/>
  <c r="AI31" i="21"/>
  <c r="AF31" i="21"/>
  <c r="AC31" i="21"/>
  <c r="Z31" i="21"/>
  <c r="W31" i="21"/>
  <c r="T31" i="21"/>
  <c r="Q31" i="21"/>
  <c r="N31" i="21"/>
  <c r="K31" i="21"/>
  <c r="H31" i="21"/>
  <c r="AI31" i="20"/>
  <c r="AF31" i="20"/>
  <c r="AC31" i="20"/>
  <c r="Z31" i="20"/>
  <c r="W31" i="20"/>
  <c r="T31" i="20"/>
  <c r="Q31" i="20"/>
  <c r="N31" i="20"/>
  <c r="K31" i="20"/>
  <c r="H31" i="20"/>
  <c r="AI31" i="19"/>
  <c r="AF31" i="19"/>
  <c r="AC31" i="19"/>
  <c r="Z31" i="19"/>
  <c r="W31" i="19"/>
  <c r="T31" i="19"/>
  <c r="Q31" i="19"/>
  <c r="N31" i="19"/>
  <c r="K31" i="19"/>
  <c r="H31" i="19"/>
  <c r="AH31" i="18"/>
  <c r="AC31" i="18"/>
  <c r="Y31" i="18"/>
  <c r="V31" i="18"/>
  <c r="S31" i="18"/>
  <c r="P31" i="18"/>
  <c r="M31" i="18"/>
  <c r="J31" i="18"/>
  <c r="G31" i="18"/>
  <c r="AH31" i="17"/>
  <c r="AE31" i="17"/>
  <c r="AB31" i="17"/>
  <c r="Y31" i="17"/>
  <c r="V31" i="17"/>
  <c r="S31" i="17"/>
  <c r="P31" i="17"/>
  <c r="M31" i="17"/>
  <c r="J31" i="17"/>
  <c r="G31" i="17"/>
  <c r="AH31" i="16"/>
  <c r="AE31" i="16"/>
  <c r="AB31" i="16"/>
  <c r="Y31" i="16"/>
  <c r="V31" i="16"/>
  <c r="S31" i="16"/>
  <c r="P31" i="16"/>
  <c r="M31" i="16"/>
  <c r="J31" i="16"/>
  <c r="G31" i="16"/>
  <c r="F31" i="15"/>
  <c r="AG31" i="15"/>
  <c r="AD31" i="15"/>
  <c r="AA31" i="15"/>
  <c r="X31" i="15"/>
  <c r="U31" i="15"/>
  <c r="R31" i="15"/>
  <c r="O31" i="15"/>
  <c r="L31" i="15"/>
  <c r="I31" i="15"/>
  <c r="AI29" i="14"/>
  <c r="AF29" i="14"/>
  <c r="AC29" i="14"/>
  <c r="Z29" i="14"/>
  <c r="W29" i="14"/>
  <c r="T29" i="14"/>
  <c r="Q29" i="14"/>
  <c r="N29" i="14"/>
  <c r="K29" i="14"/>
  <c r="H29" i="14"/>
  <c r="I29" i="10"/>
  <c r="L29" i="10"/>
  <c r="O29" i="10"/>
  <c r="R29" i="10"/>
  <c r="U29" i="10"/>
  <c r="AF31" i="18"/>
  <c r="AB31" i="18"/>
  <c r="X31" i="18"/>
  <c r="U31" i="18"/>
  <c r="R31" i="18"/>
  <c r="O31" i="18"/>
  <c r="L31" i="18"/>
  <c r="I31" i="18"/>
  <c r="F31" i="18"/>
  <c r="AG31" i="17"/>
  <c r="AD31" i="17"/>
  <c r="AA31" i="17"/>
  <c r="X31" i="17"/>
  <c r="U31" i="17"/>
  <c r="R31" i="17"/>
  <c r="O31" i="17"/>
  <c r="L31" i="17"/>
  <c r="I31" i="17"/>
  <c r="F31" i="17"/>
  <c r="AJ31" i="16"/>
  <c r="AG31" i="16"/>
  <c r="AD31" i="16"/>
  <c r="AA31" i="16"/>
  <c r="X31" i="16"/>
  <c r="U31" i="16"/>
  <c r="R31" i="16"/>
  <c r="O31" i="16"/>
  <c r="L31" i="16"/>
  <c r="I31" i="16"/>
  <c r="F31" i="16"/>
  <c r="G31" i="15"/>
  <c r="AF31" i="15"/>
  <c r="AC31" i="15"/>
  <c r="Z31" i="15"/>
  <c r="W31" i="15"/>
  <c r="T31" i="15"/>
  <c r="Q31" i="15"/>
  <c r="N31" i="15"/>
  <c r="K31" i="15"/>
  <c r="H31" i="15"/>
  <c r="AH29" i="14"/>
  <c r="AE29" i="14"/>
  <c r="AB29" i="14"/>
  <c r="Y29" i="14"/>
  <c r="V29" i="14"/>
  <c r="S29" i="14"/>
  <c r="P29" i="14"/>
  <c r="M29" i="14"/>
  <c r="J29" i="14"/>
  <c r="G29" i="14"/>
  <c r="AI31" i="18"/>
  <c r="AE31" i="18"/>
  <c r="Z31" i="18"/>
  <c r="W31" i="18"/>
  <c r="T31" i="18"/>
  <c r="Q31" i="18"/>
  <c r="N31" i="18"/>
  <c r="K31" i="18"/>
  <c r="H31" i="18"/>
  <c r="AI31" i="17"/>
  <c r="AF31" i="17"/>
  <c r="AC31" i="17"/>
  <c r="Z31" i="17"/>
  <c r="W31" i="17"/>
  <c r="T31" i="17"/>
  <c r="Q31" i="17"/>
  <c r="N31" i="17"/>
  <c r="K31" i="17"/>
  <c r="H31" i="17"/>
  <c r="AI31" i="16"/>
  <c r="AF31" i="16"/>
  <c r="AC31" i="16"/>
  <c r="Z31" i="16"/>
  <c r="W31" i="16"/>
  <c r="T31" i="16"/>
  <c r="Q31" i="16"/>
  <c r="N31" i="16"/>
  <c r="K31" i="16"/>
  <c r="H31" i="16"/>
  <c r="AE31" i="15"/>
  <c r="AB31" i="15"/>
  <c r="Y31" i="15"/>
  <c r="V31" i="15"/>
  <c r="S31" i="15"/>
  <c r="P31" i="15"/>
  <c r="M31" i="15"/>
  <c r="J31" i="15"/>
  <c r="AJ29" i="14"/>
  <c r="AG29" i="14"/>
  <c r="AD29" i="14"/>
  <c r="AA29" i="14"/>
  <c r="X29" i="14"/>
  <c r="U29" i="14"/>
  <c r="R29" i="14"/>
  <c r="O29" i="14"/>
  <c r="L29" i="14"/>
  <c r="I29" i="14"/>
  <c r="F29" i="14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AI36" i="10"/>
  <c r="AF36" i="10"/>
  <c r="AC36" i="10"/>
  <c r="Z36" i="10"/>
  <c r="W36" i="10"/>
  <c r="T36" i="10"/>
  <c r="Q36" i="10"/>
  <c r="N36" i="10"/>
  <c r="K36" i="10"/>
  <c r="H36" i="10"/>
  <c r="G37" i="14"/>
  <c r="J37" i="14"/>
  <c r="M37" i="14"/>
  <c r="P37" i="14"/>
  <c r="S37" i="14"/>
  <c r="V37" i="14"/>
  <c r="Y37" i="14"/>
  <c r="AB37" i="14"/>
  <c r="AE37" i="14"/>
  <c r="AH37" i="14"/>
  <c r="H39" i="15"/>
  <c r="K39" i="15"/>
  <c r="N39" i="15"/>
  <c r="Q39" i="15"/>
  <c r="T39" i="15"/>
  <c r="W39" i="15"/>
  <c r="Z39" i="15"/>
  <c r="AC39" i="15"/>
  <c r="AF39" i="15"/>
  <c r="F39" i="15"/>
  <c r="G39" i="16"/>
  <c r="J39" i="16"/>
  <c r="M39" i="16"/>
  <c r="P39" i="16"/>
  <c r="S39" i="16"/>
  <c r="V39" i="16"/>
  <c r="Y39" i="16"/>
  <c r="AB39" i="16"/>
  <c r="AE39" i="16"/>
  <c r="AH39" i="16"/>
  <c r="H39" i="17"/>
  <c r="K39" i="17"/>
  <c r="N39" i="17"/>
  <c r="Q39" i="17"/>
  <c r="T39" i="17"/>
  <c r="W39" i="17"/>
  <c r="Z39" i="17"/>
  <c r="AE39" i="17"/>
  <c r="AJ40" i="25"/>
  <c r="AG40" i="25"/>
  <c r="AD40" i="25"/>
  <c r="AA40" i="25"/>
  <c r="X40" i="25"/>
  <c r="U40" i="25"/>
  <c r="R40" i="25"/>
  <c r="O40" i="25"/>
  <c r="L40" i="25"/>
  <c r="I40" i="25"/>
  <c r="F40" i="25"/>
  <c r="AI39" i="24"/>
  <c r="AF39" i="24"/>
  <c r="AC39" i="24"/>
  <c r="Z39" i="24"/>
  <c r="W39" i="24"/>
  <c r="T39" i="24"/>
  <c r="Q39" i="24"/>
  <c r="N39" i="24"/>
  <c r="K39" i="24"/>
  <c r="H39" i="24"/>
  <c r="AH39" i="23"/>
  <c r="AE39" i="23"/>
  <c r="AB39" i="23"/>
  <c r="Y39" i="23"/>
  <c r="V39" i="23"/>
  <c r="S39" i="23"/>
  <c r="P39" i="23"/>
  <c r="M39" i="23"/>
  <c r="J39" i="23"/>
  <c r="G39" i="23"/>
  <c r="AG39" i="22"/>
  <c r="AD39" i="22"/>
  <c r="AA39" i="22"/>
  <c r="X39" i="22"/>
  <c r="U39" i="22"/>
  <c r="R39" i="22"/>
  <c r="O39" i="22"/>
  <c r="L39" i="22"/>
  <c r="I39" i="22"/>
  <c r="F39" i="22"/>
  <c r="AI39" i="21"/>
  <c r="AF39" i="21"/>
  <c r="AC39" i="21"/>
  <c r="Z39" i="21"/>
  <c r="W39" i="21"/>
  <c r="T39" i="21"/>
  <c r="Q39" i="21"/>
  <c r="N39" i="21"/>
  <c r="K39" i="21"/>
  <c r="H39" i="21"/>
  <c r="AI39" i="20"/>
  <c r="AF39" i="20"/>
  <c r="AC39" i="20"/>
  <c r="Z39" i="20"/>
  <c r="W39" i="20"/>
  <c r="T39" i="20"/>
  <c r="Q39" i="20"/>
  <c r="N39" i="20"/>
  <c r="K39" i="20"/>
  <c r="H39" i="20"/>
  <c r="AI39" i="19"/>
  <c r="AF39" i="19"/>
  <c r="AC39" i="19"/>
  <c r="Z39" i="19"/>
  <c r="W39" i="19"/>
  <c r="T39" i="19"/>
  <c r="Q39" i="19"/>
  <c r="N39" i="19"/>
  <c r="K39" i="19"/>
  <c r="H39" i="19"/>
  <c r="AJ39" i="18"/>
  <c r="AG39" i="18"/>
  <c r="AD39" i="18"/>
  <c r="AA39" i="18"/>
  <c r="X39" i="18"/>
  <c r="U39" i="18"/>
  <c r="R39" i="18"/>
  <c r="O39" i="18"/>
  <c r="L39" i="18"/>
  <c r="I39" i="18"/>
  <c r="F39" i="18"/>
  <c r="AG39" i="17"/>
  <c r="AD39" i="17"/>
  <c r="AA39" i="17"/>
  <c r="AI40" i="25"/>
  <c r="AF40" i="25"/>
  <c r="AC40" i="25"/>
  <c r="Z40" i="25"/>
  <c r="W40" i="25"/>
  <c r="T40" i="25"/>
  <c r="Q40" i="25"/>
  <c r="N40" i="25"/>
  <c r="K40" i="25"/>
  <c r="H40" i="25"/>
  <c r="AH39" i="24"/>
  <c r="AE39" i="24"/>
  <c r="AB39" i="24"/>
  <c r="Y39" i="24"/>
  <c r="V39" i="24"/>
  <c r="S39" i="24"/>
  <c r="P39" i="24"/>
  <c r="M39" i="24"/>
  <c r="J39" i="24"/>
  <c r="G39" i="24"/>
  <c r="AJ39" i="23"/>
  <c r="AG39" i="23"/>
  <c r="AD39" i="23"/>
  <c r="AA39" i="23"/>
  <c r="X39" i="23"/>
  <c r="U39" i="23"/>
  <c r="R39" i="23"/>
  <c r="O39" i="23"/>
  <c r="L39" i="23"/>
  <c r="I39" i="23"/>
  <c r="F39" i="23"/>
  <c r="AI39" i="22"/>
  <c r="AF39" i="22"/>
  <c r="AC39" i="22"/>
  <c r="Z39" i="22"/>
  <c r="W39" i="22"/>
  <c r="T39" i="22"/>
  <c r="Q39" i="22"/>
  <c r="N39" i="22"/>
  <c r="K39" i="22"/>
  <c r="H39" i="22"/>
  <c r="AH39" i="21"/>
  <c r="AE39" i="21"/>
  <c r="AB39" i="21"/>
  <c r="Y39" i="21"/>
  <c r="V39" i="21"/>
  <c r="S39" i="21"/>
  <c r="P39" i="21"/>
  <c r="M39" i="21"/>
  <c r="J39" i="21"/>
  <c r="G39" i="21"/>
  <c r="AH39" i="20"/>
  <c r="AE39" i="20"/>
  <c r="AB39" i="20"/>
  <c r="Y39" i="20"/>
  <c r="V39" i="20"/>
  <c r="S39" i="20"/>
  <c r="P39" i="20"/>
  <c r="M39" i="20"/>
  <c r="J39" i="20"/>
  <c r="G39" i="20"/>
  <c r="AH39" i="19"/>
  <c r="AE39" i="19"/>
  <c r="AB39" i="19"/>
  <c r="Y39" i="19"/>
  <c r="V39" i="19"/>
  <c r="S39" i="19"/>
  <c r="P39" i="19"/>
  <c r="M39" i="19"/>
  <c r="J39" i="19"/>
  <c r="G39" i="19"/>
  <c r="AI39" i="18"/>
  <c r="AF39" i="18"/>
  <c r="AC39" i="18"/>
  <c r="Z39" i="18"/>
  <c r="W39" i="18"/>
  <c r="T39" i="18"/>
  <c r="Q39" i="18"/>
  <c r="N39" i="18"/>
  <c r="K39" i="18"/>
  <c r="H39" i="18"/>
  <c r="AH40" i="25"/>
  <c r="AE40" i="25"/>
  <c r="AB40" i="25"/>
  <c r="Y40" i="25"/>
  <c r="V40" i="25"/>
  <c r="S40" i="25"/>
  <c r="P40" i="25"/>
  <c r="M40" i="25"/>
  <c r="J40" i="25"/>
  <c r="G40" i="25"/>
  <c r="AG39" i="24"/>
  <c r="AD39" i="24"/>
  <c r="AA39" i="24"/>
  <c r="X39" i="24"/>
  <c r="U39" i="24"/>
  <c r="R39" i="24"/>
  <c r="O39" i="24"/>
  <c r="L39" i="24"/>
  <c r="I39" i="24"/>
  <c r="F39" i="24"/>
  <c r="AI39" i="23"/>
  <c r="AF39" i="23"/>
  <c r="AC39" i="23"/>
  <c r="Z39" i="23"/>
  <c r="W39" i="23"/>
  <c r="T39" i="23"/>
  <c r="Q39" i="23"/>
  <c r="N39" i="23"/>
  <c r="K39" i="23"/>
  <c r="H39" i="23"/>
  <c r="AH39" i="22"/>
  <c r="AE39" i="22"/>
  <c r="AB39" i="22"/>
  <c r="Y39" i="22"/>
  <c r="V39" i="22"/>
  <c r="S39" i="22"/>
  <c r="P39" i="22"/>
  <c r="M39" i="22"/>
  <c r="J39" i="22"/>
  <c r="G39" i="22"/>
  <c r="AJ39" i="21"/>
  <c r="AG39" i="21"/>
  <c r="AD39" i="21"/>
  <c r="AA39" i="21"/>
  <c r="X39" i="21"/>
  <c r="U39" i="21"/>
  <c r="R39" i="21"/>
  <c r="O39" i="21"/>
  <c r="L39" i="21"/>
  <c r="I39" i="21"/>
  <c r="F39" i="21"/>
  <c r="AJ39" i="20"/>
  <c r="AG39" i="20"/>
  <c r="AD39" i="20"/>
  <c r="AA39" i="20"/>
  <c r="X39" i="20"/>
  <c r="U39" i="20"/>
  <c r="R39" i="20"/>
  <c r="O39" i="20"/>
  <c r="L39" i="20"/>
  <c r="I39" i="20"/>
  <c r="F39" i="20"/>
  <c r="AG39" i="19"/>
  <c r="AD39" i="19"/>
  <c r="AA39" i="19"/>
  <c r="X39" i="19"/>
  <c r="U39" i="19"/>
  <c r="R39" i="19"/>
  <c r="O39" i="19"/>
  <c r="L39" i="19"/>
  <c r="I39" i="19"/>
  <c r="F39" i="19"/>
  <c r="AH39" i="18"/>
  <c r="AE39" i="18"/>
  <c r="AB39" i="18"/>
  <c r="Y39" i="18"/>
  <c r="V39" i="18"/>
  <c r="S39" i="18"/>
  <c r="P39" i="18"/>
  <c r="M39" i="18"/>
  <c r="J39" i="18"/>
  <c r="G39" i="18"/>
  <c r="AH36" i="10"/>
  <c r="AE36" i="10"/>
  <c r="AB36" i="10"/>
  <c r="Y36" i="10"/>
  <c r="V36" i="10"/>
  <c r="S36" i="10"/>
  <c r="P36" i="10"/>
  <c r="M36" i="10"/>
  <c r="J36" i="10"/>
  <c r="G36" i="10"/>
  <c r="H37" i="14"/>
  <c r="K37" i="14"/>
  <c r="N37" i="14"/>
  <c r="Q37" i="14"/>
  <c r="T37" i="14"/>
  <c r="W37" i="14"/>
  <c r="Z37" i="14"/>
  <c r="AC37" i="14"/>
  <c r="AF37" i="14"/>
  <c r="AI37" i="14"/>
  <c r="I39" i="15"/>
  <c r="L39" i="15"/>
  <c r="O39" i="15"/>
  <c r="R39" i="15"/>
  <c r="U39" i="15"/>
  <c r="X39" i="15"/>
  <c r="AA39" i="15"/>
  <c r="AD39" i="15"/>
  <c r="AG39" i="15"/>
  <c r="H39" i="16"/>
  <c r="K39" i="16"/>
  <c r="N39" i="16"/>
  <c r="Q39" i="16"/>
  <c r="T39" i="16"/>
  <c r="W39" i="16"/>
  <c r="Z39" i="16"/>
  <c r="AC39" i="16"/>
  <c r="AF39" i="16"/>
  <c r="AI39" i="16"/>
  <c r="F39" i="17"/>
  <c r="I39" i="17"/>
  <c r="L39" i="17"/>
  <c r="O39" i="17"/>
  <c r="R39" i="17"/>
  <c r="U39" i="17"/>
  <c r="X39" i="17"/>
  <c r="AB39" i="17"/>
  <c r="AF39" i="17"/>
  <c r="AI32" i="14"/>
  <c r="AJ36" i="10"/>
  <c r="AG36" i="10"/>
  <c r="AD36" i="10"/>
  <c r="AA36" i="10"/>
  <c r="X36" i="10"/>
  <c r="U36" i="10"/>
  <c r="R36" i="10"/>
  <c r="O36" i="10"/>
  <c r="L36" i="10"/>
  <c r="I36" i="10"/>
  <c r="F37" i="14"/>
  <c r="I37" i="14"/>
  <c r="L37" i="14"/>
  <c r="O37" i="14"/>
  <c r="R37" i="14"/>
  <c r="U37" i="14"/>
  <c r="X37" i="14"/>
  <c r="AA37" i="14"/>
  <c r="AD37" i="14"/>
  <c r="AG37" i="14"/>
  <c r="AJ37" i="14"/>
  <c r="J39" i="15"/>
  <c r="M39" i="15"/>
  <c r="P39" i="15"/>
  <c r="S39" i="15"/>
  <c r="V39" i="15"/>
  <c r="Y39" i="15"/>
  <c r="AB39" i="15"/>
  <c r="AE39" i="15"/>
  <c r="G39" i="15"/>
  <c r="F39" i="16"/>
  <c r="I39" i="16"/>
  <c r="L39" i="16"/>
  <c r="O39" i="16"/>
  <c r="R39" i="16"/>
  <c r="U39" i="16"/>
  <c r="X39" i="16"/>
  <c r="AA39" i="16"/>
  <c r="AD39" i="16"/>
  <c r="AG39" i="16"/>
  <c r="AJ39" i="16"/>
  <c r="G39" i="17"/>
  <c r="J39" i="17"/>
  <c r="M39" i="17"/>
  <c r="P39" i="17"/>
  <c r="S39" i="17"/>
  <c r="V39" i="17"/>
  <c r="Y39" i="17"/>
  <c r="AC39" i="17"/>
  <c r="AH39" i="17"/>
  <c r="E46" i="25"/>
  <c r="E36" i="25"/>
  <c r="Y31" i="7" s="1"/>
  <c r="E35" i="24"/>
  <c r="X31" i="7" s="1"/>
  <c r="E35" i="23"/>
  <c r="W31" i="7" s="1"/>
  <c r="E35" i="22"/>
  <c r="V31" i="7" s="1"/>
  <c r="E35" i="21"/>
  <c r="U31" i="7" s="1"/>
  <c r="E35" i="20"/>
  <c r="T31" i="7" s="1"/>
  <c r="E35" i="19"/>
  <c r="S31" i="7" s="1"/>
  <c r="E35" i="18"/>
  <c r="R31" i="7" s="1"/>
  <c r="E35" i="17"/>
  <c r="Q31" i="7" s="1"/>
  <c r="E35" i="16"/>
  <c r="P31" i="7" s="1"/>
  <c r="E35" i="15"/>
  <c r="O31" i="7" s="1"/>
  <c r="E33" i="14"/>
  <c r="N31" i="7" s="1"/>
  <c r="E28" i="10"/>
  <c r="E45" i="22"/>
  <c r="AH32" i="10"/>
  <c r="AE32" i="10"/>
  <c r="AB32" i="10"/>
  <c r="Y32" i="10"/>
  <c r="V32" i="10"/>
  <c r="S32" i="10"/>
  <c r="P32" i="10"/>
  <c r="M32" i="10"/>
  <c r="J32" i="10"/>
  <c r="G32" i="10"/>
  <c r="AH43" i="22"/>
  <c r="AE43" i="22"/>
  <c r="AB43" i="22"/>
  <c r="Y43" i="22"/>
  <c r="V43" i="22"/>
  <c r="S43" i="22"/>
  <c r="P43" i="22"/>
  <c r="M43" i="22"/>
  <c r="J43" i="22"/>
  <c r="G43" i="22"/>
  <c r="AJ43" i="21"/>
  <c r="AG43" i="21"/>
  <c r="AD43" i="21"/>
  <c r="AA43" i="21"/>
  <c r="X43" i="21"/>
  <c r="U43" i="21"/>
  <c r="R43" i="21"/>
  <c r="O43" i="21"/>
  <c r="L43" i="21"/>
  <c r="I43" i="21"/>
  <c r="F43" i="21"/>
  <c r="AH43" i="20"/>
  <c r="AE43" i="20"/>
  <c r="AB43" i="20"/>
  <c r="Y43" i="20"/>
  <c r="V43" i="20"/>
  <c r="S43" i="20"/>
  <c r="P43" i="20"/>
  <c r="M43" i="20"/>
  <c r="J43" i="20"/>
  <c r="G43" i="20"/>
  <c r="AH43" i="19"/>
  <c r="AE43" i="19"/>
  <c r="AB43" i="19"/>
  <c r="Y43" i="19"/>
  <c r="V43" i="19"/>
  <c r="S43" i="19"/>
  <c r="P43" i="19"/>
  <c r="M43" i="19"/>
  <c r="J43" i="19"/>
  <c r="G43" i="19"/>
  <c r="AG43" i="22"/>
  <c r="AD43" i="22"/>
  <c r="AA43" i="22"/>
  <c r="X43" i="22"/>
  <c r="U43" i="22"/>
  <c r="R43" i="22"/>
  <c r="O43" i="22"/>
  <c r="L43" i="22"/>
  <c r="I43" i="22"/>
  <c r="F43" i="22"/>
  <c r="AI43" i="21"/>
  <c r="AF43" i="21"/>
  <c r="AC43" i="21"/>
  <c r="Z43" i="21"/>
  <c r="W43" i="21"/>
  <c r="T43" i="21"/>
  <c r="Q43" i="21"/>
  <c r="N43" i="21"/>
  <c r="K43" i="21"/>
  <c r="H43" i="21"/>
  <c r="AJ43" i="20"/>
  <c r="AG43" i="20"/>
  <c r="AD43" i="20"/>
  <c r="AA43" i="20"/>
  <c r="X43" i="20"/>
  <c r="U43" i="20"/>
  <c r="R43" i="20"/>
  <c r="O43" i="20"/>
  <c r="L43" i="20"/>
  <c r="I43" i="20"/>
  <c r="F43" i="20"/>
  <c r="AG43" i="19"/>
  <c r="AD43" i="19"/>
  <c r="AA43" i="19"/>
  <c r="X43" i="19"/>
  <c r="U43" i="19"/>
  <c r="R43" i="19"/>
  <c r="O43" i="19"/>
  <c r="L43" i="19"/>
  <c r="I43" i="19"/>
  <c r="F43" i="19"/>
  <c r="AI43" i="22"/>
  <c r="AF43" i="22"/>
  <c r="AC43" i="22"/>
  <c r="Z43" i="22"/>
  <c r="W43" i="22"/>
  <c r="T43" i="22"/>
  <c r="Q43" i="22"/>
  <c r="N43" i="22"/>
  <c r="K43" i="22"/>
  <c r="H43" i="22"/>
  <c r="AH43" i="21"/>
  <c r="AE43" i="21"/>
  <c r="AB43" i="21"/>
  <c r="Y43" i="21"/>
  <c r="V43" i="21"/>
  <c r="S43" i="21"/>
  <c r="P43" i="21"/>
  <c r="M43" i="21"/>
  <c r="J43" i="21"/>
  <c r="G43" i="21"/>
  <c r="AI43" i="20"/>
  <c r="AF43" i="20"/>
  <c r="AC43" i="20"/>
  <c r="Z43" i="20"/>
  <c r="W43" i="20"/>
  <c r="T43" i="20"/>
  <c r="Q43" i="20"/>
  <c r="N43" i="20"/>
  <c r="K43" i="20"/>
  <c r="H43" i="20"/>
  <c r="AI43" i="19"/>
  <c r="AF43" i="19"/>
  <c r="AC43" i="19"/>
  <c r="Z43" i="19"/>
  <c r="W43" i="19"/>
  <c r="T43" i="19"/>
  <c r="Q43" i="19"/>
  <c r="N43" i="19"/>
  <c r="K43" i="19"/>
  <c r="H43" i="19"/>
  <c r="AJ43" i="18"/>
  <c r="AG43" i="18"/>
  <c r="AD43" i="18"/>
  <c r="AA43" i="18"/>
  <c r="X43" i="18"/>
  <c r="U43" i="18"/>
  <c r="R43" i="18"/>
  <c r="O43" i="18"/>
  <c r="L43" i="18"/>
  <c r="I43" i="18"/>
  <c r="F43" i="18"/>
  <c r="AG43" i="17"/>
  <c r="AD43" i="17"/>
  <c r="AA43" i="17"/>
  <c r="X43" i="17"/>
  <c r="U43" i="17"/>
  <c r="R43" i="17"/>
  <c r="O43" i="17"/>
  <c r="L43" i="17"/>
  <c r="I43" i="17"/>
  <c r="F43" i="17"/>
  <c r="AI43" i="16"/>
  <c r="AF43" i="16"/>
  <c r="AC43" i="16"/>
  <c r="Z43" i="16"/>
  <c r="W43" i="16"/>
  <c r="T43" i="16"/>
  <c r="Q43" i="16"/>
  <c r="N43" i="16"/>
  <c r="K43" i="16"/>
  <c r="H43" i="16"/>
  <c r="AE43" i="15"/>
  <c r="AB43" i="15"/>
  <c r="Y43" i="15"/>
  <c r="V43" i="15"/>
  <c r="S43" i="15"/>
  <c r="P43" i="15"/>
  <c r="M43" i="15"/>
  <c r="J43" i="15"/>
  <c r="AI43" i="18"/>
  <c r="AF43" i="18"/>
  <c r="AC43" i="18"/>
  <c r="Z43" i="18"/>
  <c r="W43" i="18"/>
  <c r="T43" i="18"/>
  <c r="Q43" i="18"/>
  <c r="N43" i="18"/>
  <c r="K43" i="18"/>
  <c r="H43" i="18"/>
  <c r="AI43" i="17"/>
  <c r="AF43" i="17"/>
  <c r="AC43" i="17"/>
  <c r="Z43" i="17"/>
  <c r="W43" i="17"/>
  <c r="T43" i="17"/>
  <c r="Q43" i="17"/>
  <c r="N43" i="17"/>
  <c r="K43" i="17"/>
  <c r="H43" i="17"/>
  <c r="AH43" i="16"/>
  <c r="AE43" i="16"/>
  <c r="AB43" i="16"/>
  <c r="Y43" i="16"/>
  <c r="V43" i="16"/>
  <c r="S43" i="16"/>
  <c r="P43" i="16"/>
  <c r="M43" i="16"/>
  <c r="J43" i="16"/>
  <c r="G43" i="16"/>
  <c r="F43" i="15"/>
  <c r="AG43" i="15"/>
  <c r="AD43" i="15"/>
  <c r="AA43" i="15"/>
  <c r="X43" i="15"/>
  <c r="U43" i="15"/>
  <c r="R43" i="15"/>
  <c r="O43" i="15"/>
  <c r="L43" i="15"/>
  <c r="I43" i="15"/>
  <c r="AH41" i="14"/>
  <c r="AE41" i="14"/>
  <c r="AB41" i="14"/>
  <c r="Y41" i="14"/>
  <c r="V41" i="14"/>
  <c r="S41" i="14"/>
  <c r="P41" i="14"/>
  <c r="M41" i="14"/>
  <c r="J41" i="14"/>
  <c r="G41" i="14"/>
  <c r="AH43" i="18"/>
  <c r="AE43" i="18"/>
  <c r="AB43" i="18"/>
  <c r="Y43" i="18"/>
  <c r="V43" i="18"/>
  <c r="S43" i="18"/>
  <c r="P43" i="18"/>
  <c r="M43" i="18"/>
  <c r="J43" i="18"/>
  <c r="G43" i="18"/>
  <c r="AH43" i="17"/>
  <c r="AE43" i="17"/>
  <c r="AB43" i="17"/>
  <c r="Y43" i="17"/>
  <c r="V43" i="17"/>
  <c r="S43" i="17"/>
  <c r="P43" i="17"/>
  <c r="M43" i="17"/>
  <c r="J43" i="17"/>
  <c r="G43" i="17"/>
  <c r="AJ43" i="16"/>
  <c r="AG43" i="16"/>
  <c r="AD43" i="16"/>
  <c r="AA43" i="16"/>
  <c r="X43" i="16"/>
  <c r="U43" i="16"/>
  <c r="R43" i="16"/>
  <c r="O43" i="16"/>
  <c r="L43" i="16"/>
  <c r="I43" i="16"/>
  <c r="F43" i="16"/>
  <c r="G43" i="15"/>
  <c r="AF43" i="15"/>
  <c r="AC43" i="15"/>
  <c r="Z43" i="15"/>
  <c r="W43" i="15"/>
  <c r="T43" i="15"/>
  <c r="Q43" i="15"/>
  <c r="N43" i="15"/>
  <c r="K43" i="15"/>
  <c r="H43" i="15"/>
  <c r="AJ41" i="14"/>
  <c r="AG41" i="14"/>
  <c r="H32" i="14"/>
  <c r="K32" i="14"/>
  <c r="N32" i="14"/>
  <c r="Q32" i="14"/>
  <c r="T32" i="14"/>
  <c r="W32" i="14"/>
  <c r="Z32" i="14"/>
  <c r="AC32" i="14"/>
  <c r="AF32" i="14"/>
  <c r="I41" i="14"/>
  <c r="N41" i="14"/>
  <c r="R41" i="14"/>
  <c r="W41" i="14"/>
  <c r="AA41" i="14"/>
  <c r="AF41" i="14"/>
  <c r="AH34" i="22"/>
  <c r="AE34" i="22"/>
  <c r="AB34" i="22"/>
  <c r="Y34" i="22"/>
  <c r="V34" i="22"/>
  <c r="S34" i="22"/>
  <c r="P34" i="22"/>
  <c r="M34" i="22"/>
  <c r="J34" i="22"/>
  <c r="G34" i="22"/>
  <c r="AI34" i="21"/>
  <c r="AF34" i="21"/>
  <c r="AC34" i="21"/>
  <c r="Z34" i="21"/>
  <c r="W34" i="21"/>
  <c r="T34" i="21"/>
  <c r="Q34" i="21"/>
  <c r="N34" i="21"/>
  <c r="K34" i="21"/>
  <c r="H34" i="21"/>
  <c r="AH34" i="20"/>
  <c r="AE34" i="20"/>
  <c r="AB34" i="20"/>
  <c r="Y34" i="20"/>
  <c r="V34" i="20"/>
  <c r="S34" i="20"/>
  <c r="P34" i="20"/>
  <c r="M34" i="20"/>
  <c r="J34" i="20"/>
  <c r="G34" i="20"/>
  <c r="AG34" i="22"/>
  <c r="AD34" i="22"/>
  <c r="AA34" i="22"/>
  <c r="X34" i="22"/>
  <c r="U34" i="22"/>
  <c r="R34" i="22"/>
  <c r="O34" i="22"/>
  <c r="L34" i="22"/>
  <c r="I34" i="22"/>
  <c r="F34" i="22"/>
  <c r="AH34" i="21"/>
  <c r="AE34" i="21"/>
  <c r="AB34" i="21"/>
  <c r="Y34" i="21"/>
  <c r="V34" i="21"/>
  <c r="S34" i="21"/>
  <c r="P34" i="21"/>
  <c r="M34" i="21"/>
  <c r="J34" i="21"/>
  <c r="G34" i="21"/>
  <c r="AG34" i="20"/>
  <c r="AD34" i="20"/>
  <c r="AA34" i="20"/>
  <c r="X34" i="20"/>
  <c r="U34" i="20"/>
  <c r="R34" i="20"/>
  <c r="O34" i="20"/>
  <c r="L34" i="20"/>
  <c r="I34" i="20"/>
  <c r="F34" i="20"/>
  <c r="AG34" i="19"/>
  <c r="AD34" i="19"/>
  <c r="AA34" i="19"/>
  <c r="X34" i="19"/>
  <c r="U34" i="19"/>
  <c r="R34" i="19"/>
  <c r="O34" i="19"/>
  <c r="L34" i="19"/>
  <c r="I34" i="19"/>
  <c r="F34" i="19"/>
  <c r="AI34" i="22"/>
  <c r="AF34" i="22"/>
  <c r="AC34" i="22"/>
  <c r="Z34" i="22"/>
  <c r="W34" i="22"/>
  <c r="T34" i="22"/>
  <c r="Q34" i="22"/>
  <c r="N34" i="22"/>
  <c r="K34" i="22"/>
  <c r="H34" i="22"/>
  <c r="AJ34" i="21"/>
  <c r="AG34" i="21"/>
  <c r="AD34" i="21"/>
  <c r="AA34" i="21"/>
  <c r="X34" i="21"/>
  <c r="U34" i="21"/>
  <c r="R34" i="21"/>
  <c r="O34" i="21"/>
  <c r="L34" i="21"/>
  <c r="I34" i="21"/>
  <c r="F34" i="21"/>
  <c r="AJ34" i="20"/>
  <c r="AI34" i="20"/>
  <c r="AF34" i="20"/>
  <c r="AC34" i="20"/>
  <c r="Z34" i="20"/>
  <c r="W34" i="20"/>
  <c r="T34" i="20"/>
  <c r="Q34" i="20"/>
  <c r="N34" i="20"/>
  <c r="K34" i="20"/>
  <c r="H34" i="20"/>
  <c r="AI34" i="19"/>
  <c r="AF34" i="19"/>
  <c r="AC34" i="19"/>
  <c r="Z34" i="19"/>
  <c r="W34" i="19"/>
  <c r="T34" i="19"/>
  <c r="Q34" i="19"/>
  <c r="N34" i="19"/>
  <c r="K34" i="19"/>
  <c r="H34" i="19"/>
  <c r="AH34" i="19"/>
  <c r="Y34" i="19"/>
  <c r="P34" i="19"/>
  <c r="G34" i="19"/>
  <c r="AG34" i="18"/>
  <c r="AD34" i="18"/>
  <c r="AA34" i="18"/>
  <c r="X34" i="18"/>
  <c r="U34" i="18"/>
  <c r="R34" i="18"/>
  <c r="O34" i="18"/>
  <c r="L34" i="18"/>
  <c r="I34" i="18"/>
  <c r="F34" i="18"/>
  <c r="AG34" i="17"/>
  <c r="AD34" i="17"/>
  <c r="AA34" i="17"/>
  <c r="X34" i="17"/>
  <c r="U34" i="17"/>
  <c r="R34" i="17"/>
  <c r="O34" i="17"/>
  <c r="L34" i="17"/>
  <c r="I34" i="17"/>
  <c r="F34" i="17"/>
  <c r="AH34" i="16"/>
  <c r="AE34" i="16"/>
  <c r="AB34" i="16"/>
  <c r="Y34" i="16"/>
  <c r="V34" i="16"/>
  <c r="S34" i="16"/>
  <c r="P34" i="16"/>
  <c r="M34" i="16"/>
  <c r="J34" i="16"/>
  <c r="G34" i="16"/>
  <c r="F34" i="15"/>
  <c r="AE34" i="15"/>
  <c r="AB34" i="15"/>
  <c r="Y34" i="15"/>
  <c r="V34" i="15"/>
  <c r="S34" i="15"/>
  <c r="P34" i="15"/>
  <c r="M34" i="15"/>
  <c r="J34" i="15"/>
  <c r="AE34" i="19"/>
  <c r="V34" i="19"/>
  <c r="M34" i="19"/>
  <c r="AJ34" i="18"/>
  <c r="AI34" i="18"/>
  <c r="AF34" i="18"/>
  <c r="AC34" i="18"/>
  <c r="Z34" i="18"/>
  <c r="W34" i="18"/>
  <c r="T34" i="18"/>
  <c r="Q34" i="18"/>
  <c r="N34" i="18"/>
  <c r="K34" i="18"/>
  <c r="H34" i="18"/>
  <c r="AI34" i="17"/>
  <c r="AF34" i="17"/>
  <c r="AC34" i="17"/>
  <c r="Z34" i="17"/>
  <c r="W34" i="17"/>
  <c r="T34" i="17"/>
  <c r="Q34" i="17"/>
  <c r="N34" i="17"/>
  <c r="K34" i="17"/>
  <c r="H34" i="17"/>
  <c r="AJ34" i="16"/>
  <c r="AG34" i="16"/>
  <c r="AD34" i="16"/>
  <c r="AA34" i="16"/>
  <c r="X34" i="16"/>
  <c r="U34" i="16"/>
  <c r="R34" i="16"/>
  <c r="O34" i="16"/>
  <c r="L34" i="16"/>
  <c r="I34" i="16"/>
  <c r="F34" i="16"/>
  <c r="G34" i="15"/>
  <c r="AG34" i="15"/>
  <c r="AD34" i="15"/>
  <c r="AA34" i="15"/>
  <c r="X34" i="15"/>
  <c r="U34" i="15"/>
  <c r="R34" i="15"/>
  <c r="O34" i="15"/>
  <c r="L34" i="15"/>
  <c r="I34" i="15"/>
  <c r="AB34" i="19"/>
  <c r="S34" i="19"/>
  <c r="J34" i="19"/>
  <c r="AH34" i="18"/>
  <c r="AE34" i="18"/>
  <c r="AB34" i="18"/>
  <c r="Y34" i="18"/>
  <c r="V34" i="18"/>
  <c r="S34" i="18"/>
  <c r="P34" i="18"/>
  <c r="M34" i="18"/>
  <c r="J34" i="18"/>
  <c r="G34" i="18"/>
  <c r="AH34" i="17"/>
  <c r="AE34" i="17"/>
  <c r="AB34" i="17"/>
  <c r="Y34" i="17"/>
  <c r="V34" i="17"/>
  <c r="S34" i="17"/>
  <c r="P34" i="17"/>
  <c r="M34" i="17"/>
  <c r="J34" i="17"/>
  <c r="G34" i="17"/>
  <c r="AI34" i="16"/>
  <c r="AF34" i="16"/>
  <c r="AC34" i="16"/>
  <c r="Z34" i="16"/>
  <c r="W34" i="16"/>
  <c r="T34" i="16"/>
  <c r="Q34" i="16"/>
  <c r="N34" i="16"/>
  <c r="K34" i="16"/>
  <c r="H34" i="16"/>
  <c r="AF34" i="15"/>
  <c r="AC34" i="15"/>
  <c r="Z34" i="15"/>
  <c r="W34" i="15"/>
  <c r="T34" i="15"/>
  <c r="Q34" i="15"/>
  <c r="N34" i="15"/>
  <c r="K34" i="15"/>
  <c r="H34" i="15"/>
  <c r="AJ32" i="10"/>
  <c r="AG32" i="10"/>
  <c r="AD32" i="10"/>
  <c r="AA32" i="10"/>
  <c r="X32" i="10"/>
  <c r="U32" i="10"/>
  <c r="R32" i="10"/>
  <c r="O32" i="10"/>
  <c r="L32" i="10"/>
  <c r="I32" i="10"/>
  <c r="F32" i="14"/>
  <c r="I32" i="14"/>
  <c r="L32" i="14"/>
  <c r="O32" i="14"/>
  <c r="R32" i="14"/>
  <c r="U32" i="14"/>
  <c r="X32" i="14"/>
  <c r="AA32" i="14"/>
  <c r="AD32" i="14"/>
  <c r="AG32" i="14"/>
  <c r="AJ32" i="14"/>
  <c r="F41" i="14"/>
  <c r="K41" i="14"/>
  <c r="O41" i="14"/>
  <c r="T41" i="14"/>
  <c r="X41" i="14"/>
  <c r="AC41" i="14"/>
  <c r="AI41" i="14"/>
  <c r="F32" i="10"/>
  <c r="AI32" i="10"/>
  <c r="AF32" i="10"/>
  <c r="AC32" i="10"/>
  <c r="Z32" i="10"/>
  <c r="W32" i="10"/>
  <c r="T32" i="10"/>
  <c r="Q32" i="10"/>
  <c r="N32" i="10"/>
  <c r="K32" i="10"/>
  <c r="H32" i="10"/>
  <c r="G32" i="14"/>
  <c r="J32" i="14"/>
  <c r="M32" i="14"/>
  <c r="P32" i="14"/>
  <c r="S32" i="14"/>
  <c r="V32" i="14"/>
  <c r="Y32" i="14"/>
  <c r="AB32" i="14"/>
  <c r="AE32" i="14"/>
  <c r="AH32" i="14"/>
  <c r="H41" i="14"/>
  <c r="L41" i="14"/>
  <c r="Q41" i="14"/>
  <c r="U41" i="14"/>
  <c r="Z41" i="14"/>
  <c r="AD41" i="14"/>
  <c r="E33" i="22"/>
  <c r="E39" i="22"/>
  <c r="E41" i="22"/>
  <c r="AJ35" i="25"/>
  <c r="AI35" i="25"/>
  <c r="AH35" i="25"/>
  <c r="AG35" i="25"/>
  <c r="AF35" i="25"/>
  <c r="AE35" i="25"/>
  <c r="AD35" i="25"/>
  <c r="AC35" i="25"/>
  <c r="AB35" i="25"/>
  <c r="AA35" i="25"/>
  <c r="Z35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N8" i="26"/>
  <c r="E16" i="23"/>
  <c r="H27" i="26"/>
  <c r="H28" i="26"/>
  <c r="H9" i="26"/>
  <c r="H10" i="26"/>
  <c r="H39" i="26"/>
  <c r="H10" i="7"/>
  <c r="H11" i="7"/>
  <c r="H12" i="7"/>
  <c r="H28" i="7"/>
  <c r="H29" i="7"/>
  <c r="H30" i="7"/>
  <c r="R9" i="10"/>
  <c r="AG22" i="10"/>
  <c r="AC22" i="10"/>
  <c r="X22" i="10"/>
  <c r="T22" i="10"/>
  <c r="O22" i="10"/>
  <c r="K22" i="10"/>
  <c r="AJ22" i="10"/>
  <c r="AF22" i="10"/>
  <c r="AA22" i="10"/>
  <c r="W22" i="10"/>
  <c r="R22" i="10"/>
  <c r="N22" i="10"/>
  <c r="AG22" i="15"/>
  <c r="E45" i="21"/>
  <c r="E33" i="23"/>
  <c r="E45" i="24"/>
  <c r="E34" i="25"/>
  <c r="I9" i="10"/>
  <c r="H23" i="14"/>
  <c r="K23" i="14"/>
  <c r="N23" i="14"/>
  <c r="Q23" i="14"/>
  <c r="T23" i="14"/>
  <c r="W23" i="14"/>
  <c r="Z23" i="14"/>
  <c r="AC23" i="14"/>
  <c r="AF23" i="14"/>
  <c r="AI23" i="14"/>
  <c r="J22" i="15"/>
  <c r="M22" i="15"/>
  <c r="P22" i="15"/>
  <c r="S22" i="15"/>
  <c r="V22" i="15"/>
  <c r="Y22" i="15"/>
  <c r="AB22" i="15"/>
  <c r="AE22" i="15"/>
  <c r="G22" i="15"/>
  <c r="AF11" i="16"/>
  <c r="F9" i="10"/>
  <c r="AH22" i="10"/>
  <c r="AE22" i="10"/>
  <c r="AB22" i="10"/>
  <c r="Y22" i="10"/>
  <c r="V22" i="10"/>
  <c r="S22" i="10"/>
  <c r="P22" i="10"/>
  <c r="M22" i="10"/>
  <c r="J22" i="10"/>
  <c r="G22" i="10"/>
  <c r="AE17" i="16"/>
  <c r="F23" i="14"/>
  <c r="I23" i="14"/>
  <c r="L23" i="14"/>
  <c r="O23" i="14"/>
  <c r="R23" i="14"/>
  <c r="U23" i="14"/>
  <c r="X23" i="14"/>
  <c r="AA23" i="14"/>
  <c r="AD23" i="14"/>
  <c r="AG23" i="14"/>
  <c r="AJ23" i="14"/>
  <c r="H22" i="15"/>
  <c r="K22" i="15"/>
  <c r="N22" i="15"/>
  <c r="Q22" i="15"/>
  <c r="T22" i="15"/>
  <c r="W22" i="15"/>
  <c r="Z22" i="15"/>
  <c r="AC22" i="15"/>
  <c r="AF22" i="15"/>
  <c r="G23" i="14"/>
  <c r="J23" i="14"/>
  <c r="M23" i="14"/>
  <c r="P23" i="14"/>
  <c r="S23" i="14"/>
  <c r="V23" i="14"/>
  <c r="Y23" i="14"/>
  <c r="AB23" i="14"/>
  <c r="AE23" i="14"/>
  <c r="AH23" i="14"/>
  <c r="I22" i="15"/>
  <c r="L22" i="15"/>
  <c r="O22" i="15"/>
  <c r="R22" i="15"/>
  <c r="U22" i="15"/>
  <c r="X22" i="15"/>
  <c r="AA22" i="15"/>
  <c r="AD22" i="15"/>
  <c r="J43" i="7"/>
  <c r="H43" i="7"/>
  <c r="G39" i="26"/>
  <c r="G43" i="7"/>
  <c r="AF9" i="10"/>
  <c r="E27" i="10"/>
  <c r="E23" i="10"/>
  <c r="E19" i="10"/>
  <c r="E12" i="10"/>
  <c r="R31" i="26"/>
  <c r="U19" i="26"/>
  <c r="S8" i="26"/>
  <c r="X6" i="26"/>
  <c r="P6" i="26"/>
  <c r="R4" i="26"/>
  <c r="T33" i="26"/>
  <c r="V22" i="26"/>
  <c r="X23" i="26"/>
  <c r="P23" i="26"/>
  <c r="R10" i="26"/>
  <c r="T9" i="26"/>
  <c r="V7" i="26"/>
  <c r="X13" i="26"/>
  <c r="P13" i="26"/>
  <c r="R12" i="26"/>
  <c r="T35" i="26"/>
  <c r="V15" i="26"/>
  <c r="X34" i="26"/>
  <c r="P34" i="26"/>
  <c r="T37" i="26"/>
  <c r="V36" i="26"/>
  <c r="X20" i="26"/>
  <c r="P20" i="26"/>
  <c r="R32" i="26"/>
  <c r="T31" i="26"/>
  <c r="V30" i="26"/>
  <c r="X29" i="26"/>
  <c r="P29" i="26"/>
  <c r="R28" i="26"/>
  <c r="T27" i="26"/>
  <c r="V26" i="26"/>
  <c r="R18" i="26"/>
  <c r="T14" i="26"/>
  <c r="V16" i="26"/>
  <c r="X17" i="26"/>
  <c r="P17" i="26"/>
  <c r="R11" i="26"/>
  <c r="T21" i="26"/>
  <c r="V24" i="26"/>
  <c r="X25" i="26"/>
  <c r="P25" i="26"/>
  <c r="R5" i="26"/>
  <c r="T19" i="26"/>
  <c r="T8" i="26"/>
  <c r="W6" i="26"/>
  <c r="Y4" i="26"/>
  <c r="Q4" i="26"/>
  <c r="S33" i="26"/>
  <c r="U22" i="26"/>
  <c r="W23" i="26"/>
  <c r="Y10" i="26"/>
  <c r="Q10" i="26"/>
  <c r="S9" i="26"/>
  <c r="U7" i="26"/>
  <c r="W13" i="26"/>
  <c r="Y12" i="26"/>
  <c r="Q12" i="26"/>
  <c r="S35" i="26"/>
  <c r="U15" i="26"/>
  <c r="W34" i="26"/>
  <c r="S37" i="26"/>
  <c r="U36" i="26"/>
  <c r="W20" i="26"/>
  <c r="Y32" i="26"/>
  <c r="Q32" i="26"/>
  <c r="S31" i="26"/>
  <c r="U30" i="26"/>
  <c r="W29" i="26"/>
  <c r="Y28" i="26"/>
  <c r="Q28" i="26"/>
  <c r="S27" i="26"/>
  <c r="U26" i="26"/>
  <c r="Y18" i="26"/>
  <c r="Q18" i="26"/>
  <c r="S14" i="26"/>
  <c r="U16" i="26"/>
  <c r="W17" i="26"/>
  <c r="Y11" i="26"/>
  <c r="Q11" i="26"/>
  <c r="S21" i="26"/>
  <c r="U24" i="26"/>
  <c r="W25" i="26"/>
  <c r="Y5" i="26"/>
  <c r="Q5" i="26"/>
  <c r="S19" i="26"/>
  <c r="U8" i="26"/>
  <c r="V6" i="26"/>
  <c r="X4" i="26"/>
  <c r="P4" i="26"/>
  <c r="R33" i="26"/>
  <c r="T22" i="26"/>
  <c r="V23" i="26"/>
  <c r="X10" i="26"/>
  <c r="P10" i="26"/>
  <c r="R9" i="26"/>
  <c r="T7" i="26"/>
  <c r="V13" i="26"/>
  <c r="X12" i="26"/>
  <c r="P12" i="26"/>
  <c r="R35" i="26"/>
  <c r="T15" i="26"/>
  <c r="V34" i="26"/>
  <c r="R37" i="26"/>
  <c r="T36" i="26"/>
  <c r="V20" i="26"/>
  <c r="X32" i="26"/>
  <c r="P32" i="26"/>
  <c r="T30" i="26"/>
  <c r="V29" i="26"/>
  <c r="X28" i="26"/>
  <c r="P28" i="26"/>
  <c r="R27" i="26"/>
  <c r="T26" i="26"/>
  <c r="X18" i="26"/>
  <c r="P18" i="26"/>
  <c r="R14" i="26"/>
  <c r="T16" i="26"/>
  <c r="V17" i="26"/>
  <c r="X11" i="26"/>
  <c r="P11" i="26"/>
  <c r="R21" i="26"/>
  <c r="T24" i="26"/>
  <c r="V25" i="26"/>
  <c r="X5" i="26"/>
  <c r="P5" i="26"/>
  <c r="R19" i="26"/>
  <c r="V8" i="26"/>
  <c r="U6" i="26"/>
  <c r="W4" i="26"/>
  <c r="Y33" i="26"/>
  <c r="Q33" i="26"/>
  <c r="S22" i="26"/>
  <c r="U23" i="26"/>
  <c r="W10" i="26"/>
  <c r="Y9" i="26"/>
  <c r="Q9" i="26"/>
  <c r="S7" i="26"/>
  <c r="U13" i="26"/>
  <c r="W12" i="26"/>
  <c r="Y35" i="26"/>
  <c r="Q35" i="26"/>
  <c r="S15" i="26"/>
  <c r="U34" i="26"/>
  <c r="Y37" i="26"/>
  <c r="Q37" i="26"/>
  <c r="S36" i="26"/>
  <c r="U20" i="26"/>
  <c r="W32" i="26"/>
  <c r="Y31" i="26"/>
  <c r="Q31" i="26"/>
  <c r="S30" i="26"/>
  <c r="U29" i="26"/>
  <c r="W28" i="26"/>
  <c r="Y27" i="26"/>
  <c r="Q27" i="26"/>
  <c r="S26" i="26"/>
  <c r="W18" i="26"/>
  <c r="Y14" i="26"/>
  <c r="Q14" i="26"/>
  <c r="S16" i="26"/>
  <c r="U17" i="26"/>
  <c r="W11" i="26"/>
  <c r="Y21" i="26"/>
  <c r="Q21" i="26"/>
  <c r="S24" i="26"/>
  <c r="U25" i="26"/>
  <c r="W5" i="26"/>
  <c r="Y19" i="26"/>
  <c r="Q19" i="26"/>
  <c r="W8" i="26"/>
  <c r="T6" i="26"/>
  <c r="V4" i="26"/>
  <c r="X33" i="26"/>
  <c r="P33" i="26"/>
  <c r="R22" i="26"/>
  <c r="T23" i="26"/>
  <c r="V10" i="26"/>
  <c r="X9" i="26"/>
  <c r="P9" i="26"/>
  <c r="R7" i="26"/>
  <c r="T13" i="26"/>
  <c r="V12" i="26"/>
  <c r="X35" i="26"/>
  <c r="P35" i="26"/>
  <c r="R15" i="26"/>
  <c r="T34" i="26"/>
  <c r="X37" i="26"/>
  <c r="P37" i="26"/>
  <c r="R36" i="26"/>
  <c r="T20" i="26"/>
  <c r="V32" i="26"/>
  <c r="X31" i="26"/>
  <c r="P31" i="26"/>
  <c r="R30" i="26"/>
  <c r="T29" i="26"/>
  <c r="V28" i="26"/>
  <c r="X27" i="26"/>
  <c r="P27" i="26"/>
  <c r="R26" i="26"/>
  <c r="V18" i="26"/>
  <c r="X14" i="26"/>
  <c r="P14" i="26"/>
  <c r="R16" i="26"/>
  <c r="T17" i="26"/>
  <c r="V11" i="26"/>
  <c r="X21" i="26"/>
  <c r="P21" i="26"/>
  <c r="R24" i="26"/>
  <c r="T25" i="26"/>
  <c r="V5" i="26"/>
  <c r="X19" i="26"/>
  <c r="P19" i="26"/>
  <c r="P8" i="26"/>
  <c r="X8" i="26"/>
  <c r="S6" i="26"/>
  <c r="U4" i="26"/>
  <c r="W33" i="26"/>
  <c r="Y22" i="26"/>
  <c r="Q22" i="26"/>
  <c r="S23" i="26"/>
  <c r="U10" i="26"/>
  <c r="W9" i="26"/>
  <c r="Y7" i="26"/>
  <c r="Q7" i="26"/>
  <c r="S13" i="26"/>
  <c r="U12" i="26"/>
  <c r="W35" i="26"/>
  <c r="Y15" i="26"/>
  <c r="Q15" i="26"/>
  <c r="S34" i="26"/>
  <c r="W37" i="26"/>
  <c r="Y36" i="26"/>
  <c r="Q36" i="26"/>
  <c r="S20" i="26"/>
  <c r="U32" i="26"/>
  <c r="W31" i="26"/>
  <c r="Y30" i="26"/>
  <c r="Q30" i="26"/>
  <c r="S29" i="26"/>
  <c r="U28" i="26"/>
  <c r="W27" i="26"/>
  <c r="Y26" i="26"/>
  <c r="Q26" i="26"/>
  <c r="U18" i="26"/>
  <c r="W14" i="26"/>
  <c r="Y16" i="26"/>
  <c r="Q16" i="26"/>
  <c r="S17" i="26"/>
  <c r="U11" i="26"/>
  <c r="W21" i="26"/>
  <c r="Y24" i="26"/>
  <c r="Q24" i="26"/>
  <c r="S25" i="26"/>
  <c r="U5" i="26"/>
  <c r="W19" i="26"/>
  <c r="Q8" i="26"/>
  <c r="Y8" i="26"/>
  <c r="R6" i="26"/>
  <c r="T4" i="26"/>
  <c r="V33" i="26"/>
  <c r="X22" i="26"/>
  <c r="P22" i="26"/>
  <c r="R23" i="26"/>
  <c r="T10" i="26"/>
  <c r="V9" i="26"/>
  <c r="X7" i="26"/>
  <c r="P7" i="26"/>
  <c r="R13" i="26"/>
  <c r="T12" i="26"/>
  <c r="V35" i="26"/>
  <c r="X15" i="26"/>
  <c r="P15" i="26"/>
  <c r="R34" i="26"/>
  <c r="V37" i="26"/>
  <c r="X36" i="26"/>
  <c r="P36" i="26"/>
  <c r="R20" i="26"/>
  <c r="T32" i="26"/>
  <c r="V31" i="26"/>
  <c r="X30" i="26"/>
  <c r="P30" i="26"/>
  <c r="R29" i="26"/>
  <c r="T28" i="26"/>
  <c r="V27" i="26"/>
  <c r="X26" i="26"/>
  <c r="P26" i="26"/>
  <c r="T18" i="26"/>
  <c r="V14" i="26"/>
  <c r="X16" i="26"/>
  <c r="P16" i="26"/>
  <c r="R17" i="26"/>
  <c r="T11" i="26"/>
  <c r="V21" i="26"/>
  <c r="X24" i="26"/>
  <c r="P24" i="26"/>
  <c r="R25" i="26"/>
  <c r="T5" i="26"/>
  <c r="V19" i="26"/>
  <c r="N19" i="26"/>
  <c r="R8" i="26"/>
  <c r="Y6" i="26"/>
  <c r="Q6" i="26"/>
  <c r="S4" i="26"/>
  <c r="U33" i="26"/>
  <c r="W22" i="26"/>
  <c r="Y23" i="26"/>
  <c r="Q23" i="26"/>
  <c r="S10" i="26"/>
  <c r="U9" i="26"/>
  <c r="W7" i="26"/>
  <c r="Y13" i="26"/>
  <c r="Q13" i="26"/>
  <c r="S12" i="26"/>
  <c r="U35" i="26"/>
  <c r="W15" i="26"/>
  <c r="Y34" i="26"/>
  <c r="Q34" i="26"/>
  <c r="U37" i="26"/>
  <c r="W36" i="26"/>
  <c r="Y20" i="26"/>
  <c r="Q20" i="26"/>
  <c r="S32" i="26"/>
  <c r="U31" i="26"/>
  <c r="W30" i="26"/>
  <c r="Y29" i="26"/>
  <c r="Q29" i="26"/>
  <c r="S28" i="26"/>
  <c r="U27" i="26"/>
  <c r="W26" i="26"/>
  <c r="S18" i="26"/>
  <c r="U14" i="26"/>
  <c r="W16" i="26"/>
  <c r="Y17" i="26"/>
  <c r="Q17" i="26"/>
  <c r="S11" i="26"/>
  <c r="U21" i="26"/>
  <c r="W24" i="26"/>
  <c r="Y25" i="26"/>
  <c r="Q25" i="26"/>
  <c r="S5" i="26"/>
  <c r="O29" i="26"/>
  <c r="N23" i="26"/>
  <c r="O28" i="26"/>
  <c r="O10" i="26"/>
  <c r="N10" i="26"/>
  <c r="O23" i="26"/>
  <c r="O19" i="26"/>
  <c r="N22" i="26"/>
  <c r="O22" i="26"/>
  <c r="O30" i="26"/>
  <c r="N9" i="26"/>
  <c r="O9" i="26"/>
  <c r="O27" i="26"/>
  <c r="N7" i="26"/>
  <c r="O7" i="26"/>
  <c r="O26" i="26"/>
  <c r="N13" i="26"/>
  <c r="O13" i="26"/>
  <c r="N12" i="26"/>
  <c r="O12" i="26"/>
  <c r="O18" i="26"/>
  <c r="N35" i="26"/>
  <c r="O35" i="26"/>
  <c r="O14" i="26"/>
  <c r="N15" i="26"/>
  <c r="O15" i="26"/>
  <c r="O16" i="26"/>
  <c r="N34" i="26"/>
  <c r="O34" i="26"/>
  <c r="O17" i="26"/>
  <c r="O11" i="26"/>
  <c r="N37" i="26"/>
  <c r="O37" i="26"/>
  <c r="O21" i="26"/>
  <c r="O8" i="26"/>
  <c r="O36" i="26"/>
  <c r="O24" i="26"/>
  <c r="N6" i="26"/>
  <c r="O6" i="26"/>
  <c r="O20" i="26"/>
  <c r="O25" i="26"/>
  <c r="N4" i="26"/>
  <c r="O4" i="26"/>
  <c r="O32" i="26"/>
  <c r="O5" i="26"/>
  <c r="N33" i="26"/>
  <c r="O33" i="26"/>
  <c r="O31" i="26"/>
  <c r="N31" i="26"/>
  <c r="N5" i="26"/>
  <c r="N32" i="26"/>
  <c r="N25" i="26"/>
  <c r="N20" i="26"/>
  <c r="N24" i="26"/>
  <c r="N36" i="26"/>
  <c r="N21" i="26"/>
  <c r="N11" i="26"/>
  <c r="N29" i="26"/>
  <c r="N17" i="26"/>
  <c r="N16" i="26"/>
  <c r="N14" i="26"/>
  <c r="N18" i="26"/>
  <c r="N26" i="26"/>
  <c r="N27" i="26"/>
  <c r="N28" i="26"/>
  <c r="N30" i="26"/>
  <c r="AF32" i="16"/>
  <c r="F44" i="15"/>
  <c r="F33" i="10"/>
  <c r="AG18" i="16"/>
  <c r="E29" i="10"/>
  <c r="AA9" i="10"/>
  <c r="N9" i="10"/>
  <c r="E33" i="16"/>
  <c r="E45" i="20"/>
  <c r="E39" i="21"/>
  <c r="E40" i="21"/>
  <c r="AJ9" i="10"/>
  <c r="W9" i="10"/>
  <c r="E45" i="16"/>
  <c r="E23" i="24"/>
  <c r="E13" i="25"/>
  <c r="E31" i="25"/>
  <c r="AH9" i="14"/>
  <c r="E45" i="23"/>
  <c r="AG15" i="16"/>
  <c r="AD38" i="16"/>
  <c r="AH14" i="16"/>
  <c r="F24" i="10"/>
  <c r="AI9" i="10"/>
  <c r="AD9" i="10"/>
  <c r="Z9" i="10"/>
  <c r="U9" i="10"/>
  <c r="Q9" i="10"/>
  <c r="L9" i="10"/>
  <c r="H9" i="10"/>
  <c r="AH9" i="16"/>
  <c r="J9" i="14"/>
  <c r="AB9" i="14"/>
  <c r="E43" i="14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AJ22" i="23"/>
  <c r="AG22" i="23"/>
  <c r="AD22" i="23"/>
  <c r="AA22" i="23"/>
  <c r="X22" i="23"/>
  <c r="U22" i="23"/>
  <c r="R22" i="23"/>
  <c r="O22" i="23"/>
  <c r="L22" i="23"/>
  <c r="I22" i="23"/>
  <c r="F22" i="23"/>
  <c r="AI22" i="22"/>
  <c r="AF22" i="22"/>
  <c r="AC22" i="22"/>
  <c r="Z22" i="22"/>
  <c r="W22" i="22"/>
  <c r="T22" i="22"/>
  <c r="Q22" i="22"/>
  <c r="N22" i="22"/>
  <c r="K22" i="22"/>
  <c r="H22" i="22"/>
  <c r="AI22" i="21"/>
  <c r="AF22" i="21"/>
  <c r="AC22" i="21"/>
  <c r="Z22" i="21"/>
  <c r="W22" i="21"/>
  <c r="T22" i="21"/>
  <c r="Q22" i="21"/>
  <c r="N22" i="21"/>
  <c r="K22" i="21"/>
  <c r="H22" i="21"/>
  <c r="AJ22" i="20"/>
  <c r="AH22" i="20"/>
  <c r="AE22" i="20"/>
  <c r="AB22" i="20"/>
  <c r="Y22" i="20"/>
  <c r="V22" i="20"/>
  <c r="S22" i="20"/>
  <c r="P22" i="20"/>
  <c r="M22" i="20"/>
  <c r="J22" i="20"/>
  <c r="AI22" i="23"/>
  <c r="AF22" i="23"/>
  <c r="AC22" i="23"/>
  <c r="Z22" i="23"/>
  <c r="W22" i="23"/>
  <c r="T22" i="23"/>
  <c r="Q22" i="23"/>
  <c r="N22" i="23"/>
  <c r="K22" i="23"/>
  <c r="H22" i="23"/>
  <c r="AH22" i="22"/>
  <c r="AE22" i="22"/>
  <c r="AB22" i="22"/>
  <c r="Y22" i="22"/>
  <c r="V22" i="22"/>
  <c r="S22" i="22"/>
  <c r="P22" i="22"/>
  <c r="M22" i="22"/>
  <c r="J22" i="22"/>
  <c r="G22" i="22"/>
  <c r="AH22" i="21"/>
  <c r="AE22" i="21"/>
  <c r="AB22" i="21"/>
  <c r="Y22" i="21"/>
  <c r="V22" i="21"/>
  <c r="S22" i="21"/>
  <c r="P22" i="21"/>
  <c r="M22" i="21"/>
  <c r="J22" i="21"/>
  <c r="G22" i="21"/>
  <c r="AH22" i="23"/>
  <c r="AE22" i="23"/>
  <c r="AB22" i="23"/>
  <c r="Y22" i="23"/>
  <c r="V22" i="23"/>
  <c r="S22" i="23"/>
  <c r="P22" i="23"/>
  <c r="M22" i="23"/>
  <c r="J22" i="23"/>
  <c r="G22" i="23"/>
  <c r="AG22" i="22"/>
  <c r="AD22" i="22"/>
  <c r="AA22" i="22"/>
  <c r="X22" i="22"/>
  <c r="U22" i="22"/>
  <c r="R22" i="22"/>
  <c r="O22" i="22"/>
  <c r="L22" i="22"/>
  <c r="I22" i="22"/>
  <c r="F22" i="22"/>
  <c r="AJ22" i="21"/>
  <c r="AG22" i="21"/>
  <c r="AD22" i="21"/>
  <c r="AA22" i="21"/>
  <c r="X22" i="21"/>
  <c r="U22" i="21"/>
  <c r="R22" i="21"/>
  <c r="O22" i="21"/>
  <c r="L22" i="21"/>
  <c r="I22" i="21"/>
  <c r="F22" i="21"/>
  <c r="AI22" i="20"/>
  <c r="AD22" i="20"/>
  <c r="Z22" i="20"/>
  <c r="U22" i="20"/>
  <c r="Q22" i="20"/>
  <c r="L22" i="20"/>
  <c r="H22" i="20"/>
  <c r="AI22" i="19"/>
  <c r="AF22" i="19"/>
  <c r="AC22" i="19"/>
  <c r="Z22" i="19"/>
  <c r="W22" i="19"/>
  <c r="T22" i="19"/>
  <c r="Q22" i="19"/>
  <c r="N22" i="19"/>
  <c r="K22" i="19"/>
  <c r="H22" i="19"/>
  <c r="AI22" i="18"/>
  <c r="AF22" i="18"/>
  <c r="AC22" i="18"/>
  <c r="Z22" i="18"/>
  <c r="W22" i="18"/>
  <c r="T22" i="18"/>
  <c r="Q22" i="18"/>
  <c r="N22" i="18"/>
  <c r="K22" i="18"/>
  <c r="H22" i="18"/>
  <c r="AI22" i="17"/>
  <c r="AF22" i="17"/>
  <c r="AC22" i="17"/>
  <c r="Z22" i="17"/>
  <c r="W22" i="17"/>
  <c r="T22" i="17"/>
  <c r="Q22" i="17"/>
  <c r="N22" i="17"/>
  <c r="K22" i="17"/>
  <c r="H22" i="17"/>
  <c r="AG22" i="20"/>
  <c r="AC22" i="20"/>
  <c r="X22" i="20"/>
  <c r="T22" i="20"/>
  <c r="O22" i="20"/>
  <c r="K22" i="20"/>
  <c r="G22" i="20"/>
  <c r="AH22" i="19"/>
  <c r="AE22" i="19"/>
  <c r="AB22" i="19"/>
  <c r="Y22" i="19"/>
  <c r="V22" i="19"/>
  <c r="S22" i="19"/>
  <c r="P22" i="19"/>
  <c r="M22" i="19"/>
  <c r="J22" i="19"/>
  <c r="G22" i="19"/>
  <c r="AH22" i="18"/>
  <c r="AE22" i="18"/>
  <c r="AB22" i="18"/>
  <c r="Y22" i="18"/>
  <c r="V22" i="18"/>
  <c r="S22" i="18"/>
  <c r="P22" i="18"/>
  <c r="M22" i="18"/>
  <c r="J22" i="18"/>
  <c r="G22" i="18"/>
  <c r="AH22" i="17"/>
  <c r="AE22" i="17"/>
  <c r="AB22" i="17"/>
  <c r="Y22" i="17"/>
  <c r="V22" i="17"/>
  <c r="S22" i="17"/>
  <c r="P22" i="17"/>
  <c r="M22" i="17"/>
  <c r="J22" i="17"/>
  <c r="G22" i="17"/>
  <c r="AF22" i="20"/>
  <c r="AA22" i="20"/>
  <c r="W22" i="20"/>
  <c r="R22" i="20"/>
  <c r="N22" i="20"/>
  <c r="I22" i="20"/>
  <c r="F22" i="20"/>
  <c r="AG22" i="19"/>
  <c r="AD22" i="19"/>
  <c r="AA22" i="19"/>
  <c r="X22" i="19"/>
  <c r="U22" i="19"/>
  <c r="R22" i="19"/>
  <c r="O22" i="19"/>
  <c r="L22" i="19"/>
  <c r="I22" i="19"/>
  <c r="F22" i="19"/>
  <c r="AJ22" i="18"/>
  <c r="AG22" i="18"/>
  <c r="AD22" i="18"/>
  <c r="AA22" i="18"/>
  <c r="X22" i="18"/>
  <c r="U22" i="18"/>
  <c r="R22" i="18"/>
  <c r="O22" i="18"/>
  <c r="L22" i="18"/>
  <c r="I22" i="18"/>
  <c r="F22" i="18"/>
  <c r="AG22" i="17"/>
  <c r="AD22" i="17"/>
  <c r="AA22" i="17"/>
  <c r="X22" i="17"/>
  <c r="U22" i="17"/>
  <c r="R22" i="17"/>
  <c r="O22" i="17"/>
  <c r="L22" i="17"/>
  <c r="I22" i="17"/>
  <c r="F22" i="17"/>
  <c r="AJ22" i="16"/>
  <c r="F22" i="15"/>
  <c r="H22" i="16"/>
  <c r="K22" i="16"/>
  <c r="N22" i="16"/>
  <c r="Q22" i="16"/>
  <c r="T22" i="16"/>
  <c r="W22" i="16"/>
  <c r="Z22" i="16"/>
  <c r="AC22" i="16"/>
  <c r="AF22" i="16"/>
  <c r="AI22" i="16"/>
  <c r="AI36" i="16"/>
  <c r="I33" i="10"/>
  <c r="AG9" i="10"/>
  <c r="AC9" i="10"/>
  <c r="X9" i="10"/>
  <c r="T9" i="10"/>
  <c r="O9" i="10"/>
  <c r="K9" i="10"/>
  <c r="G9" i="10"/>
  <c r="P9" i="14"/>
  <c r="E13" i="14"/>
  <c r="F22" i="16"/>
  <c r="I22" i="16"/>
  <c r="L22" i="16"/>
  <c r="O22" i="16"/>
  <c r="R22" i="16"/>
  <c r="U22" i="16"/>
  <c r="X22" i="16"/>
  <c r="AA22" i="16"/>
  <c r="AD22" i="16"/>
  <c r="AG22" i="16"/>
  <c r="AE9" i="14"/>
  <c r="AE37" i="16"/>
  <c r="V9" i="14"/>
  <c r="G22" i="16"/>
  <c r="J22" i="16"/>
  <c r="M22" i="16"/>
  <c r="P22" i="16"/>
  <c r="S22" i="16"/>
  <c r="V22" i="16"/>
  <c r="Y22" i="16"/>
  <c r="AB22" i="16"/>
  <c r="AE22" i="16"/>
  <c r="AH22" i="16"/>
  <c r="E33" i="17"/>
  <c r="E45" i="19"/>
  <c r="E30" i="16"/>
  <c r="E43" i="16"/>
  <c r="E45" i="17"/>
  <c r="E10" i="18"/>
  <c r="E33" i="18"/>
  <c r="E40" i="18"/>
  <c r="E13" i="19"/>
  <c r="E41" i="20"/>
  <c r="E43" i="20"/>
  <c r="E31" i="23"/>
  <c r="E34" i="20"/>
  <c r="E12" i="21"/>
  <c r="AJ33" i="10"/>
  <c r="AD33" i="10"/>
  <c r="X33" i="10"/>
  <c r="R33" i="10"/>
  <c r="L33" i="10"/>
  <c r="AJ24" i="10"/>
  <c r="AD24" i="10"/>
  <c r="X24" i="10"/>
  <c r="R24" i="10"/>
  <c r="L24" i="10"/>
  <c r="AJ14" i="10"/>
  <c r="AD14" i="10"/>
  <c r="X14" i="10"/>
  <c r="R14" i="10"/>
  <c r="L14" i="10"/>
  <c r="G9" i="14"/>
  <c r="M9" i="14"/>
  <c r="S9" i="14"/>
  <c r="Y9" i="14"/>
  <c r="J15" i="14"/>
  <c r="P15" i="14"/>
  <c r="V15" i="14"/>
  <c r="AB15" i="14"/>
  <c r="AH15" i="14"/>
  <c r="G34" i="14"/>
  <c r="M34" i="14"/>
  <c r="S34" i="14"/>
  <c r="Y34" i="14"/>
  <c r="AE34" i="14"/>
  <c r="J9" i="15"/>
  <c r="P9" i="15"/>
  <c r="V9" i="15"/>
  <c r="AB9" i="15"/>
  <c r="J14" i="15"/>
  <c r="P14" i="15"/>
  <c r="V14" i="15"/>
  <c r="AB14" i="15"/>
  <c r="J36" i="15"/>
  <c r="P36" i="15"/>
  <c r="V36" i="15"/>
  <c r="AB36" i="15"/>
  <c r="G44" i="15"/>
  <c r="G38" i="15"/>
  <c r="I9" i="16"/>
  <c r="O9" i="16"/>
  <c r="U9" i="16"/>
  <c r="AA9" i="16"/>
  <c r="AG9" i="16"/>
  <c r="G11" i="16"/>
  <c r="M11" i="16"/>
  <c r="S11" i="16"/>
  <c r="Y11" i="16"/>
  <c r="AE11" i="16"/>
  <c r="E13" i="16"/>
  <c r="I14" i="16"/>
  <c r="O14" i="16"/>
  <c r="U14" i="16"/>
  <c r="AA14" i="16"/>
  <c r="AG14" i="16"/>
  <c r="H15" i="16"/>
  <c r="N15" i="16"/>
  <c r="T15" i="16"/>
  <c r="Z15" i="16"/>
  <c r="AF15" i="16"/>
  <c r="E16" i="16"/>
  <c r="F17" i="16"/>
  <c r="L17" i="16"/>
  <c r="R17" i="16"/>
  <c r="X17" i="16"/>
  <c r="AD17" i="16"/>
  <c r="AJ17" i="16"/>
  <c r="K18" i="16"/>
  <c r="Q18" i="16"/>
  <c r="W18" i="16"/>
  <c r="AC18" i="16"/>
  <c r="AI18" i="16"/>
  <c r="J32" i="16"/>
  <c r="P32" i="16"/>
  <c r="V32" i="16"/>
  <c r="AB32" i="16"/>
  <c r="AH32" i="16"/>
  <c r="F36" i="16"/>
  <c r="L36" i="16"/>
  <c r="S36" i="16"/>
  <c r="Z36" i="16"/>
  <c r="AG36" i="16"/>
  <c r="J37" i="16"/>
  <c r="Q37" i="16"/>
  <c r="X37" i="16"/>
  <c r="G38" i="16"/>
  <c r="O38" i="16"/>
  <c r="V38" i="16"/>
  <c r="AC38" i="16"/>
  <c r="AJ38" i="16"/>
  <c r="AI33" i="10"/>
  <c r="AC33" i="10"/>
  <c r="W33" i="10"/>
  <c r="Q33" i="10"/>
  <c r="K33" i="10"/>
  <c r="AI24" i="10"/>
  <c r="AC24" i="10"/>
  <c r="W24" i="10"/>
  <c r="Q24" i="10"/>
  <c r="K24" i="10"/>
  <c r="AI14" i="10"/>
  <c r="AC14" i="10"/>
  <c r="W14" i="10"/>
  <c r="Q14" i="10"/>
  <c r="K14" i="10"/>
  <c r="AH38" i="25"/>
  <c r="AE38" i="25"/>
  <c r="AB38" i="25"/>
  <c r="Y38" i="25"/>
  <c r="V38" i="25"/>
  <c r="S38" i="25"/>
  <c r="P38" i="25"/>
  <c r="M38" i="25"/>
  <c r="J38" i="25"/>
  <c r="G38" i="25"/>
  <c r="AJ38" i="25"/>
  <c r="AG38" i="25"/>
  <c r="AD38" i="25"/>
  <c r="AA38" i="25"/>
  <c r="X38" i="25"/>
  <c r="U38" i="25"/>
  <c r="R38" i="25"/>
  <c r="O38" i="25"/>
  <c r="L38" i="25"/>
  <c r="I38" i="25"/>
  <c r="F38" i="25"/>
  <c r="AI38" i="25"/>
  <c r="AF38" i="25"/>
  <c r="AC38" i="25"/>
  <c r="Z38" i="25"/>
  <c r="W38" i="25"/>
  <c r="T38" i="25"/>
  <c r="Q38" i="25"/>
  <c r="N38" i="25"/>
  <c r="K38" i="25"/>
  <c r="H38" i="25"/>
  <c r="AG37" i="24"/>
  <c r="AI37" i="24"/>
  <c r="AE37" i="24"/>
  <c r="AB37" i="24"/>
  <c r="Y37" i="24"/>
  <c r="V37" i="24"/>
  <c r="S37" i="24"/>
  <c r="P37" i="24"/>
  <c r="M37" i="24"/>
  <c r="J37" i="24"/>
  <c r="G37" i="24"/>
  <c r="AH37" i="24"/>
  <c r="AD37" i="24"/>
  <c r="AA37" i="24"/>
  <c r="X37" i="24"/>
  <c r="U37" i="24"/>
  <c r="R37" i="24"/>
  <c r="O37" i="24"/>
  <c r="L37" i="24"/>
  <c r="I37" i="24"/>
  <c r="F37" i="24"/>
  <c r="AF37" i="24"/>
  <c r="AC37" i="24"/>
  <c r="Z37" i="24"/>
  <c r="W37" i="24"/>
  <c r="T37" i="24"/>
  <c r="Q37" i="24"/>
  <c r="N37" i="24"/>
  <c r="K37" i="24"/>
  <c r="H37" i="24"/>
  <c r="AJ37" i="23"/>
  <c r="AF37" i="23"/>
  <c r="AB37" i="23"/>
  <c r="X37" i="23"/>
  <c r="T37" i="23"/>
  <c r="P37" i="23"/>
  <c r="L37" i="23"/>
  <c r="H37" i="23"/>
  <c r="AI37" i="23"/>
  <c r="AE37" i="23"/>
  <c r="AA37" i="23"/>
  <c r="W37" i="23"/>
  <c r="S37" i="23"/>
  <c r="O37" i="23"/>
  <c r="K37" i="23"/>
  <c r="G37" i="23"/>
  <c r="AH37" i="23"/>
  <c r="AD37" i="23"/>
  <c r="Z37" i="23"/>
  <c r="V37" i="23"/>
  <c r="R37" i="23"/>
  <c r="N37" i="23"/>
  <c r="J37" i="23"/>
  <c r="F37" i="23"/>
  <c r="AG37" i="23"/>
  <c r="AC37" i="23"/>
  <c r="Y37" i="23"/>
  <c r="U37" i="23"/>
  <c r="Q37" i="23"/>
  <c r="M37" i="23"/>
  <c r="I37" i="23"/>
  <c r="AG37" i="22"/>
  <c r="AB37" i="22"/>
  <c r="W37" i="22"/>
  <c r="R37" i="22"/>
  <c r="M37" i="22"/>
  <c r="H37" i="22"/>
  <c r="AF37" i="22"/>
  <c r="AA37" i="22"/>
  <c r="V37" i="22"/>
  <c r="Q37" i="22"/>
  <c r="L37" i="22"/>
  <c r="G37" i="22"/>
  <c r="AE37" i="22"/>
  <c r="Z37" i="22"/>
  <c r="U37" i="22"/>
  <c r="P37" i="22"/>
  <c r="K37" i="22"/>
  <c r="F37" i="22"/>
  <c r="AI37" i="22"/>
  <c r="AD37" i="22"/>
  <c r="Y37" i="22"/>
  <c r="T37" i="22"/>
  <c r="O37" i="22"/>
  <c r="J37" i="22"/>
  <c r="AH37" i="22"/>
  <c r="AC37" i="22"/>
  <c r="X37" i="22"/>
  <c r="S37" i="22"/>
  <c r="N37" i="22"/>
  <c r="I37" i="22"/>
  <c r="AH37" i="21"/>
  <c r="AB37" i="21"/>
  <c r="V37" i="21"/>
  <c r="P37" i="21"/>
  <c r="J37" i="21"/>
  <c r="AG37" i="21"/>
  <c r="AA37" i="21"/>
  <c r="U37" i="21"/>
  <c r="O37" i="21"/>
  <c r="I37" i="21"/>
  <c r="AF37" i="21"/>
  <c r="Z37" i="21"/>
  <c r="T37" i="21"/>
  <c r="N37" i="21"/>
  <c r="H37" i="21"/>
  <c r="AE37" i="21"/>
  <c r="Y37" i="21"/>
  <c r="S37" i="21"/>
  <c r="M37" i="21"/>
  <c r="G37" i="21"/>
  <c r="AJ37" i="21"/>
  <c r="AD37" i="21"/>
  <c r="X37" i="21"/>
  <c r="R37" i="21"/>
  <c r="L37" i="21"/>
  <c r="F37" i="21"/>
  <c r="AI37" i="21"/>
  <c r="AC37" i="21"/>
  <c r="W37" i="21"/>
  <c r="Q37" i="21"/>
  <c r="K37" i="21"/>
  <c r="AI37" i="20"/>
  <c r="AC37" i="20"/>
  <c r="W37" i="20"/>
  <c r="Q37" i="20"/>
  <c r="K37" i="20"/>
  <c r="AE37" i="19"/>
  <c r="Y37" i="19"/>
  <c r="S37" i="19"/>
  <c r="M37" i="19"/>
  <c r="G37" i="19"/>
  <c r="AH37" i="20"/>
  <c r="AB37" i="20"/>
  <c r="V37" i="20"/>
  <c r="P37" i="20"/>
  <c r="J37" i="20"/>
  <c r="AD37" i="19"/>
  <c r="X37" i="19"/>
  <c r="R37" i="19"/>
  <c r="L37" i="19"/>
  <c r="F37" i="19"/>
  <c r="AG37" i="20"/>
  <c r="AA37" i="20"/>
  <c r="U37" i="20"/>
  <c r="O37" i="20"/>
  <c r="I37" i="20"/>
  <c r="AI37" i="19"/>
  <c r="AC37" i="19"/>
  <c r="W37" i="19"/>
  <c r="Q37" i="19"/>
  <c r="K37" i="19"/>
  <c r="AJ37" i="20"/>
  <c r="AF37" i="20"/>
  <c r="Z37" i="20"/>
  <c r="T37" i="20"/>
  <c r="N37" i="20"/>
  <c r="H37" i="20"/>
  <c r="AH37" i="19"/>
  <c r="AB37" i="19"/>
  <c r="V37" i="19"/>
  <c r="P37" i="19"/>
  <c r="J37" i="19"/>
  <c r="AE37" i="20"/>
  <c r="Y37" i="20"/>
  <c r="S37" i="20"/>
  <c r="M37" i="20"/>
  <c r="G37" i="20"/>
  <c r="AG37" i="19"/>
  <c r="AA37" i="19"/>
  <c r="U37" i="19"/>
  <c r="O37" i="19"/>
  <c r="I37" i="19"/>
  <c r="AD37" i="20"/>
  <c r="X37" i="20"/>
  <c r="R37" i="20"/>
  <c r="L37" i="20"/>
  <c r="F37" i="20"/>
  <c r="AF37" i="19"/>
  <c r="Z37" i="19"/>
  <c r="T37" i="19"/>
  <c r="N37" i="19"/>
  <c r="H37" i="19"/>
  <c r="AG37" i="18"/>
  <c r="AA37" i="18"/>
  <c r="U37" i="18"/>
  <c r="O37" i="18"/>
  <c r="I37" i="18"/>
  <c r="AF37" i="17"/>
  <c r="Z37" i="17"/>
  <c r="T37" i="17"/>
  <c r="N37" i="17"/>
  <c r="H37" i="17"/>
  <c r="AF37" i="18"/>
  <c r="Z37" i="18"/>
  <c r="T37" i="18"/>
  <c r="N37" i="18"/>
  <c r="H37" i="18"/>
  <c r="AE37" i="17"/>
  <c r="Y37" i="17"/>
  <c r="S37" i="17"/>
  <c r="M37" i="17"/>
  <c r="G37" i="17"/>
  <c r="AE37" i="18"/>
  <c r="Y37" i="18"/>
  <c r="S37" i="18"/>
  <c r="M37" i="18"/>
  <c r="G37" i="18"/>
  <c r="AD37" i="17"/>
  <c r="X37" i="17"/>
  <c r="R37" i="17"/>
  <c r="L37" i="17"/>
  <c r="F37" i="17"/>
  <c r="AG37" i="16"/>
  <c r="AA37" i="16"/>
  <c r="U37" i="16"/>
  <c r="O37" i="16"/>
  <c r="I37" i="16"/>
  <c r="AD37" i="18"/>
  <c r="X37" i="18"/>
  <c r="R37" i="18"/>
  <c r="L37" i="18"/>
  <c r="F37" i="18"/>
  <c r="AI37" i="17"/>
  <c r="AC37" i="17"/>
  <c r="W37" i="17"/>
  <c r="Q37" i="17"/>
  <c r="K37" i="17"/>
  <c r="AJ37" i="18"/>
  <c r="AI37" i="18"/>
  <c r="AC37" i="18"/>
  <c r="W37" i="18"/>
  <c r="Q37" i="18"/>
  <c r="K37" i="18"/>
  <c r="AH37" i="17"/>
  <c r="AB37" i="17"/>
  <c r="V37" i="17"/>
  <c r="P37" i="17"/>
  <c r="J37" i="17"/>
  <c r="AH37" i="18"/>
  <c r="AB37" i="18"/>
  <c r="V37" i="18"/>
  <c r="P37" i="18"/>
  <c r="J37" i="18"/>
  <c r="AG37" i="17"/>
  <c r="AA37" i="17"/>
  <c r="U37" i="17"/>
  <c r="O37" i="17"/>
  <c r="I37" i="17"/>
  <c r="H9" i="14"/>
  <c r="N9" i="14"/>
  <c r="T9" i="14"/>
  <c r="Z9" i="14"/>
  <c r="AF9" i="14"/>
  <c r="K15" i="14"/>
  <c r="Q15" i="14"/>
  <c r="W15" i="14"/>
  <c r="AC15" i="14"/>
  <c r="AI15" i="14"/>
  <c r="H34" i="14"/>
  <c r="N34" i="14"/>
  <c r="T34" i="14"/>
  <c r="Z34" i="14"/>
  <c r="AF34" i="14"/>
  <c r="K9" i="15"/>
  <c r="Q9" i="15"/>
  <c r="W9" i="15"/>
  <c r="AC9" i="15"/>
  <c r="K14" i="15"/>
  <c r="Q14" i="15"/>
  <c r="W14" i="15"/>
  <c r="AC14" i="15"/>
  <c r="K36" i="15"/>
  <c r="Q36" i="15"/>
  <c r="W36" i="15"/>
  <c r="AC36" i="15"/>
  <c r="F38" i="15"/>
  <c r="J9" i="16"/>
  <c r="P9" i="16"/>
  <c r="V9" i="16"/>
  <c r="AB9" i="16"/>
  <c r="H11" i="16"/>
  <c r="N11" i="16"/>
  <c r="T11" i="16"/>
  <c r="Z11" i="16"/>
  <c r="J14" i="16"/>
  <c r="P14" i="16"/>
  <c r="V14" i="16"/>
  <c r="AB14" i="16"/>
  <c r="I15" i="16"/>
  <c r="O15" i="16"/>
  <c r="U15" i="16"/>
  <c r="AA15" i="16"/>
  <c r="G17" i="16"/>
  <c r="M17" i="16"/>
  <c r="S17" i="16"/>
  <c r="Y17" i="16"/>
  <c r="F18" i="16"/>
  <c r="L18" i="16"/>
  <c r="R18" i="16"/>
  <c r="X18" i="16"/>
  <c r="AD18" i="16"/>
  <c r="AJ18" i="16"/>
  <c r="K32" i="16"/>
  <c r="Q32" i="16"/>
  <c r="W32" i="16"/>
  <c r="AC32" i="16"/>
  <c r="AI32" i="16"/>
  <c r="G36" i="16"/>
  <c r="M36" i="16"/>
  <c r="T36" i="16"/>
  <c r="AA36" i="16"/>
  <c r="K37" i="16"/>
  <c r="R37" i="16"/>
  <c r="Y37" i="16"/>
  <c r="AF37" i="16"/>
  <c r="I38" i="16"/>
  <c r="P38" i="16"/>
  <c r="W38" i="16"/>
  <c r="AI16" i="25"/>
  <c r="AF16" i="25"/>
  <c r="AC16" i="25"/>
  <c r="Z16" i="25"/>
  <c r="W16" i="25"/>
  <c r="T16" i="25"/>
  <c r="Q16" i="25"/>
  <c r="N16" i="25"/>
  <c r="K16" i="25"/>
  <c r="H16" i="25"/>
  <c r="AH16" i="25"/>
  <c r="AE16" i="25"/>
  <c r="AB16" i="25"/>
  <c r="Y16" i="25"/>
  <c r="V16" i="25"/>
  <c r="S16" i="25"/>
  <c r="P16" i="25"/>
  <c r="M16" i="25"/>
  <c r="J16" i="25"/>
  <c r="G16" i="25"/>
  <c r="AJ16" i="25"/>
  <c r="AG16" i="25"/>
  <c r="AD16" i="25"/>
  <c r="AA16" i="25"/>
  <c r="X16" i="25"/>
  <c r="U16" i="25"/>
  <c r="R16" i="25"/>
  <c r="O16" i="25"/>
  <c r="L16" i="25"/>
  <c r="I16" i="25"/>
  <c r="F16" i="25"/>
  <c r="AI15" i="24"/>
  <c r="AF15" i="24"/>
  <c r="AC15" i="24"/>
  <c r="Z15" i="24"/>
  <c r="W15" i="24"/>
  <c r="T15" i="24"/>
  <c r="Q15" i="24"/>
  <c r="N15" i="24"/>
  <c r="K15" i="24"/>
  <c r="H15" i="24"/>
  <c r="AH15" i="24"/>
  <c r="AE15" i="24"/>
  <c r="AB15" i="24"/>
  <c r="Y15" i="24"/>
  <c r="V15" i="24"/>
  <c r="S15" i="24"/>
  <c r="P15" i="24"/>
  <c r="M15" i="24"/>
  <c r="J15" i="24"/>
  <c r="G15" i="24"/>
  <c r="AG15" i="24"/>
  <c r="AD15" i="24"/>
  <c r="AA15" i="24"/>
  <c r="X15" i="24"/>
  <c r="U15" i="24"/>
  <c r="R15" i="24"/>
  <c r="O15" i="24"/>
  <c r="L15" i="24"/>
  <c r="I15" i="24"/>
  <c r="AI15" i="23"/>
  <c r="AE15" i="23"/>
  <c r="AA15" i="23"/>
  <c r="W15" i="23"/>
  <c r="S15" i="23"/>
  <c r="O15" i="23"/>
  <c r="K15" i="23"/>
  <c r="G15" i="23"/>
  <c r="F15" i="24"/>
  <c r="AF15" i="23"/>
  <c r="Y15" i="23"/>
  <c r="R15" i="23"/>
  <c r="L15" i="23"/>
  <c r="AD15" i="23"/>
  <c r="X15" i="23"/>
  <c r="Q15" i="23"/>
  <c r="J15" i="23"/>
  <c r="AF15" i="22"/>
  <c r="AA15" i="22"/>
  <c r="V15" i="22"/>
  <c r="Q15" i="22"/>
  <c r="L15" i="22"/>
  <c r="G15" i="22"/>
  <c r="AJ15" i="23"/>
  <c r="AC15" i="23"/>
  <c r="V15" i="23"/>
  <c r="P15" i="23"/>
  <c r="I15" i="23"/>
  <c r="AH15" i="23"/>
  <c r="AB15" i="23"/>
  <c r="U15" i="23"/>
  <c r="N15" i="23"/>
  <c r="H15" i="23"/>
  <c r="AG15" i="23"/>
  <c r="Z15" i="23"/>
  <c r="T15" i="23"/>
  <c r="M15" i="23"/>
  <c r="F15" i="23"/>
  <c r="AH15" i="22"/>
  <c r="AC15" i="22"/>
  <c r="X15" i="22"/>
  <c r="S15" i="22"/>
  <c r="N15" i="22"/>
  <c r="I15" i="22"/>
  <c r="AD15" i="22"/>
  <c r="T15" i="22"/>
  <c r="J15" i="22"/>
  <c r="AI15" i="21"/>
  <c r="AC15" i="21"/>
  <c r="W15" i="21"/>
  <c r="Q15" i="21"/>
  <c r="K15" i="21"/>
  <c r="AB15" i="22"/>
  <c r="R15" i="22"/>
  <c r="H15" i="22"/>
  <c r="AH15" i="21"/>
  <c r="AB15" i="21"/>
  <c r="V15" i="21"/>
  <c r="P15" i="21"/>
  <c r="J15" i="21"/>
  <c r="Z15" i="22"/>
  <c r="P15" i="22"/>
  <c r="F15" i="22"/>
  <c r="AG15" i="21"/>
  <c r="AA15" i="21"/>
  <c r="U15" i="21"/>
  <c r="O15" i="21"/>
  <c r="I15" i="21"/>
  <c r="AI15" i="22"/>
  <c r="Y15" i="22"/>
  <c r="O15" i="22"/>
  <c r="AF15" i="21"/>
  <c r="Z15" i="21"/>
  <c r="T15" i="21"/>
  <c r="N15" i="21"/>
  <c r="H15" i="21"/>
  <c r="AG15" i="22"/>
  <c r="W15" i="22"/>
  <c r="M15" i="22"/>
  <c r="AE15" i="21"/>
  <c r="Y15" i="21"/>
  <c r="S15" i="21"/>
  <c r="M15" i="21"/>
  <c r="G15" i="21"/>
  <c r="AE15" i="22"/>
  <c r="U15" i="22"/>
  <c r="K15" i="22"/>
  <c r="AJ15" i="21"/>
  <c r="AD15" i="21"/>
  <c r="X15" i="21"/>
  <c r="R15" i="21"/>
  <c r="L15" i="21"/>
  <c r="F15" i="21"/>
  <c r="AE15" i="20"/>
  <c r="Y15" i="20"/>
  <c r="S15" i="20"/>
  <c r="M15" i="20"/>
  <c r="G15" i="20"/>
  <c r="AE15" i="19"/>
  <c r="Y15" i="19"/>
  <c r="S15" i="19"/>
  <c r="M15" i="19"/>
  <c r="G15" i="19"/>
  <c r="AD15" i="20"/>
  <c r="X15" i="20"/>
  <c r="R15" i="20"/>
  <c r="L15" i="20"/>
  <c r="F15" i="20"/>
  <c r="AD15" i="19"/>
  <c r="X15" i="19"/>
  <c r="R15" i="19"/>
  <c r="L15" i="19"/>
  <c r="F15" i="19"/>
  <c r="AJ15" i="20"/>
  <c r="AI15" i="20"/>
  <c r="AC15" i="20"/>
  <c r="W15" i="20"/>
  <c r="Q15" i="20"/>
  <c r="K15" i="20"/>
  <c r="AI15" i="19"/>
  <c r="AC15" i="19"/>
  <c r="W15" i="19"/>
  <c r="Q15" i="19"/>
  <c r="K15" i="19"/>
  <c r="AH15" i="20"/>
  <c r="AB15" i="20"/>
  <c r="V15" i="20"/>
  <c r="P15" i="20"/>
  <c r="J15" i="20"/>
  <c r="AH15" i="19"/>
  <c r="AB15" i="19"/>
  <c r="V15" i="19"/>
  <c r="P15" i="19"/>
  <c r="J15" i="19"/>
  <c r="AG15" i="20"/>
  <c r="AA15" i="20"/>
  <c r="U15" i="20"/>
  <c r="O15" i="20"/>
  <c r="I15" i="20"/>
  <c r="AG15" i="19"/>
  <c r="AA15" i="19"/>
  <c r="U15" i="19"/>
  <c r="O15" i="19"/>
  <c r="I15" i="19"/>
  <c r="AF15" i="20"/>
  <c r="Z15" i="20"/>
  <c r="T15" i="20"/>
  <c r="N15" i="20"/>
  <c r="H15" i="20"/>
  <c r="AF15" i="19"/>
  <c r="Z15" i="19"/>
  <c r="T15" i="19"/>
  <c r="N15" i="19"/>
  <c r="H15" i="19"/>
  <c r="AJ15" i="18"/>
  <c r="AI15" i="18"/>
  <c r="AC15" i="18"/>
  <c r="W15" i="18"/>
  <c r="Q15" i="18"/>
  <c r="K15" i="18"/>
  <c r="AG15" i="17"/>
  <c r="AA15" i="17"/>
  <c r="U15" i="17"/>
  <c r="O15" i="17"/>
  <c r="I15" i="17"/>
  <c r="AH15" i="18"/>
  <c r="AB15" i="18"/>
  <c r="V15" i="18"/>
  <c r="P15" i="18"/>
  <c r="J15" i="18"/>
  <c r="AF15" i="17"/>
  <c r="Z15" i="17"/>
  <c r="T15" i="17"/>
  <c r="N15" i="17"/>
  <c r="H15" i="17"/>
  <c r="AG15" i="18"/>
  <c r="AA15" i="18"/>
  <c r="U15" i="18"/>
  <c r="O15" i="18"/>
  <c r="I15" i="18"/>
  <c r="AE15" i="17"/>
  <c r="Y15" i="17"/>
  <c r="S15" i="17"/>
  <c r="M15" i="17"/>
  <c r="G15" i="17"/>
  <c r="AF15" i="18"/>
  <c r="Z15" i="18"/>
  <c r="T15" i="18"/>
  <c r="N15" i="18"/>
  <c r="H15" i="18"/>
  <c r="AD15" i="17"/>
  <c r="X15" i="17"/>
  <c r="R15" i="17"/>
  <c r="L15" i="17"/>
  <c r="F15" i="17"/>
  <c r="AE15" i="18"/>
  <c r="Y15" i="18"/>
  <c r="S15" i="18"/>
  <c r="M15" i="18"/>
  <c r="G15" i="18"/>
  <c r="AI15" i="17"/>
  <c r="AC15" i="17"/>
  <c r="W15" i="17"/>
  <c r="Q15" i="17"/>
  <c r="K15" i="17"/>
  <c r="AD15" i="18"/>
  <c r="X15" i="18"/>
  <c r="R15" i="18"/>
  <c r="L15" i="18"/>
  <c r="F15" i="18"/>
  <c r="AH15" i="17"/>
  <c r="AB15" i="17"/>
  <c r="V15" i="17"/>
  <c r="P15" i="17"/>
  <c r="J15" i="17"/>
  <c r="AJ39" i="25"/>
  <c r="AG39" i="25"/>
  <c r="AD39" i="25"/>
  <c r="AA39" i="25"/>
  <c r="X39" i="25"/>
  <c r="U39" i="25"/>
  <c r="R39" i="25"/>
  <c r="O39" i="25"/>
  <c r="L39" i="25"/>
  <c r="I39" i="25"/>
  <c r="F39" i="25"/>
  <c r="AI39" i="25"/>
  <c r="AF39" i="25"/>
  <c r="AC39" i="25"/>
  <c r="Z39" i="25"/>
  <c r="W39" i="25"/>
  <c r="T39" i="25"/>
  <c r="Q39" i="25"/>
  <c r="N39" i="25"/>
  <c r="K39" i="25"/>
  <c r="H39" i="25"/>
  <c r="AH39" i="25"/>
  <c r="AE39" i="25"/>
  <c r="AB39" i="25"/>
  <c r="Y39" i="25"/>
  <c r="V39" i="25"/>
  <c r="S39" i="25"/>
  <c r="P39" i="25"/>
  <c r="M39" i="25"/>
  <c r="J39" i="25"/>
  <c r="G39" i="25"/>
  <c r="AG38" i="24"/>
  <c r="AD38" i="24"/>
  <c r="AA38" i="24"/>
  <c r="X38" i="24"/>
  <c r="U38" i="24"/>
  <c r="R38" i="24"/>
  <c r="O38" i="24"/>
  <c r="L38" i="24"/>
  <c r="I38" i="24"/>
  <c r="F38" i="24"/>
  <c r="AF38" i="24"/>
  <c r="AB38" i="24"/>
  <c r="W38" i="24"/>
  <c r="S38" i="24"/>
  <c r="N38" i="24"/>
  <c r="J38" i="24"/>
  <c r="AI38" i="24"/>
  <c r="AE38" i="24"/>
  <c r="Z38" i="24"/>
  <c r="V38" i="24"/>
  <c r="Q38" i="24"/>
  <c r="M38" i="24"/>
  <c r="H38" i="24"/>
  <c r="AH38" i="24"/>
  <c r="AC38" i="24"/>
  <c r="Y38" i="24"/>
  <c r="T38" i="24"/>
  <c r="P38" i="24"/>
  <c r="K38" i="24"/>
  <c r="G38" i="24"/>
  <c r="AG38" i="23"/>
  <c r="AC38" i="23"/>
  <c r="Y38" i="23"/>
  <c r="U38" i="23"/>
  <c r="Q38" i="23"/>
  <c r="M38" i="23"/>
  <c r="I38" i="23"/>
  <c r="AJ38" i="23"/>
  <c r="AF38" i="23"/>
  <c r="AB38" i="23"/>
  <c r="X38" i="23"/>
  <c r="T38" i="23"/>
  <c r="P38" i="23"/>
  <c r="L38" i="23"/>
  <c r="H38" i="23"/>
  <c r="AI38" i="23"/>
  <c r="AE38" i="23"/>
  <c r="AA38" i="23"/>
  <c r="W38" i="23"/>
  <c r="S38" i="23"/>
  <c r="O38" i="23"/>
  <c r="K38" i="23"/>
  <c r="G38" i="23"/>
  <c r="AH38" i="23"/>
  <c r="AD38" i="23"/>
  <c r="Z38" i="23"/>
  <c r="V38" i="23"/>
  <c r="R38" i="23"/>
  <c r="N38" i="23"/>
  <c r="J38" i="23"/>
  <c r="F38" i="23"/>
  <c r="AG38" i="22"/>
  <c r="AB38" i="22"/>
  <c r="W38" i="22"/>
  <c r="R38" i="22"/>
  <c r="M38" i="22"/>
  <c r="H38" i="22"/>
  <c r="AF38" i="22"/>
  <c r="AA38" i="22"/>
  <c r="V38" i="22"/>
  <c r="Q38" i="22"/>
  <c r="L38" i="22"/>
  <c r="G38" i="22"/>
  <c r="AE38" i="22"/>
  <c r="Z38" i="22"/>
  <c r="U38" i="22"/>
  <c r="P38" i="22"/>
  <c r="K38" i="22"/>
  <c r="F38" i="22"/>
  <c r="AI38" i="22"/>
  <c r="AD38" i="22"/>
  <c r="Y38" i="22"/>
  <c r="T38" i="22"/>
  <c r="O38" i="22"/>
  <c r="J38" i="22"/>
  <c r="AH38" i="22"/>
  <c r="AC38" i="22"/>
  <c r="X38" i="22"/>
  <c r="S38" i="22"/>
  <c r="N38" i="22"/>
  <c r="I38" i="22"/>
  <c r="AG38" i="21"/>
  <c r="AA38" i="21"/>
  <c r="U38" i="21"/>
  <c r="O38" i="21"/>
  <c r="I38" i="21"/>
  <c r="AF38" i="21"/>
  <c r="Z38" i="21"/>
  <c r="T38" i="21"/>
  <c r="N38" i="21"/>
  <c r="H38" i="21"/>
  <c r="AE38" i="21"/>
  <c r="Y38" i="21"/>
  <c r="S38" i="21"/>
  <c r="M38" i="21"/>
  <c r="G38" i="21"/>
  <c r="AJ38" i="21"/>
  <c r="AD38" i="21"/>
  <c r="X38" i="21"/>
  <c r="R38" i="21"/>
  <c r="L38" i="21"/>
  <c r="F38" i="21"/>
  <c r="AI38" i="21"/>
  <c r="AC38" i="21"/>
  <c r="W38" i="21"/>
  <c r="Q38" i="21"/>
  <c r="K38" i="21"/>
  <c r="AH38" i="21"/>
  <c r="AB38" i="21"/>
  <c r="V38" i="21"/>
  <c r="P38" i="21"/>
  <c r="J38" i="21"/>
  <c r="AH38" i="20"/>
  <c r="AB38" i="20"/>
  <c r="V38" i="20"/>
  <c r="P38" i="20"/>
  <c r="J38" i="20"/>
  <c r="AE38" i="19"/>
  <c r="Y38" i="19"/>
  <c r="S38" i="19"/>
  <c r="M38" i="19"/>
  <c r="G38" i="19"/>
  <c r="AG38" i="20"/>
  <c r="AA38" i="20"/>
  <c r="U38" i="20"/>
  <c r="O38" i="20"/>
  <c r="I38" i="20"/>
  <c r="AD38" i="19"/>
  <c r="X38" i="19"/>
  <c r="R38" i="19"/>
  <c r="L38" i="19"/>
  <c r="F38" i="19"/>
  <c r="AJ38" i="18"/>
  <c r="AF38" i="20"/>
  <c r="Z38" i="20"/>
  <c r="T38" i="20"/>
  <c r="N38" i="20"/>
  <c r="H38" i="20"/>
  <c r="AI38" i="19"/>
  <c r="AC38" i="19"/>
  <c r="W38" i="19"/>
  <c r="Q38" i="19"/>
  <c r="K38" i="19"/>
  <c r="AE38" i="20"/>
  <c r="Y38" i="20"/>
  <c r="S38" i="20"/>
  <c r="M38" i="20"/>
  <c r="G38" i="20"/>
  <c r="AH38" i="19"/>
  <c r="AB38" i="19"/>
  <c r="V38" i="19"/>
  <c r="P38" i="19"/>
  <c r="J38" i="19"/>
  <c r="AJ38" i="20"/>
  <c r="AD38" i="20"/>
  <c r="X38" i="20"/>
  <c r="R38" i="20"/>
  <c r="L38" i="20"/>
  <c r="F38" i="20"/>
  <c r="AG38" i="19"/>
  <c r="AA38" i="19"/>
  <c r="U38" i="19"/>
  <c r="O38" i="19"/>
  <c r="I38" i="19"/>
  <c r="AI38" i="20"/>
  <c r="AC38" i="20"/>
  <c r="W38" i="20"/>
  <c r="Q38" i="20"/>
  <c r="K38" i="20"/>
  <c r="AF38" i="19"/>
  <c r="Z38" i="19"/>
  <c r="T38" i="19"/>
  <c r="N38" i="19"/>
  <c r="H38" i="19"/>
  <c r="AG38" i="18"/>
  <c r="AA38" i="18"/>
  <c r="U38" i="18"/>
  <c r="O38" i="18"/>
  <c r="I38" i="18"/>
  <c r="AF38" i="17"/>
  <c r="Z38" i="17"/>
  <c r="T38" i="17"/>
  <c r="N38" i="17"/>
  <c r="H38" i="17"/>
  <c r="AF38" i="18"/>
  <c r="Z38" i="18"/>
  <c r="T38" i="18"/>
  <c r="N38" i="18"/>
  <c r="H38" i="18"/>
  <c r="AE38" i="17"/>
  <c r="Y38" i="17"/>
  <c r="S38" i="17"/>
  <c r="M38" i="17"/>
  <c r="G38" i="17"/>
  <c r="AE38" i="18"/>
  <c r="Y38" i="18"/>
  <c r="S38" i="18"/>
  <c r="M38" i="18"/>
  <c r="G38" i="18"/>
  <c r="AD38" i="17"/>
  <c r="X38" i="17"/>
  <c r="R38" i="17"/>
  <c r="L38" i="17"/>
  <c r="F38" i="17"/>
  <c r="AF38" i="16"/>
  <c r="Z38" i="16"/>
  <c r="T38" i="16"/>
  <c r="N38" i="16"/>
  <c r="H38" i="16"/>
  <c r="AD38" i="18"/>
  <c r="X38" i="18"/>
  <c r="R38" i="18"/>
  <c r="L38" i="18"/>
  <c r="F38" i="18"/>
  <c r="AI38" i="17"/>
  <c r="AC38" i="17"/>
  <c r="W38" i="17"/>
  <c r="Q38" i="17"/>
  <c r="K38" i="17"/>
  <c r="AI38" i="18"/>
  <c r="AC38" i="18"/>
  <c r="W38" i="18"/>
  <c r="Q38" i="18"/>
  <c r="K38" i="18"/>
  <c r="AH38" i="17"/>
  <c r="AB38" i="17"/>
  <c r="V38" i="17"/>
  <c r="P38" i="17"/>
  <c r="J38" i="17"/>
  <c r="AH38" i="18"/>
  <c r="AB38" i="18"/>
  <c r="V38" i="18"/>
  <c r="P38" i="18"/>
  <c r="J38" i="18"/>
  <c r="AG38" i="17"/>
  <c r="AA38" i="17"/>
  <c r="U38" i="17"/>
  <c r="O38" i="17"/>
  <c r="I38" i="17"/>
  <c r="AJ15" i="25"/>
  <c r="AG15" i="25"/>
  <c r="AD15" i="25"/>
  <c r="AA15" i="25"/>
  <c r="X15" i="25"/>
  <c r="U15" i="25"/>
  <c r="R15" i="25"/>
  <c r="O15" i="25"/>
  <c r="L15" i="25"/>
  <c r="I15" i="25"/>
  <c r="F15" i="25"/>
  <c r="AI15" i="25"/>
  <c r="AF15" i="25"/>
  <c r="AC15" i="25"/>
  <c r="Z15" i="25"/>
  <c r="W15" i="25"/>
  <c r="T15" i="25"/>
  <c r="Q15" i="25"/>
  <c r="N15" i="25"/>
  <c r="K15" i="25"/>
  <c r="H15" i="25"/>
  <c r="AH15" i="25"/>
  <c r="AE15" i="25"/>
  <c r="AB15" i="25"/>
  <c r="Y15" i="25"/>
  <c r="V15" i="25"/>
  <c r="S15" i="25"/>
  <c r="P15" i="25"/>
  <c r="M15" i="25"/>
  <c r="J15" i="25"/>
  <c r="G15" i="25"/>
  <c r="AI14" i="24"/>
  <c r="AF14" i="24"/>
  <c r="AC14" i="24"/>
  <c r="Z14" i="24"/>
  <c r="W14" i="24"/>
  <c r="T14" i="24"/>
  <c r="Q14" i="24"/>
  <c r="N14" i="24"/>
  <c r="K14" i="24"/>
  <c r="H14" i="24"/>
  <c r="AH14" i="24"/>
  <c r="AE14" i="24"/>
  <c r="AB14" i="24"/>
  <c r="Y14" i="24"/>
  <c r="V14" i="24"/>
  <c r="S14" i="24"/>
  <c r="P14" i="24"/>
  <c r="M14" i="24"/>
  <c r="J14" i="24"/>
  <c r="G14" i="24"/>
  <c r="AD14" i="24"/>
  <c r="R14" i="24"/>
  <c r="F14" i="24"/>
  <c r="AA14" i="24"/>
  <c r="O14" i="24"/>
  <c r="AH14" i="23"/>
  <c r="AD14" i="23"/>
  <c r="Z14" i="23"/>
  <c r="V14" i="23"/>
  <c r="R14" i="23"/>
  <c r="N14" i="23"/>
  <c r="J14" i="23"/>
  <c r="F14" i="23"/>
  <c r="X14" i="24"/>
  <c r="L14" i="24"/>
  <c r="AG14" i="24"/>
  <c r="U14" i="24"/>
  <c r="I14" i="24"/>
  <c r="AJ14" i="23"/>
  <c r="AC14" i="23"/>
  <c r="W14" i="23"/>
  <c r="P14" i="23"/>
  <c r="I14" i="23"/>
  <c r="AI14" i="23"/>
  <c r="AB14" i="23"/>
  <c r="U14" i="23"/>
  <c r="O14" i="23"/>
  <c r="H14" i="23"/>
  <c r="AF14" i="22"/>
  <c r="AA14" i="22"/>
  <c r="V14" i="22"/>
  <c r="Q14" i="22"/>
  <c r="L14" i="22"/>
  <c r="G14" i="22"/>
  <c r="AG14" i="23"/>
  <c r="AA14" i="23"/>
  <c r="T14" i="23"/>
  <c r="M14" i="23"/>
  <c r="G14" i="23"/>
  <c r="AF14" i="23"/>
  <c r="Y14" i="23"/>
  <c r="S14" i="23"/>
  <c r="L14" i="23"/>
  <c r="AE14" i="23"/>
  <c r="X14" i="23"/>
  <c r="Q14" i="23"/>
  <c r="K14" i="23"/>
  <c r="AE14" i="22"/>
  <c r="X14" i="22"/>
  <c r="P14" i="22"/>
  <c r="I14" i="22"/>
  <c r="AJ14" i="21"/>
  <c r="AD14" i="21"/>
  <c r="X14" i="21"/>
  <c r="R14" i="21"/>
  <c r="L14" i="21"/>
  <c r="F14" i="21"/>
  <c r="AD14" i="22"/>
  <c r="W14" i="22"/>
  <c r="O14" i="22"/>
  <c r="H14" i="22"/>
  <c r="AI14" i="21"/>
  <c r="AC14" i="21"/>
  <c r="W14" i="21"/>
  <c r="Q14" i="21"/>
  <c r="K14" i="21"/>
  <c r="AC14" i="22"/>
  <c r="U14" i="22"/>
  <c r="N14" i="22"/>
  <c r="F14" i="22"/>
  <c r="AH14" i="21"/>
  <c r="AB14" i="21"/>
  <c r="V14" i="21"/>
  <c r="P14" i="21"/>
  <c r="J14" i="21"/>
  <c r="AI14" i="22"/>
  <c r="AB14" i="22"/>
  <c r="T14" i="22"/>
  <c r="M14" i="22"/>
  <c r="AG14" i="21"/>
  <c r="AA14" i="21"/>
  <c r="U14" i="21"/>
  <c r="O14" i="21"/>
  <c r="I14" i="21"/>
  <c r="AH14" i="22"/>
  <c r="Z14" i="22"/>
  <c r="S14" i="22"/>
  <c r="K14" i="22"/>
  <c r="AF14" i="21"/>
  <c r="Z14" i="21"/>
  <c r="T14" i="21"/>
  <c r="N14" i="21"/>
  <c r="H14" i="21"/>
  <c r="AG14" i="22"/>
  <c r="Y14" i="22"/>
  <c r="R14" i="22"/>
  <c r="J14" i="22"/>
  <c r="AE14" i="21"/>
  <c r="Y14" i="21"/>
  <c r="S14" i="21"/>
  <c r="M14" i="21"/>
  <c r="G14" i="21"/>
  <c r="AF14" i="20"/>
  <c r="Z14" i="20"/>
  <c r="T14" i="20"/>
  <c r="N14" i="20"/>
  <c r="H14" i="20"/>
  <c r="AE14" i="19"/>
  <c r="Y14" i="19"/>
  <c r="S14" i="19"/>
  <c r="M14" i="19"/>
  <c r="G14" i="19"/>
  <c r="AJ14" i="20"/>
  <c r="AE14" i="20"/>
  <c r="Y14" i="20"/>
  <c r="S14" i="20"/>
  <c r="M14" i="20"/>
  <c r="G14" i="20"/>
  <c r="AD14" i="19"/>
  <c r="X14" i="19"/>
  <c r="R14" i="19"/>
  <c r="L14" i="19"/>
  <c r="F14" i="19"/>
  <c r="AD14" i="20"/>
  <c r="X14" i="20"/>
  <c r="R14" i="20"/>
  <c r="L14" i="20"/>
  <c r="F14" i="20"/>
  <c r="AI14" i="19"/>
  <c r="AC14" i="19"/>
  <c r="W14" i="19"/>
  <c r="Q14" i="19"/>
  <c r="K14" i="19"/>
  <c r="AI14" i="20"/>
  <c r="AC14" i="20"/>
  <c r="W14" i="20"/>
  <c r="Q14" i="20"/>
  <c r="K14" i="20"/>
  <c r="AH14" i="19"/>
  <c r="AB14" i="19"/>
  <c r="V14" i="19"/>
  <c r="P14" i="19"/>
  <c r="J14" i="19"/>
  <c r="AH14" i="20"/>
  <c r="AB14" i="20"/>
  <c r="V14" i="20"/>
  <c r="P14" i="20"/>
  <c r="J14" i="20"/>
  <c r="AG14" i="19"/>
  <c r="AA14" i="19"/>
  <c r="U14" i="19"/>
  <c r="O14" i="19"/>
  <c r="I14" i="19"/>
  <c r="AJ14" i="18"/>
  <c r="AG14" i="20"/>
  <c r="AA14" i="20"/>
  <c r="U14" i="20"/>
  <c r="O14" i="20"/>
  <c r="I14" i="20"/>
  <c r="AF14" i="19"/>
  <c r="Z14" i="19"/>
  <c r="T14" i="19"/>
  <c r="N14" i="19"/>
  <c r="H14" i="19"/>
  <c r="AD14" i="18"/>
  <c r="X14" i="18"/>
  <c r="R14" i="18"/>
  <c r="L14" i="18"/>
  <c r="F14" i="18"/>
  <c r="AG14" i="17"/>
  <c r="AA14" i="17"/>
  <c r="U14" i="17"/>
  <c r="O14" i="17"/>
  <c r="I14" i="17"/>
  <c r="AI14" i="18"/>
  <c r="AC14" i="18"/>
  <c r="W14" i="18"/>
  <c r="Q14" i="18"/>
  <c r="K14" i="18"/>
  <c r="AF14" i="17"/>
  <c r="Z14" i="17"/>
  <c r="T14" i="17"/>
  <c r="N14" i="17"/>
  <c r="H14" i="17"/>
  <c r="AH14" i="18"/>
  <c r="AB14" i="18"/>
  <c r="V14" i="18"/>
  <c r="P14" i="18"/>
  <c r="J14" i="18"/>
  <c r="AE14" i="17"/>
  <c r="Y14" i="17"/>
  <c r="S14" i="17"/>
  <c r="M14" i="17"/>
  <c r="G14" i="17"/>
  <c r="AG14" i="18"/>
  <c r="AA14" i="18"/>
  <c r="U14" i="18"/>
  <c r="O14" i="18"/>
  <c r="I14" i="18"/>
  <c r="AD14" i="17"/>
  <c r="X14" i="17"/>
  <c r="R14" i="17"/>
  <c r="L14" i="17"/>
  <c r="F14" i="17"/>
  <c r="AF14" i="18"/>
  <c r="Z14" i="18"/>
  <c r="T14" i="18"/>
  <c r="N14" i="18"/>
  <c r="H14" i="18"/>
  <c r="AI14" i="17"/>
  <c r="AC14" i="17"/>
  <c r="W14" i="17"/>
  <c r="Q14" i="17"/>
  <c r="K14" i="17"/>
  <c r="AE14" i="18"/>
  <c r="Y14" i="18"/>
  <c r="S14" i="18"/>
  <c r="M14" i="18"/>
  <c r="G14" i="18"/>
  <c r="AH14" i="17"/>
  <c r="AB14" i="17"/>
  <c r="V14" i="17"/>
  <c r="P14" i="17"/>
  <c r="J14" i="17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AI44" i="24"/>
  <c r="AF44" i="24"/>
  <c r="AC44" i="24"/>
  <c r="Z44" i="24"/>
  <c r="W44" i="24"/>
  <c r="T44" i="24"/>
  <c r="Q44" i="24"/>
  <c r="N44" i="24"/>
  <c r="K44" i="24"/>
  <c r="H44" i="24"/>
  <c r="AH44" i="24"/>
  <c r="AE44" i="24"/>
  <c r="AB44" i="24"/>
  <c r="Y44" i="24"/>
  <c r="V44" i="24"/>
  <c r="S44" i="24"/>
  <c r="P44" i="24"/>
  <c r="M44" i="24"/>
  <c r="J44" i="24"/>
  <c r="G44" i="24"/>
  <c r="AG44" i="24"/>
  <c r="AD44" i="24"/>
  <c r="AA44" i="24"/>
  <c r="X44" i="24"/>
  <c r="U44" i="24"/>
  <c r="R44" i="24"/>
  <c r="O44" i="24"/>
  <c r="L44" i="24"/>
  <c r="I44" i="24"/>
  <c r="F44" i="24"/>
  <c r="AI44" i="23"/>
  <c r="AE44" i="23"/>
  <c r="AA44" i="23"/>
  <c r="W44" i="23"/>
  <c r="S44" i="23"/>
  <c r="O44" i="23"/>
  <c r="K44" i="23"/>
  <c r="G44" i="23"/>
  <c r="AH44" i="23"/>
  <c r="AD44" i="23"/>
  <c r="Z44" i="23"/>
  <c r="V44" i="23"/>
  <c r="R44" i="23"/>
  <c r="N44" i="23"/>
  <c r="J44" i="23"/>
  <c r="F44" i="23"/>
  <c r="AG44" i="23"/>
  <c r="AC44" i="23"/>
  <c r="Y44" i="23"/>
  <c r="U44" i="23"/>
  <c r="Q44" i="23"/>
  <c r="M44" i="23"/>
  <c r="I44" i="23"/>
  <c r="AJ44" i="23"/>
  <c r="AF44" i="23"/>
  <c r="AB44" i="23"/>
  <c r="X44" i="23"/>
  <c r="T44" i="23"/>
  <c r="P44" i="23"/>
  <c r="L44" i="23"/>
  <c r="H44" i="23"/>
  <c r="AG44" i="22"/>
  <c r="AB44" i="22"/>
  <c r="W44" i="22"/>
  <c r="R44" i="22"/>
  <c r="M44" i="22"/>
  <c r="H44" i="22"/>
  <c r="AF44" i="22"/>
  <c r="AA44" i="22"/>
  <c r="V44" i="22"/>
  <c r="Q44" i="22"/>
  <c r="L44" i="22"/>
  <c r="G44" i="22"/>
  <c r="AE44" i="22"/>
  <c r="Z44" i="22"/>
  <c r="U44" i="22"/>
  <c r="P44" i="22"/>
  <c r="K44" i="22"/>
  <c r="F44" i="22"/>
  <c r="AI44" i="22"/>
  <c r="AD44" i="22"/>
  <c r="Y44" i="22"/>
  <c r="T44" i="22"/>
  <c r="O44" i="22"/>
  <c r="J44" i="22"/>
  <c r="AH44" i="22"/>
  <c r="AC44" i="22"/>
  <c r="X44" i="22"/>
  <c r="S44" i="22"/>
  <c r="N44" i="22"/>
  <c r="I44" i="22"/>
  <c r="AG44" i="21"/>
  <c r="AA44" i="21"/>
  <c r="U44" i="21"/>
  <c r="O44" i="21"/>
  <c r="I44" i="21"/>
  <c r="AF44" i="21"/>
  <c r="Z44" i="21"/>
  <c r="T44" i="21"/>
  <c r="N44" i="21"/>
  <c r="H44" i="21"/>
  <c r="AE44" i="21"/>
  <c r="Y44" i="21"/>
  <c r="S44" i="21"/>
  <c r="M44" i="21"/>
  <c r="G44" i="21"/>
  <c r="AJ44" i="21"/>
  <c r="AD44" i="21"/>
  <c r="X44" i="21"/>
  <c r="R44" i="21"/>
  <c r="L44" i="21"/>
  <c r="F44" i="21"/>
  <c r="AI44" i="21"/>
  <c r="AC44" i="21"/>
  <c r="W44" i="21"/>
  <c r="Q44" i="21"/>
  <c r="K44" i="21"/>
  <c r="AH44" i="21"/>
  <c r="AB44" i="21"/>
  <c r="V44" i="21"/>
  <c r="P44" i="21"/>
  <c r="J44" i="21"/>
  <c r="AG44" i="20"/>
  <c r="AA44" i="20"/>
  <c r="U44" i="20"/>
  <c r="O44" i="20"/>
  <c r="I44" i="20"/>
  <c r="AE44" i="19"/>
  <c r="Y44" i="19"/>
  <c r="S44" i="19"/>
  <c r="M44" i="19"/>
  <c r="G44" i="19"/>
  <c r="AF44" i="20"/>
  <c r="Z44" i="20"/>
  <c r="T44" i="20"/>
  <c r="N44" i="20"/>
  <c r="H44" i="20"/>
  <c r="AD44" i="19"/>
  <c r="X44" i="19"/>
  <c r="R44" i="19"/>
  <c r="L44" i="19"/>
  <c r="F44" i="19"/>
  <c r="AJ44" i="18"/>
  <c r="AD44" i="18"/>
  <c r="X44" i="18"/>
  <c r="R44" i="18"/>
  <c r="L44" i="18"/>
  <c r="F44" i="18"/>
  <c r="AE44" i="20"/>
  <c r="Y44" i="20"/>
  <c r="S44" i="20"/>
  <c r="M44" i="20"/>
  <c r="G44" i="20"/>
  <c r="AI44" i="19"/>
  <c r="AC44" i="19"/>
  <c r="W44" i="19"/>
  <c r="Q44" i="19"/>
  <c r="K44" i="19"/>
  <c r="AD44" i="20"/>
  <c r="X44" i="20"/>
  <c r="R44" i="20"/>
  <c r="L44" i="20"/>
  <c r="F44" i="20"/>
  <c r="AH44" i="19"/>
  <c r="AB44" i="19"/>
  <c r="V44" i="19"/>
  <c r="P44" i="19"/>
  <c r="J44" i="19"/>
  <c r="AJ44" i="20"/>
  <c r="AI44" i="20"/>
  <c r="AC44" i="20"/>
  <c r="W44" i="20"/>
  <c r="Q44" i="20"/>
  <c r="K44" i="20"/>
  <c r="AG44" i="19"/>
  <c r="AA44" i="19"/>
  <c r="U44" i="19"/>
  <c r="O44" i="19"/>
  <c r="I44" i="19"/>
  <c r="AH44" i="20"/>
  <c r="AB44" i="20"/>
  <c r="V44" i="20"/>
  <c r="P44" i="20"/>
  <c r="J44" i="20"/>
  <c r="AF44" i="19"/>
  <c r="Z44" i="19"/>
  <c r="T44" i="19"/>
  <c r="N44" i="19"/>
  <c r="H44" i="19"/>
  <c r="AE44" i="18"/>
  <c r="W44" i="18"/>
  <c r="P44" i="18"/>
  <c r="I44" i="18"/>
  <c r="AF44" i="17"/>
  <c r="Z44" i="17"/>
  <c r="T44" i="17"/>
  <c r="N44" i="17"/>
  <c r="H44" i="17"/>
  <c r="AF44" i="16"/>
  <c r="Z44" i="16"/>
  <c r="T44" i="16"/>
  <c r="N44" i="16"/>
  <c r="H44" i="16"/>
  <c r="AC44" i="18"/>
  <c r="V44" i="18"/>
  <c r="O44" i="18"/>
  <c r="H44" i="18"/>
  <c r="AE44" i="17"/>
  <c r="Y44" i="17"/>
  <c r="S44" i="17"/>
  <c r="M44" i="17"/>
  <c r="G44" i="17"/>
  <c r="AE44" i="16"/>
  <c r="Y44" i="16"/>
  <c r="S44" i="16"/>
  <c r="M44" i="16"/>
  <c r="G44" i="16"/>
  <c r="AI44" i="18"/>
  <c r="AB44" i="18"/>
  <c r="U44" i="18"/>
  <c r="N44" i="18"/>
  <c r="G44" i="18"/>
  <c r="AD44" i="17"/>
  <c r="X44" i="17"/>
  <c r="R44" i="17"/>
  <c r="L44" i="17"/>
  <c r="F44" i="17"/>
  <c r="AJ44" i="16"/>
  <c r="AD44" i="16"/>
  <c r="X44" i="16"/>
  <c r="R44" i="16"/>
  <c r="L44" i="16"/>
  <c r="F44" i="16"/>
  <c r="AH44" i="18"/>
  <c r="AA44" i="18"/>
  <c r="T44" i="18"/>
  <c r="M44" i="18"/>
  <c r="AI44" i="17"/>
  <c r="AC44" i="17"/>
  <c r="W44" i="17"/>
  <c r="Q44" i="17"/>
  <c r="K44" i="17"/>
  <c r="AI44" i="16"/>
  <c r="AC44" i="16"/>
  <c r="W44" i="16"/>
  <c r="Q44" i="16"/>
  <c r="K44" i="16"/>
  <c r="AG44" i="18"/>
  <c r="Z44" i="18"/>
  <c r="S44" i="18"/>
  <c r="K44" i="18"/>
  <c r="AH44" i="17"/>
  <c r="AB44" i="17"/>
  <c r="V44" i="17"/>
  <c r="P44" i="17"/>
  <c r="J44" i="17"/>
  <c r="AH44" i="16"/>
  <c r="AB44" i="16"/>
  <c r="V44" i="16"/>
  <c r="P44" i="16"/>
  <c r="J44" i="16"/>
  <c r="AF44" i="18"/>
  <c r="Y44" i="18"/>
  <c r="Q44" i="18"/>
  <c r="J44" i="18"/>
  <c r="AG44" i="17"/>
  <c r="AA44" i="17"/>
  <c r="U44" i="17"/>
  <c r="O44" i="17"/>
  <c r="I44" i="17"/>
  <c r="AG44" i="16"/>
  <c r="AA44" i="16"/>
  <c r="U44" i="16"/>
  <c r="O44" i="16"/>
  <c r="I44" i="16"/>
  <c r="AI37" i="25"/>
  <c r="AF37" i="25"/>
  <c r="AC37" i="25"/>
  <c r="Z37" i="25"/>
  <c r="W37" i="25"/>
  <c r="T37" i="25"/>
  <c r="Q37" i="25"/>
  <c r="N37" i="25"/>
  <c r="K37" i="25"/>
  <c r="H37" i="25"/>
  <c r="AH37" i="25"/>
  <c r="AE37" i="25"/>
  <c r="AB37" i="25"/>
  <c r="Y37" i="25"/>
  <c r="V37" i="25"/>
  <c r="S37" i="25"/>
  <c r="P37" i="25"/>
  <c r="M37" i="25"/>
  <c r="J37" i="25"/>
  <c r="G37" i="25"/>
  <c r="AJ37" i="25"/>
  <c r="AG37" i="25"/>
  <c r="AD37" i="25"/>
  <c r="AA37" i="25"/>
  <c r="X37" i="25"/>
  <c r="U37" i="25"/>
  <c r="R37" i="25"/>
  <c r="O37" i="25"/>
  <c r="L37" i="25"/>
  <c r="I37" i="25"/>
  <c r="F37" i="25"/>
  <c r="AH36" i="24"/>
  <c r="AE36" i="24"/>
  <c r="AB36" i="24"/>
  <c r="Y36" i="24"/>
  <c r="V36" i="24"/>
  <c r="S36" i="24"/>
  <c r="P36" i="24"/>
  <c r="M36" i="24"/>
  <c r="J36" i="24"/>
  <c r="G36" i="24"/>
  <c r="AG36" i="24"/>
  <c r="AD36" i="24"/>
  <c r="AA36" i="24"/>
  <c r="X36" i="24"/>
  <c r="U36" i="24"/>
  <c r="R36" i="24"/>
  <c r="O36" i="24"/>
  <c r="L36" i="24"/>
  <c r="I36" i="24"/>
  <c r="F36" i="24"/>
  <c r="AI36" i="24"/>
  <c r="AF36" i="24"/>
  <c r="AC36" i="24"/>
  <c r="Z36" i="24"/>
  <c r="W36" i="24"/>
  <c r="T36" i="24"/>
  <c r="Q36" i="24"/>
  <c r="N36" i="24"/>
  <c r="K36" i="24"/>
  <c r="H36" i="24"/>
  <c r="AJ36" i="23"/>
  <c r="AF36" i="23"/>
  <c r="AB36" i="23"/>
  <c r="X36" i="23"/>
  <c r="T36" i="23"/>
  <c r="P36" i="23"/>
  <c r="L36" i="23"/>
  <c r="H36" i="23"/>
  <c r="AI36" i="23"/>
  <c r="AE36" i="23"/>
  <c r="AA36" i="23"/>
  <c r="W36" i="23"/>
  <c r="S36" i="23"/>
  <c r="O36" i="23"/>
  <c r="K36" i="23"/>
  <c r="G36" i="23"/>
  <c r="AH36" i="23"/>
  <c r="AD36" i="23"/>
  <c r="Z36" i="23"/>
  <c r="V36" i="23"/>
  <c r="R36" i="23"/>
  <c r="N36" i="23"/>
  <c r="J36" i="23"/>
  <c r="F36" i="23"/>
  <c r="AG36" i="23"/>
  <c r="AC36" i="23"/>
  <c r="Y36" i="23"/>
  <c r="U36" i="23"/>
  <c r="Q36" i="23"/>
  <c r="M36" i="23"/>
  <c r="I36" i="23"/>
  <c r="AG36" i="22"/>
  <c r="AB36" i="22"/>
  <c r="W36" i="22"/>
  <c r="R36" i="22"/>
  <c r="M36" i="22"/>
  <c r="H36" i="22"/>
  <c r="AF36" i="22"/>
  <c r="AA36" i="22"/>
  <c r="V36" i="22"/>
  <c r="Q36" i="22"/>
  <c r="L36" i="22"/>
  <c r="G36" i="22"/>
  <c r="AE36" i="22"/>
  <c r="Z36" i="22"/>
  <c r="U36" i="22"/>
  <c r="P36" i="22"/>
  <c r="K36" i="22"/>
  <c r="F36" i="22"/>
  <c r="AI36" i="22"/>
  <c r="AD36" i="22"/>
  <c r="Y36" i="22"/>
  <c r="T36" i="22"/>
  <c r="O36" i="22"/>
  <c r="J36" i="22"/>
  <c r="AH36" i="22"/>
  <c r="AC36" i="22"/>
  <c r="X36" i="22"/>
  <c r="S36" i="22"/>
  <c r="N36" i="22"/>
  <c r="I36" i="22"/>
  <c r="AI36" i="21"/>
  <c r="AC36" i="21"/>
  <c r="W36" i="21"/>
  <c r="Q36" i="21"/>
  <c r="K36" i="21"/>
  <c r="AH36" i="21"/>
  <c r="AB36" i="21"/>
  <c r="V36" i="21"/>
  <c r="P36" i="21"/>
  <c r="J36" i="21"/>
  <c r="AG36" i="21"/>
  <c r="AA36" i="21"/>
  <c r="U36" i="21"/>
  <c r="O36" i="21"/>
  <c r="I36" i="21"/>
  <c r="AF36" i="21"/>
  <c r="Z36" i="21"/>
  <c r="T36" i="21"/>
  <c r="N36" i="21"/>
  <c r="H36" i="21"/>
  <c r="AE36" i="21"/>
  <c r="Y36" i="21"/>
  <c r="S36" i="21"/>
  <c r="M36" i="21"/>
  <c r="G36" i="21"/>
  <c r="AJ36" i="21"/>
  <c r="AD36" i="21"/>
  <c r="X36" i="21"/>
  <c r="R36" i="21"/>
  <c r="L36" i="21"/>
  <c r="F36" i="21"/>
  <c r="AI36" i="20"/>
  <c r="AC36" i="20"/>
  <c r="W36" i="20"/>
  <c r="Q36" i="20"/>
  <c r="K36" i="20"/>
  <c r="AE36" i="19"/>
  <c r="Y36" i="19"/>
  <c r="S36" i="19"/>
  <c r="M36" i="19"/>
  <c r="G36" i="19"/>
  <c r="AH36" i="20"/>
  <c r="AB36" i="20"/>
  <c r="V36" i="20"/>
  <c r="P36" i="20"/>
  <c r="J36" i="20"/>
  <c r="AD36" i="19"/>
  <c r="X36" i="19"/>
  <c r="R36" i="19"/>
  <c r="L36" i="19"/>
  <c r="F36" i="19"/>
  <c r="AJ36" i="20"/>
  <c r="AG36" i="20"/>
  <c r="AA36" i="20"/>
  <c r="U36" i="20"/>
  <c r="O36" i="20"/>
  <c r="I36" i="20"/>
  <c r="AI36" i="19"/>
  <c r="AC36" i="19"/>
  <c r="W36" i="19"/>
  <c r="Q36" i="19"/>
  <c r="K36" i="19"/>
  <c r="AF36" i="20"/>
  <c r="Z36" i="20"/>
  <c r="T36" i="20"/>
  <c r="N36" i="20"/>
  <c r="H36" i="20"/>
  <c r="AH36" i="19"/>
  <c r="AB36" i="19"/>
  <c r="V36" i="19"/>
  <c r="P36" i="19"/>
  <c r="J36" i="19"/>
  <c r="AE36" i="20"/>
  <c r="Y36" i="20"/>
  <c r="S36" i="20"/>
  <c r="M36" i="20"/>
  <c r="G36" i="20"/>
  <c r="AG36" i="19"/>
  <c r="AA36" i="19"/>
  <c r="U36" i="19"/>
  <c r="O36" i="19"/>
  <c r="I36" i="19"/>
  <c r="AD36" i="20"/>
  <c r="X36" i="20"/>
  <c r="R36" i="20"/>
  <c r="L36" i="20"/>
  <c r="F36" i="20"/>
  <c r="AF36" i="19"/>
  <c r="Z36" i="19"/>
  <c r="T36" i="19"/>
  <c r="N36" i="19"/>
  <c r="H36" i="19"/>
  <c r="AJ36" i="18"/>
  <c r="AG36" i="18"/>
  <c r="AA36" i="18"/>
  <c r="U36" i="18"/>
  <c r="O36" i="18"/>
  <c r="I36" i="18"/>
  <c r="AF36" i="17"/>
  <c r="Z36" i="17"/>
  <c r="T36" i="17"/>
  <c r="N36" i="17"/>
  <c r="H36" i="17"/>
  <c r="AF36" i="18"/>
  <c r="Z36" i="18"/>
  <c r="T36" i="18"/>
  <c r="N36" i="18"/>
  <c r="H36" i="18"/>
  <c r="AE36" i="17"/>
  <c r="Y36" i="17"/>
  <c r="S36" i="17"/>
  <c r="M36" i="17"/>
  <c r="G36" i="17"/>
  <c r="AE36" i="18"/>
  <c r="Y36" i="18"/>
  <c r="S36" i="18"/>
  <c r="M36" i="18"/>
  <c r="G36" i="18"/>
  <c r="AD36" i="17"/>
  <c r="X36" i="17"/>
  <c r="R36" i="17"/>
  <c r="L36" i="17"/>
  <c r="F36" i="17"/>
  <c r="AH36" i="16"/>
  <c r="AB36" i="16"/>
  <c r="V36" i="16"/>
  <c r="P36" i="16"/>
  <c r="AD36" i="18"/>
  <c r="X36" i="18"/>
  <c r="R36" i="18"/>
  <c r="L36" i="18"/>
  <c r="F36" i="18"/>
  <c r="AI36" i="17"/>
  <c r="AC36" i="17"/>
  <c r="W36" i="17"/>
  <c r="Q36" i="17"/>
  <c r="K36" i="17"/>
  <c r="AI36" i="18"/>
  <c r="AC36" i="18"/>
  <c r="W36" i="18"/>
  <c r="Q36" i="18"/>
  <c r="K36" i="18"/>
  <c r="AH36" i="17"/>
  <c r="AB36" i="17"/>
  <c r="V36" i="17"/>
  <c r="P36" i="17"/>
  <c r="J36" i="17"/>
  <c r="AH36" i="18"/>
  <c r="AB36" i="18"/>
  <c r="V36" i="18"/>
  <c r="P36" i="18"/>
  <c r="J36" i="18"/>
  <c r="AG36" i="17"/>
  <c r="AA36" i="17"/>
  <c r="U36" i="17"/>
  <c r="O36" i="17"/>
  <c r="I36" i="17"/>
  <c r="AI11" i="25"/>
  <c r="AF11" i="25"/>
  <c r="AC11" i="25"/>
  <c r="Z11" i="25"/>
  <c r="W11" i="25"/>
  <c r="T11" i="25"/>
  <c r="Q11" i="25"/>
  <c r="N11" i="25"/>
  <c r="K11" i="25"/>
  <c r="H11" i="25"/>
  <c r="AH11" i="25"/>
  <c r="AE11" i="25"/>
  <c r="AB11" i="25"/>
  <c r="Y11" i="25"/>
  <c r="V11" i="25"/>
  <c r="S11" i="25"/>
  <c r="P11" i="25"/>
  <c r="M11" i="25"/>
  <c r="J11" i="25"/>
  <c r="G11" i="25"/>
  <c r="AJ11" i="25"/>
  <c r="AG11" i="25"/>
  <c r="AD11" i="25"/>
  <c r="AA11" i="25"/>
  <c r="X11" i="25"/>
  <c r="U11" i="25"/>
  <c r="R11" i="25"/>
  <c r="O11" i="25"/>
  <c r="L11" i="25"/>
  <c r="I11" i="25"/>
  <c r="F11" i="25"/>
  <c r="AI11" i="24"/>
  <c r="AF11" i="24"/>
  <c r="AC11" i="24"/>
  <c r="Z11" i="24"/>
  <c r="W11" i="24"/>
  <c r="T11" i="24"/>
  <c r="Q11" i="24"/>
  <c r="N11" i="24"/>
  <c r="K11" i="24"/>
  <c r="H11" i="24"/>
  <c r="AH11" i="24"/>
  <c r="AE11" i="24"/>
  <c r="AB11" i="24"/>
  <c r="Y11" i="24"/>
  <c r="V11" i="24"/>
  <c r="S11" i="24"/>
  <c r="P11" i="24"/>
  <c r="M11" i="24"/>
  <c r="J11" i="24"/>
  <c r="G11" i="24"/>
  <c r="AD11" i="24"/>
  <c r="R11" i="24"/>
  <c r="F11" i="24"/>
  <c r="AA11" i="24"/>
  <c r="O11" i="24"/>
  <c r="X11" i="24"/>
  <c r="L11" i="24"/>
  <c r="AG11" i="24"/>
  <c r="U11" i="24"/>
  <c r="I11" i="24"/>
  <c r="AF11" i="23"/>
  <c r="AA11" i="23"/>
  <c r="V11" i="23"/>
  <c r="Q11" i="23"/>
  <c r="L11" i="23"/>
  <c r="G11" i="23"/>
  <c r="AJ11" i="23"/>
  <c r="AE11" i="23"/>
  <c r="Z11" i="23"/>
  <c r="U11" i="23"/>
  <c r="P11" i="23"/>
  <c r="K11" i="23"/>
  <c r="F11" i="23"/>
  <c r="AI11" i="23"/>
  <c r="AD11" i="23"/>
  <c r="Y11" i="23"/>
  <c r="T11" i="23"/>
  <c r="O11" i="23"/>
  <c r="J11" i="23"/>
  <c r="AH11" i="23"/>
  <c r="AC11" i="23"/>
  <c r="X11" i="23"/>
  <c r="S11" i="23"/>
  <c r="N11" i="23"/>
  <c r="I11" i="23"/>
  <c r="AG11" i="23"/>
  <c r="AB11" i="23"/>
  <c r="W11" i="23"/>
  <c r="R11" i="23"/>
  <c r="M11" i="23"/>
  <c r="H11" i="23"/>
  <c r="AG11" i="22"/>
  <c r="AA11" i="22"/>
  <c r="U11" i="22"/>
  <c r="O11" i="22"/>
  <c r="I11" i="22"/>
  <c r="AF11" i="22"/>
  <c r="Z11" i="22"/>
  <c r="T11" i="22"/>
  <c r="N11" i="22"/>
  <c r="H11" i="22"/>
  <c r="AE11" i="22"/>
  <c r="Y11" i="22"/>
  <c r="S11" i="22"/>
  <c r="M11" i="22"/>
  <c r="G11" i="22"/>
  <c r="AD11" i="22"/>
  <c r="X11" i="22"/>
  <c r="R11" i="22"/>
  <c r="L11" i="22"/>
  <c r="F11" i="22"/>
  <c r="AI11" i="22"/>
  <c r="AC11" i="22"/>
  <c r="W11" i="22"/>
  <c r="Q11" i="22"/>
  <c r="K11" i="22"/>
  <c r="AH11" i="22"/>
  <c r="AB11" i="22"/>
  <c r="V11" i="22"/>
  <c r="P11" i="22"/>
  <c r="J11" i="22"/>
  <c r="AJ11" i="21"/>
  <c r="AD11" i="21"/>
  <c r="X11" i="21"/>
  <c r="R11" i="21"/>
  <c r="L11" i="21"/>
  <c r="F11" i="21"/>
  <c r="AC11" i="21"/>
  <c r="V11" i="21"/>
  <c r="O11" i="21"/>
  <c r="H11" i="21"/>
  <c r="AF11" i="20"/>
  <c r="Z11" i="20"/>
  <c r="T11" i="20"/>
  <c r="N11" i="20"/>
  <c r="H11" i="20"/>
  <c r="AF11" i="19"/>
  <c r="Z11" i="19"/>
  <c r="T11" i="19"/>
  <c r="N11" i="19"/>
  <c r="H11" i="19"/>
  <c r="AJ11" i="18"/>
  <c r="AI11" i="21"/>
  <c r="AB11" i="21"/>
  <c r="U11" i="21"/>
  <c r="N11" i="21"/>
  <c r="G11" i="21"/>
  <c r="AE11" i="20"/>
  <c r="Y11" i="20"/>
  <c r="S11" i="20"/>
  <c r="M11" i="20"/>
  <c r="G11" i="20"/>
  <c r="AE11" i="19"/>
  <c r="Y11" i="19"/>
  <c r="S11" i="19"/>
  <c r="M11" i="19"/>
  <c r="G11" i="19"/>
  <c r="AH11" i="21"/>
  <c r="AA11" i="21"/>
  <c r="T11" i="21"/>
  <c r="M11" i="21"/>
  <c r="AD11" i="20"/>
  <c r="X11" i="20"/>
  <c r="R11" i="20"/>
  <c r="L11" i="20"/>
  <c r="F11" i="20"/>
  <c r="AD11" i="19"/>
  <c r="X11" i="19"/>
  <c r="R11" i="19"/>
  <c r="L11" i="19"/>
  <c r="F11" i="19"/>
  <c r="AG11" i="21"/>
  <c r="Z11" i="21"/>
  <c r="S11" i="21"/>
  <c r="K11" i="21"/>
  <c r="AJ11" i="20"/>
  <c r="AI11" i="20"/>
  <c r="AC11" i="20"/>
  <c r="W11" i="20"/>
  <c r="Q11" i="20"/>
  <c r="K11" i="20"/>
  <c r="AF11" i="21"/>
  <c r="Y11" i="21"/>
  <c r="Q11" i="21"/>
  <c r="J11" i="21"/>
  <c r="AH11" i="20"/>
  <c r="AB11" i="20"/>
  <c r="V11" i="20"/>
  <c r="P11" i="20"/>
  <c r="J11" i="20"/>
  <c r="AH11" i="19"/>
  <c r="AB11" i="19"/>
  <c r="V11" i="19"/>
  <c r="P11" i="19"/>
  <c r="J11" i="19"/>
  <c r="AE11" i="21"/>
  <c r="W11" i="21"/>
  <c r="P11" i="21"/>
  <c r="I11" i="21"/>
  <c r="AG11" i="20"/>
  <c r="AA11" i="20"/>
  <c r="U11" i="20"/>
  <c r="O11" i="20"/>
  <c r="I11" i="20"/>
  <c r="AG11" i="19"/>
  <c r="AA11" i="19"/>
  <c r="U11" i="19"/>
  <c r="O11" i="19"/>
  <c r="I11" i="19"/>
  <c r="AC11" i="19"/>
  <c r="AE11" i="18"/>
  <c r="Y11" i="18"/>
  <c r="S11" i="18"/>
  <c r="M11" i="18"/>
  <c r="G11" i="18"/>
  <c r="AG11" i="17"/>
  <c r="AA11" i="17"/>
  <c r="U11" i="17"/>
  <c r="O11" i="17"/>
  <c r="I11" i="17"/>
  <c r="W11" i="19"/>
  <c r="AD11" i="18"/>
  <c r="X11" i="18"/>
  <c r="R11" i="18"/>
  <c r="L11" i="18"/>
  <c r="F11" i="18"/>
  <c r="AF11" i="17"/>
  <c r="Z11" i="17"/>
  <c r="T11" i="17"/>
  <c r="N11" i="17"/>
  <c r="H11" i="17"/>
  <c r="Q11" i="19"/>
  <c r="AI11" i="18"/>
  <c r="AC11" i="18"/>
  <c r="W11" i="18"/>
  <c r="Q11" i="18"/>
  <c r="K11" i="18"/>
  <c r="AE11" i="17"/>
  <c r="Y11" i="17"/>
  <c r="S11" i="17"/>
  <c r="M11" i="17"/>
  <c r="G11" i="17"/>
  <c r="K11" i="19"/>
  <c r="AH11" i="18"/>
  <c r="AB11" i="18"/>
  <c r="V11" i="18"/>
  <c r="P11" i="18"/>
  <c r="J11" i="18"/>
  <c r="AD11" i="17"/>
  <c r="X11" i="17"/>
  <c r="R11" i="17"/>
  <c r="L11" i="17"/>
  <c r="F11" i="17"/>
  <c r="AG11" i="18"/>
  <c r="AA11" i="18"/>
  <c r="U11" i="18"/>
  <c r="O11" i="18"/>
  <c r="I11" i="18"/>
  <c r="AI11" i="17"/>
  <c r="AC11" i="17"/>
  <c r="W11" i="17"/>
  <c r="Q11" i="17"/>
  <c r="K11" i="17"/>
  <c r="AI11" i="19"/>
  <c r="AF11" i="18"/>
  <c r="Z11" i="18"/>
  <c r="T11" i="18"/>
  <c r="N11" i="18"/>
  <c r="H11" i="18"/>
  <c r="AH11" i="17"/>
  <c r="AB11" i="17"/>
  <c r="V11" i="17"/>
  <c r="P11" i="17"/>
  <c r="J11" i="17"/>
  <c r="F14" i="10"/>
  <c r="AH33" i="10"/>
  <c r="AB33" i="10"/>
  <c r="V33" i="10"/>
  <c r="P33" i="10"/>
  <c r="J33" i="10"/>
  <c r="AH24" i="10"/>
  <c r="AB24" i="10"/>
  <c r="V24" i="10"/>
  <c r="P24" i="10"/>
  <c r="J24" i="10"/>
  <c r="AH14" i="10"/>
  <c r="AB14" i="10"/>
  <c r="V14" i="10"/>
  <c r="P14" i="10"/>
  <c r="J14" i="10"/>
  <c r="AE9" i="10"/>
  <c r="Y9" i="10"/>
  <c r="S9" i="10"/>
  <c r="M9" i="10"/>
  <c r="AH9" i="25"/>
  <c r="AE9" i="25"/>
  <c r="AB9" i="25"/>
  <c r="Y9" i="25"/>
  <c r="V9" i="25"/>
  <c r="S9" i="25"/>
  <c r="P9" i="25"/>
  <c r="M9" i="25"/>
  <c r="J9" i="25"/>
  <c r="G9" i="25"/>
  <c r="AJ9" i="25"/>
  <c r="AG9" i="25"/>
  <c r="AD9" i="25"/>
  <c r="AA9" i="25"/>
  <c r="X9" i="25"/>
  <c r="U9" i="25"/>
  <c r="R9" i="25"/>
  <c r="O9" i="25"/>
  <c r="L9" i="25"/>
  <c r="I9" i="25"/>
  <c r="F9" i="25"/>
  <c r="AI9" i="25"/>
  <c r="AF9" i="25"/>
  <c r="AC9" i="25"/>
  <c r="Z9" i="25"/>
  <c r="W9" i="25"/>
  <c r="T9" i="25"/>
  <c r="Q9" i="25"/>
  <c r="N9" i="25"/>
  <c r="K9" i="25"/>
  <c r="H9" i="25"/>
  <c r="AI9" i="24"/>
  <c r="AF9" i="24"/>
  <c r="AC9" i="24"/>
  <c r="Z9" i="24"/>
  <c r="W9" i="24"/>
  <c r="T9" i="24"/>
  <c r="Q9" i="24"/>
  <c r="N9" i="24"/>
  <c r="K9" i="24"/>
  <c r="H9" i="24"/>
  <c r="AH9" i="24"/>
  <c r="AE9" i="24"/>
  <c r="AB9" i="24"/>
  <c r="Y9" i="24"/>
  <c r="V9" i="24"/>
  <c r="S9" i="24"/>
  <c r="P9" i="24"/>
  <c r="M9" i="24"/>
  <c r="J9" i="24"/>
  <c r="G9" i="24"/>
  <c r="AD9" i="24"/>
  <c r="R9" i="24"/>
  <c r="F9" i="24"/>
  <c r="AA9" i="24"/>
  <c r="O9" i="24"/>
  <c r="X9" i="24"/>
  <c r="L9" i="24"/>
  <c r="AG9" i="24"/>
  <c r="U9" i="24"/>
  <c r="I9" i="24"/>
  <c r="AH9" i="23"/>
  <c r="AC9" i="23"/>
  <c r="X9" i="23"/>
  <c r="S9" i="23"/>
  <c r="N9" i="23"/>
  <c r="I9" i="23"/>
  <c r="AG9" i="23"/>
  <c r="AB9" i="23"/>
  <c r="W9" i="23"/>
  <c r="R9" i="23"/>
  <c r="M9" i="23"/>
  <c r="H9" i="23"/>
  <c r="AF9" i="23"/>
  <c r="AA9" i="23"/>
  <c r="V9" i="23"/>
  <c r="Q9" i="23"/>
  <c r="L9" i="23"/>
  <c r="G9" i="23"/>
  <c r="AJ9" i="23"/>
  <c r="AE9" i="23"/>
  <c r="Z9" i="23"/>
  <c r="U9" i="23"/>
  <c r="P9" i="23"/>
  <c r="K9" i="23"/>
  <c r="F9" i="23"/>
  <c r="AI9" i="23"/>
  <c r="AD9" i="23"/>
  <c r="Y9" i="23"/>
  <c r="T9" i="23"/>
  <c r="O9" i="23"/>
  <c r="J9" i="23"/>
  <c r="AG9" i="22"/>
  <c r="AA9" i="22"/>
  <c r="U9" i="22"/>
  <c r="O9" i="22"/>
  <c r="I9" i="22"/>
  <c r="AF9" i="22"/>
  <c r="Z9" i="22"/>
  <c r="T9" i="22"/>
  <c r="N9" i="22"/>
  <c r="H9" i="22"/>
  <c r="AE9" i="22"/>
  <c r="Y9" i="22"/>
  <c r="S9" i="22"/>
  <c r="M9" i="22"/>
  <c r="G9" i="22"/>
  <c r="AD9" i="22"/>
  <c r="X9" i="22"/>
  <c r="R9" i="22"/>
  <c r="L9" i="22"/>
  <c r="F9" i="22"/>
  <c r="AI9" i="22"/>
  <c r="AC9" i="22"/>
  <c r="W9" i="22"/>
  <c r="Q9" i="22"/>
  <c r="K9" i="22"/>
  <c r="AH9" i="22"/>
  <c r="AB9" i="22"/>
  <c r="V9" i="22"/>
  <c r="P9" i="22"/>
  <c r="J9" i="22"/>
  <c r="AF9" i="21"/>
  <c r="AG9" i="21"/>
  <c r="Z9" i="21"/>
  <c r="T9" i="21"/>
  <c r="N9" i="21"/>
  <c r="H9" i="21"/>
  <c r="AF9" i="20"/>
  <c r="Z9" i="20"/>
  <c r="T9" i="20"/>
  <c r="N9" i="20"/>
  <c r="H9" i="20"/>
  <c r="AF9" i="19"/>
  <c r="Z9" i="19"/>
  <c r="T9" i="19"/>
  <c r="N9" i="19"/>
  <c r="H9" i="19"/>
  <c r="AE9" i="21"/>
  <c r="Y9" i="21"/>
  <c r="S9" i="21"/>
  <c r="M9" i="21"/>
  <c r="G9" i="21"/>
  <c r="AJ9" i="20"/>
  <c r="AE9" i="20"/>
  <c r="Y9" i="20"/>
  <c r="S9" i="20"/>
  <c r="M9" i="20"/>
  <c r="G9" i="20"/>
  <c r="AE9" i="19"/>
  <c r="Y9" i="19"/>
  <c r="S9" i="19"/>
  <c r="M9" i="19"/>
  <c r="G9" i="19"/>
  <c r="AD9" i="21"/>
  <c r="X9" i="21"/>
  <c r="R9" i="21"/>
  <c r="L9" i="21"/>
  <c r="F9" i="21"/>
  <c r="AD9" i="20"/>
  <c r="X9" i="20"/>
  <c r="R9" i="20"/>
  <c r="L9" i="20"/>
  <c r="F9" i="20"/>
  <c r="AD9" i="19"/>
  <c r="X9" i="19"/>
  <c r="R9" i="19"/>
  <c r="L9" i="19"/>
  <c r="F9" i="19"/>
  <c r="AJ9" i="21"/>
  <c r="AC9" i="21"/>
  <c r="W9" i="21"/>
  <c r="Q9" i="21"/>
  <c r="K9" i="21"/>
  <c r="AI9" i="20"/>
  <c r="AC9" i="20"/>
  <c r="W9" i="20"/>
  <c r="Q9" i="20"/>
  <c r="K9" i="20"/>
  <c r="AI9" i="21"/>
  <c r="AB9" i="21"/>
  <c r="V9" i="21"/>
  <c r="P9" i="21"/>
  <c r="J9" i="21"/>
  <c r="AH9" i="20"/>
  <c r="AB9" i="20"/>
  <c r="V9" i="20"/>
  <c r="P9" i="20"/>
  <c r="J9" i="20"/>
  <c r="AH9" i="19"/>
  <c r="AB9" i="19"/>
  <c r="V9" i="19"/>
  <c r="P9" i="19"/>
  <c r="J9" i="19"/>
  <c r="AJ9" i="18"/>
  <c r="AH9" i="21"/>
  <c r="AA9" i="21"/>
  <c r="U9" i="21"/>
  <c r="O9" i="21"/>
  <c r="I9" i="21"/>
  <c r="AG9" i="20"/>
  <c r="AA9" i="20"/>
  <c r="U9" i="20"/>
  <c r="O9" i="20"/>
  <c r="I9" i="20"/>
  <c r="AG9" i="19"/>
  <c r="AA9" i="19"/>
  <c r="U9" i="19"/>
  <c r="O9" i="19"/>
  <c r="I9" i="19"/>
  <c r="W9" i="19"/>
  <c r="AE9" i="18"/>
  <c r="Y9" i="18"/>
  <c r="S9" i="18"/>
  <c r="M9" i="18"/>
  <c r="G9" i="18"/>
  <c r="AG9" i="17"/>
  <c r="AA9" i="17"/>
  <c r="U9" i="17"/>
  <c r="O9" i="17"/>
  <c r="I9" i="17"/>
  <c r="Q9" i="19"/>
  <c r="AD9" i="18"/>
  <c r="X9" i="18"/>
  <c r="R9" i="18"/>
  <c r="L9" i="18"/>
  <c r="F9" i="18"/>
  <c r="AF9" i="17"/>
  <c r="Z9" i="17"/>
  <c r="T9" i="17"/>
  <c r="N9" i="17"/>
  <c r="H9" i="17"/>
  <c r="K9" i="19"/>
  <c r="AI9" i="18"/>
  <c r="AC9" i="18"/>
  <c r="W9" i="18"/>
  <c r="Q9" i="18"/>
  <c r="K9" i="18"/>
  <c r="AE9" i="17"/>
  <c r="Y9" i="17"/>
  <c r="S9" i="17"/>
  <c r="M9" i="17"/>
  <c r="G9" i="17"/>
  <c r="AH9" i="18"/>
  <c r="AB9" i="18"/>
  <c r="V9" i="18"/>
  <c r="P9" i="18"/>
  <c r="J9" i="18"/>
  <c r="AD9" i="17"/>
  <c r="X9" i="17"/>
  <c r="R9" i="17"/>
  <c r="L9" i="17"/>
  <c r="F9" i="17"/>
  <c r="AI9" i="19"/>
  <c r="AG9" i="18"/>
  <c r="AA9" i="18"/>
  <c r="U9" i="18"/>
  <c r="O9" i="18"/>
  <c r="I9" i="18"/>
  <c r="AI9" i="17"/>
  <c r="AC9" i="17"/>
  <c r="W9" i="17"/>
  <c r="Q9" i="17"/>
  <c r="K9" i="17"/>
  <c r="AC9" i="19"/>
  <c r="AF9" i="18"/>
  <c r="Z9" i="18"/>
  <c r="T9" i="18"/>
  <c r="N9" i="18"/>
  <c r="H9" i="18"/>
  <c r="AH9" i="17"/>
  <c r="AB9" i="17"/>
  <c r="V9" i="17"/>
  <c r="P9" i="17"/>
  <c r="J9" i="17"/>
  <c r="AJ18" i="25"/>
  <c r="AG18" i="25"/>
  <c r="AD18" i="25"/>
  <c r="AA18" i="25"/>
  <c r="X18" i="25"/>
  <c r="U18" i="25"/>
  <c r="R18" i="25"/>
  <c r="O18" i="25"/>
  <c r="L18" i="25"/>
  <c r="I18" i="25"/>
  <c r="F18" i="25"/>
  <c r="AH18" i="25"/>
  <c r="AC18" i="25"/>
  <c r="Y18" i="25"/>
  <c r="T18" i="25"/>
  <c r="P18" i="25"/>
  <c r="K18" i="25"/>
  <c r="G18" i="25"/>
  <c r="AF18" i="25"/>
  <c r="AB18" i="25"/>
  <c r="W18" i="25"/>
  <c r="S18" i="25"/>
  <c r="N18" i="25"/>
  <c r="J18" i="25"/>
  <c r="AI18" i="25"/>
  <c r="AE18" i="25"/>
  <c r="Z18" i="25"/>
  <c r="V18" i="25"/>
  <c r="Q18" i="25"/>
  <c r="M18" i="25"/>
  <c r="H18" i="25"/>
  <c r="AI17" i="24"/>
  <c r="AF17" i="24"/>
  <c r="AC17" i="24"/>
  <c r="Z17" i="24"/>
  <c r="W17" i="24"/>
  <c r="T17" i="24"/>
  <c r="Q17" i="24"/>
  <c r="N17" i="24"/>
  <c r="K17" i="24"/>
  <c r="H17" i="24"/>
  <c r="AH17" i="24"/>
  <c r="AE17" i="24"/>
  <c r="AB17" i="24"/>
  <c r="Y17" i="24"/>
  <c r="V17" i="24"/>
  <c r="S17" i="24"/>
  <c r="P17" i="24"/>
  <c r="M17" i="24"/>
  <c r="J17" i="24"/>
  <c r="G17" i="24"/>
  <c r="AG17" i="24"/>
  <c r="AD17" i="24"/>
  <c r="AA17" i="24"/>
  <c r="X17" i="24"/>
  <c r="U17" i="24"/>
  <c r="R17" i="24"/>
  <c r="O17" i="24"/>
  <c r="L17" i="24"/>
  <c r="I17" i="24"/>
  <c r="F17" i="24"/>
  <c r="AG17" i="23"/>
  <c r="AC17" i="23"/>
  <c r="Y17" i="23"/>
  <c r="U17" i="23"/>
  <c r="Q17" i="23"/>
  <c r="M17" i="23"/>
  <c r="I17" i="23"/>
  <c r="AJ17" i="23"/>
  <c r="AF17" i="23"/>
  <c r="AB17" i="23"/>
  <c r="X17" i="23"/>
  <c r="T17" i="23"/>
  <c r="P17" i="23"/>
  <c r="L17" i="23"/>
  <c r="H17" i="23"/>
  <c r="AI17" i="23"/>
  <c r="AE17" i="23"/>
  <c r="AA17" i="23"/>
  <c r="W17" i="23"/>
  <c r="S17" i="23"/>
  <c r="O17" i="23"/>
  <c r="K17" i="23"/>
  <c r="G17" i="23"/>
  <c r="AH17" i="23"/>
  <c r="AD17" i="23"/>
  <c r="Z17" i="23"/>
  <c r="V17" i="23"/>
  <c r="R17" i="23"/>
  <c r="N17" i="23"/>
  <c r="AG17" i="22"/>
  <c r="AB17" i="22"/>
  <c r="W17" i="22"/>
  <c r="R17" i="22"/>
  <c r="M17" i="22"/>
  <c r="H17" i="22"/>
  <c r="AF17" i="22"/>
  <c r="AA17" i="22"/>
  <c r="V17" i="22"/>
  <c r="Q17" i="22"/>
  <c r="L17" i="22"/>
  <c r="G17" i="22"/>
  <c r="J17" i="23"/>
  <c r="AI17" i="22"/>
  <c r="AD17" i="22"/>
  <c r="Y17" i="22"/>
  <c r="T17" i="22"/>
  <c r="O17" i="22"/>
  <c r="J17" i="22"/>
  <c r="F17" i="23"/>
  <c r="AH17" i="22"/>
  <c r="AC17" i="22"/>
  <c r="X17" i="22"/>
  <c r="S17" i="22"/>
  <c r="N17" i="22"/>
  <c r="I17" i="22"/>
  <c r="P17" i="22"/>
  <c r="AG17" i="21"/>
  <c r="AA17" i="21"/>
  <c r="U17" i="21"/>
  <c r="O17" i="21"/>
  <c r="I17" i="21"/>
  <c r="K17" i="22"/>
  <c r="AF17" i="21"/>
  <c r="Z17" i="21"/>
  <c r="T17" i="21"/>
  <c r="N17" i="21"/>
  <c r="H17" i="21"/>
  <c r="F17" i="22"/>
  <c r="AE17" i="21"/>
  <c r="Y17" i="21"/>
  <c r="S17" i="21"/>
  <c r="M17" i="21"/>
  <c r="G17" i="21"/>
  <c r="AE17" i="22"/>
  <c r="AJ17" i="21"/>
  <c r="AD17" i="21"/>
  <c r="X17" i="21"/>
  <c r="R17" i="21"/>
  <c r="L17" i="21"/>
  <c r="F17" i="21"/>
  <c r="Z17" i="22"/>
  <c r="AI17" i="21"/>
  <c r="AC17" i="21"/>
  <c r="W17" i="21"/>
  <c r="Q17" i="21"/>
  <c r="K17" i="21"/>
  <c r="U17" i="22"/>
  <c r="AH17" i="21"/>
  <c r="AB17" i="21"/>
  <c r="V17" i="21"/>
  <c r="P17" i="21"/>
  <c r="J17" i="21"/>
  <c r="AE17" i="20"/>
  <c r="Y17" i="20"/>
  <c r="S17" i="20"/>
  <c r="M17" i="20"/>
  <c r="G17" i="20"/>
  <c r="AE17" i="19"/>
  <c r="Y17" i="19"/>
  <c r="S17" i="19"/>
  <c r="M17" i="19"/>
  <c r="G17" i="19"/>
  <c r="AD17" i="20"/>
  <c r="X17" i="20"/>
  <c r="R17" i="20"/>
  <c r="L17" i="20"/>
  <c r="F17" i="20"/>
  <c r="AD17" i="19"/>
  <c r="X17" i="19"/>
  <c r="R17" i="19"/>
  <c r="L17" i="19"/>
  <c r="F17" i="19"/>
  <c r="AJ17" i="18"/>
  <c r="AI17" i="20"/>
  <c r="AC17" i="20"/>
  <c r="W17" i="20"/>
  <c r="Q17" i="20"/>
  <c r="K17" i="20"/>
  <c r="AI17" i="19"/>
  <c r="AC17" i="19"/>
  <c r="W17" i="19"/>
  <c r="Q17" i="19"/>
  <c r="K17" i="19"/>
  <c r="AH17" i="20"/>
  <c r="AB17" i="20"/>
  <c r="V17" i="20"/>
  <c r="P17" i="20"/>
  <c r="J17" i="20"/>
  <c r="AH17" i="19"/>
  <c r="AB17" i="19"/>
  <c r="V17" i="19"/>
  <c r="P17" i="19"/>
  <c r="J17" i="19"/>
  <c r="AJ17" i="20"/>
  <c r="AG17" i="20"/>
  <c r="AA17" i="20"/>
  <c r="U17" i="20"/>
  <c r="O17" i="20"/>
  <c r="I17" i="20"/>
  <c r="AG17" i="19"/>
  <c r="AA17" i="19"/>
  <c r="U17" i="19"/>
  <c r="O17" i="19"/>
  <c r="I17" i="19"/>
  <c r="AF17" i="20"/>
  <c r="Z17" i="20"/>
  <c r="T17" i="20"/>
  <c r="N17" i="20"/>
  <c r="H17" i="20"/>
  <c r="AF17" i="19"/>
  <c r="Z17" i="19"/>
  <c r="T17" i="19"/>
  <c r="N17" i="19"/>
  <c r="H17" i="19"/>
  <c r="AI17" i="18"/>
  <c r="AC17" i="18"/>
  <c r="W17" i="18"/>
  <c r="Q17" i="18"/>
  <c r="K17" i="18"/>
  <c r="AG17" i="17"/>
  <c r="AA17" i="17"/>
  <c r="U17" i="17"/>
  <c r="O17" i="17"/>
  <c r="I17" i="17"/>
  <c r="AH17" i="18"/>
  <c r="AB17" i="18"/>
  <c r="V17" i="18"/>
  <c r="P17" i="18"/>
  <c r="J17" i="18"/>
  <c r="AF17" i="17"/>
  <c r="Z17" i="17"/>
  <c r="T17" i="17"/>
  <c r="N17" i="17"/>
  <c r="H17" i="17"/>
  <c r="AG17" i="18"/>
  <c r="AA17" i="18"/>
  <c r="U17" i="18"/>
  <c r="O17" i="18"/>
  <c r="I17" i="18"/>
  <c r="AE17" i="17"/>
  <c r="Y17" i="17"/>
  <c r="S17" i="17"/>
  <c r="M17" i="17"/>
  <c r="G17" i="17"/>
  <c r="AF17" i="18"/>
  <c r="Z17" i="18"/>
  <c r="T17" i="18"/>
  <c r="N17" i="18"/>
  <c r="H17" i="18"/>
  <c r="AD17" i="17"/>
  <c r="X17" i="17"/>
  <c r="R17" i="17"/>
  <c r="L17" i="17"/>
  <c r="F17" i="17"/>
  <c r="AE17" i="18"/>
  <c r="Y17" i="18"/>
  <c r="S17" i="18"/>
  <c r="M17" i="18"/>
  <c r="G17" i="18"/>
  <c r="AI17" i="17"/>
  <c r="AC17" i="17"/>
  <c r="W17" i="17"/>
  <c r="Q17" i="17"/>
  <c r="K17" i="17"/>
  <c r="AD17" i="18"/>
  <c r="X17" i="18"/>
  <c r="R17" i="18"/>
  <c r="L17" i="18"/>
  <c r="F17" i="18"/>
  <c r="AH17" i="17"/>
  <c r="AB17" i="17"/>
  <c r="V17" i="17"/>
  <c r="P17" i="17"/>
  <c r="J17" i="17"/>
  <c r="I9" i="14"/>
  <c r="O9" i="14"/>
  <c r="U9" i="14"/>
  <c r="AA9" i="14"/>
  <c r="AG9" i="14"/>
  <c r="F15" i="14"/>
  <c r="L15" i="14"/>
  <c r="R15" i="14"/>
  <c r="X15" i="14"/>
  <c r="AD15" i="14"/>
  <c r="AJ15" i="14"/>
  <c r="I34" i="14"/>
  <c r="O34" i="14"/>
  <c r="U34" i="14"/>
  <c r="AA34" i="14"/>
  <c r="AG34" i="14"/>
  <c r="L9" i="15"/>
  <c r="R9" i="15"/>
  <c r="X9" i="15"/>
  <c r="AD9" i="15"/>
  <c r="L14" i="15"/>
  <c r="R14" i="15"/>
  <c r="X14" i="15"/>
  <c r="AD14" i="15"/>
  <c r="L36" i="15"/>
  <c r="R36" i="15"/>
  <c r="X36" i="15"/>
  <c r="AD36" i="15"/>
  <c r="G37" i="15"/>
  <c r="G18" i="15"/>
  <c r="G15" i="15"/>
  <c r="G9" i="15"/>
  <c r="K9" i="16"/>
  <c r="Q9" i="16"/>
  <c r="W9" i="16"/>
  <c r="AC9" i="16"/>
  <c r="AI9" i="16"/>
  <c r="I11" i="16"/>
  <c r="O11" i="16"/>
  <c r="U11" i="16"/>
  <c r="AA11" i="16"/>
  <c r="AG11" i="16"/>
  <c r="K14" i="16"/>
  <c r="Q14" i="16"/>
  <c r="W14" i="16"/>
  <c r="AC14" i="16"/>
  <c r="AI14" i="16"/>
  <c r="J15" i="16"/>
  <c r="P15" i="16"/>
  <c r="V15" i="16"/>
  <c r="AB15" i="16"/>
  <c r="AH15" i="16"/>
  <c r="H17" i="16"/>
  <c r="N17" i="16"/>
  <c r="T17" i="16"/>
  <c r="Z17" i="16"/>
  <c r="AF17" i="16"/>
  <c r="G18" i="16"/>
  <c r="M18" i="16"/>
  <c r="S18" i="16"/>
  <c r="Y18" i="16"/>
  <c r="AE18" i="16"/>
  <c r="F32" i="16"/>
  <c r="L32" i="16"/>
  <c r="R32" i="16"/>
  <c r="X32" i="16"/>
  <c r="AD32" i="16"/>
  <c r="AJ32" i="16"/>
  <c r="H36" i="16"/>
  <c r="N36" i="16"/>
  <c r="U36" i="16"/>
  <c r="AC36" i="16"/>
  <c r="AJ36" i="16"/>
  <c r="L37" i="16"/>
  <c r="S37" i="16"/>
  <c r="Z37" i="16"/>
  <c r="AH37" i="16"/>
  <c r="J38" i="16"/>
  <c r="Q38" i="16"/>
  <c r="X38" i="16"/>
  <c r="AE38" i="16"/>
  <c r="E40" i="16"/>
  <c r="AG33" i="10"/>
  <c r="AA33" i="10"/>
  <c r="U33" i="10"/>
  <c r="O33" i="10"/>
  <c r="AG24" i="10"/>
  <c r="AA24" i="10"/>
  <c r="U24" i="10"/>
  <c r="O24" i="10"/>
  <c r="I24" i="10"/>
  <c r="AG14" i="10"/>
  <c r="AA14" i="10"/>
  <c r="U14" i="10"/>
  <c r="O14" i="10"/>
  <c r="I14" i="10"/>
  <c r="G15" i="14"/>
  <c r="M15" i="14"/>
  <c r="S15" i="14"/>
  <c r="Y15" i="14"/>
  <c r="AE15" i="14"/>
  <c r="J34" i="14"/>
  <c r="P34" i="14"/>
  <c r="V34" i="14"/>
  <c r="AB34" i="14"/>
  <c r="AH34" i="14"/>
  <c r="M9" i="15"/>
  <c r="S9" i="15"/>
  <c r="Y9" i="15"/>
  <c r="AE9" i="15"/>
  <c r="M14" i="15"/>
  <c r="S14" i="15"/>
  <c r="Y14" i="15"/>
  <c r="AE14" i="15"/>
  <c r="M36" i="15"/>
  <c r="S36" i="15"/>
  <c r="Y36" i="15"/>
  <c r="AE36" i="15"/>
  <c r="F37" i="15"/>
  <c r="F18" i="15"/>
  <c r="F15" i="15"/>
  <c r="F9" i="15"/>
  <c r="F9" i="16"/>
  <c r="L9" i="16"/>
  <c r="R9" i="16"/>
  <c r="X9" i="16"/>
  <c r="AD9" i="16"/>
  <c r="AJ9" i="16"/>
  <c r="J11" i="16"/>
  <c r="P11" i="16"/>
  <c r="V11" i="16"/>
  <c r="AB11" i="16"/>
  <c r="AH11" i="16"/>
  <c r="F14" i="16"/>
  <c r="L14" i="16"/>
  <c r="R14" i="16"/>
  <c r="X14" i="16"/>
  <c r="AD14" i="16"/>
  <c r="AJ14" i="16"/>
  <c r="K15" i="16"/>
  <c r="Q15" i="16"/>
  <c r="W15" i="16"/>
  <c r="AC15" i="16"/>
  <c r="AI15" i="16"/>
  <c r="I17" i="16"/>
  <c r="O17" i="16"/>
  <c r="U17" i="16"/>
  <c r="AA17" i="16"/>
  <c r="AG17" i="16"/>
  <c r="H18" i="16"/>
  <c r="N18" i="16"/>
  <c r="T18" i="16"/>
  <c r="Z18" i="16"/>
  <c r="AF18" i="16"/>
  <c r="G32" i="16"/>
  <c r="M32" i="16"/>
  <c r="S32" i="16"/>
  <c r="Y32" i="16"/>
  <c r="AE32" i="16"/>
  <c r="I36" i="16"/>
  <c r="O36" i="16"/>
  <c r="W36" i="16"/>
  <c r="AD36" i="16"/>
  <c r="F37" i="16"/>
  <c r="M37" i="16"/>
  <c r="T37" i="16"/>
  <c r="AB37" i="16"/>
  <c r="AI37" i="16"/>
  <c r="K38" i="16"/>
  <c r="R38" i="16"/>
  <c r="Y38" i="16"/>
  <c r="AG38" i="16"/>
  <c r="E32" i="10"/>
  <c r="AF33" i="10"/>
  <c r="Z33" i="10"/>
  <c r="T33" i="10"/>
  <c r="N33" i="10"/>
  <c r="H33" i="10"/>
  <c r="AF24" i="10"/>
  <c r="Z24" i="10"/>
  <c r="T24" i="10"/>
  <c r="N24" i="10"/>
  <c r="H24" i="10"/>
  <c r="AF14" i="10"/>
  <c r="Z14" i="10"/>
  <c r="T14" i="10"/>
  <c r="N14" i="10"/>
  <c r="H14" i="10"/>
  <c r="K9" i="14"/>
  <c r="Q9" i="14"/>
  <c r="W9" i="14"/>
  <c r="AC9" i="14"/>
  <c r="AI9" i="14"/>
  <c r="H15" i="14"/>
  <c r="N15" i="14"/>
  <c r="T15" i="14"/>
  <c r="Z15" i="14"/>
  <c r="AF15" i="14"/>
  <c r="K34" i="14"/>
  <c r="Q34" i="14"/>
  <c r="W34" i="14"/>
  <c r="AC34" i="14"/>
  <c r="AI34" i="14"/>
  <c r="H9" i="15"/>
  <c r="N9" i="15"/>
  <c r="T9" i="15"/>
  <c r="Z9" i="15"/>
  <c r="AF9" i="15"/>
  <c r="H14" i="15"/>
  <c r="N14" i="15"/>
  <c r="T14" i="15"/>
  <c r="Z14" i="15"/>
  <c r="AF14" i="15"/>
  <c r="H36" i="15"/>
  <c r="N36" i="15"/>
  <c r="T36" i="15"/>
  <c r="Z36" i="15"/>
  <c r="AF36" i="15"/>
  <c r="G36" i="15"/>
  <c r="G32" i="15"/>
  <c r="G17" i="15"/>
  <c r="G14" i="15"/>
  <c r="G11" i="15"/>
  <c r="G9" i="16"/>
  <c r="M9" i="16"/>
  <c r="S9" i="16"/>
  <c r="Y9" i="16"/>
  <c r="AE9" i="16"/>
  <c r="K11" i="16"/>
  <c r="Q11" i="16"/>
  <c r="W11" i="16"/>
  <c r="AC11" i="16"/>
  <c r="AI11" i="16"/>
  <c r="G14" i="16"/>
  <c r="M14" i="16"/>
  <c r="S14" i="16"/>
  <c r="Y14" i="16"/>
  <c r="AE14" i="16"/>
  <c r="F15" i="16"/>
  <c r="L15" i="16"/>
  <c r="R15" i="16"/>
  <c r="X15" i="16"/>
  <c r="AD15" i="16"/>
  <c r="AJ15" i="16"/>
  <c r="J17" i="16"/>
  <c r="P17" i="16"/>
  <c r="V17" i="16"/>
  <c r="AB17" i="16"/>
  <c r="AH17" i="16"/>
  <c r="I18" i="16"/>
  <c r="O18" i="16"/>
  <c r="U18" i="16"/>
  <c r="AA18" i="16"/>
  <c r="H32" i="16"/>
  <c r="N32" i="16"/>
  <c r="T32" i="16"/>
  <c r="Z32" i="16"/>
  <c r="J36" i="16"/>
  <c r="Q36" i="16"/>
  <c r="X36" i="16"/>
  <c r="AE36" i="16"/>
  <c r="G37" i="16"/>
  <c r="N37" i="16"/>
  <c r="V37" i="16"/>
  <c r="AC37" i="16"/>
  <c r="AJ37" i="16"/>
  <c r="L38" i="16"/>
  <c r="S38" i="16"/>
  <c r="AA38" i="16"/>
  <c r="AH38" i="16"/>
  <c r="R41" i="10"/>
  <c r="AI33" i="25"/>
  <c r="AF33" i="25"/>
  <c r="AC33" i="25"/>
  <c r="Z33" i="25"/>
  <c r="W33" i="25"/>
  <c r="T33" i="25"/>
  <c r="Q33" i="25"/>
  <c r="N33" i="25"/>
  <c r="K33" i="25"/>
  <c r="H33" i="25"/>
  <c r="AH33" i="25"/>
  <c r="AE33" i="25"/>
  <c r="AB33" i="25"/>
  <c r="Y33" i="25"/>
  <c r="V33" i="25"/>
  <c r="S33" i="25"/>
  <c r="P33" i="25"/>
  <c r="M33" i="25"/>
  <c r="J33" i="25"/>
  <c r="G33" i="25"/>
  <c r="AJ33" i="25"/>
  <c r="AG33" i="25"/>
  <c r="AD33" i="25"/>
  <c r="AA33" i="25"/>
  <c r="X33" i="25"/>
  <c r="U33" i="25"/>
  <c r="R33" i="25"/>
  <c r="O33" i="25"/>
  <c r="L33" i="25"/>
  <c r="I33" i="25"/>
  <c r="F33" i="25"/>
  <c r="AH32" i="24"/>
  <c r="AE32" i="24"/>
  <c r="AB32" i="24"/>
  <c r="Y32" i="24"/>
  <c r="V32" i="24"/>
  <c r="S32" i="24"/>
  <c r="P32" i="24"/>
  <c r="M32" i="24"/>
  <c r="J32" i="24"/>
  <c r="G32" i="24"/>
  <c r="AG32" i="24"/>
  <c r="AD32" i="24"/>
  <c r="AA32" i="24"/>
  <c r="X32" i="24"/>
  <c r="U32" i="24"/>
  <c r="R32" i="24"/>
  <c r="O32" i="24"/>
  <c r="L32" i="24"/>
  <c r="I32" i="24"/>
  <c r="F32" i="24"/>
  <c r="AI32" i="24"/>
  <c r="AF32" i="24"/>
  <c r="AC32" i="24"/>
  <c r="Z32" i="24"/>
  <c r="W32" i="24"/>
  <c r="T32" i="24"/>
  <c r="Q32" i="24"/>
  <c r="N32" i="24"/>
  <c r="K32" i="24"/>
  <c r="H32" i="24"/>
  <c r="AG32" i="23"/>
  <c r="AC32" i="23"/>
  <c r="Y32" i="23"/>
  <c r="U32" i="23"/>
  <c r="Q32" i="23"/>
  <c r="M32" i="23"/>
  <c r="I32" i="23"/>
  <c r="AJ32" i="23"/>
  <c r="AF32" i="23"/>
  <c r="AB32" i="23"/>
  <c r="X32" i="23"/>
  <c r="T32" i="23"/>
  <c r="P32" i="23"/>
  <c r="L32" i="23"/>
  <c r="H32" i="23"/>
  <c r="AI32" i="23"/>
  <c r="AE32" i="23"/>
  <c r="AA32" i="23"/>
  <c r="W32" i="23"/>
  <c r="S32" i="23"/>
  <c r="O32" i="23"/>
  <c r="K32" i="23"/>
  <c r="G32" i="23"/>
  <c r="AH32" i="23"/>
  <c r="AD32" i="23"/>
  <c r="Z32" i="23"/>
  <c r="V32" i="23"/>
  <c r="R32" i="23"/>
  <c r="N32" i="23"/>
  <c r="J32" i="23"/>
  <c r="F32" i="23"/>
  <c r="AG32" i="22"/>
  <c r="AB32" i="22"/>
  <c r="W32" i="22"/>
  <c r="R32" i="22"/>
  <c r="M32" i="22"/>
  <c r="H32" i="22"/>
  <c r="AF32" i="22"/>
  <c r="AA32" i="22"/>
  <c r="V32" i="22"/>
  <c r="Q32" i="22"/>
  <c r="L32" i="22"/>
  <c r="G32" i="22"/>
  <c r="AE32" i="22"/>
  <c r="Z32" i="22"/>
  <c r="U32" i="22"/>
  <c r="P32" i="22"/>
  <c r="K32" i="22"/>
  <c r="F32" i="22"/>
  <c r="AI32" i="22"/>
  <c r="AD32" i="22"/>
  <c r="Y32" i="22"/>
  <c r="T32" i="22"/>
  <c r="O32" i="22"/>
  <c r="J32" i="22"/>
  <c r="AH32" i="22"/>
  <c r="AC32" i="22"/>
  <c r="X32" i="22"/>
  <c r="S32" i="22"/>
  <c r="N32" i="22"/>
  <c r="I32" i="22"/>
  <c r="AF32" i="21"/>
  <c r="Z32" i="21"/>
  <c r="T32" i="21"/>
  <c r="N32" i="21"/>
  <c r="H32" i="21"/>
  <c r="AE32" i="21"/>
  <c r="Y32" i="21"/>
  <c r="S32" i="21"/>
  <c r="M32" i="21"/>
  <c r="G32" i="21"/>
  <c r="AJ32" i="21"/>
  <c r="AD32" i="21"/>
  <c r="X32" i="21"/>
  <c r="R32" i="21"/>
  <c r="L32" i="21"/>
  <c r="F32" i="21"/>
  <c r="AI32" i="21"/>
  <c r="AC32" i="21"/>
  <c r="W32" i="21"/>
  <c r="Q32" i="21"/>
  <c r="K32" i="21"/>
  <c r="AH32" i="21"/>
  <c r="AB32" i="21"/>
  <c r="V32" i="21"/>
  <c r="P32" i="21"/>
  <c r="J32" i="21"/>
  <c r="AG32" i="21"/>
  <c r="AA32" i="21"/>
  <c r="U32" i="21"/>
  <c r="O32" i="21"/>
  <c r="I32" i="21"/>
  <c r="AD32" i="20"/>
  <c r="X32" i="20"/>
  <c r="R32" i="20"/>
  <c r="L32" i="20"/>
  <c r="F32" i="20"/>
  <c r="AE32" i="19"/>
  <c r="Y32" i="19"/>
  <c r="S32" i="19"/>
  <c r="M32" i="19"/>
  <c r="G32" i="19"/>
  <c r="AI32" i="20"/>
  <c r="AC32" i="20"/>
  <c r="W32" i="20"/>
  <c r="Q32" i="20"/>
  <c r="K32" i="20"/>
  <c r="AD32" i="19"/>
  <c r="X32" i="19"/>
  <c r="R32" i="19"/>
  <c r="L32" i="19"/>
  <c r="F32" i="19"/>
  <c r="AH32" i="20"/>
  <c r="AB32" i="20"/>
  <c r="V32" i="20"/>
  <c r="P32" i="20"/>
  <c r="J32" i="20"/>
  <c r="AI32" i="19"/>
  <c r="AC32" i="19"/>
  <c r="W32" i="19"/>
  <c r="Q32" i="19"/>
  <c r="K32" i="19"/>
  <c r="AJ32" i="18"/>
  <c r="AG32" i="20"/>
  <c r="AA32" i="20"/>
  <c r="U32" i="20"/>
  <c r="O32" i="20"/>
  <c r="I32" i="20"/>
  <c r="AH32" i="19"/>
  <c r="AB32" i="19"/>
  <c r="V32" i="19"/>
  <c r="P32" i="19"/>
  <c r="J32" i="19"/>
  <c r="AF32" i="20"/>
  <c r="Z32" i="20"/>
  <c r="T32" i="20"/>
  <c r="N32" i="20"/>
  <c r="H32" i="20"/>
  <c r="AG32" i="19"/>
  <c r="AA32" i="19"/>
  <c r="U32" i="19"/>
  <c r="O32" i="19"/>
  <c r="I32" i="19"/>
  <c r="AJ32" i="20"/>
  <c r="AE32" i="20"/>
  <c r="Y32" i="20"/>
  <c r="S32" i="20"/>
  <c r="M32" i="20"/>
  <c r="G32" i="20"/>
  <c r="AF32" i="19"/>
  <c r="Z32" i="19"/>
  <c r="T32" i="19"/>
  <c r="N32" i="19"/>
  <c r="H32" i="19"/>
  <c r="AH32" i="18"/>
  <c r="AB32" i="18"/>
  <c r="V32" i="18"/>
  <c r="P32" i="18"/>
  <c r="J32" i="18"/>
  <c r="AG32" i="17"/>
  <c r="AA32" i="17"/>
  <c r="U32" i="17"/>
  <c r="O32" i="17"/>
  <c r="I32" i="17"/>
  <c r="AG32" i="18"/>
  <c r="AA32" i="18"/>
  <c r="U32" i="18"/>
  <c r="O32" i="18"/>
  <c r="I32" i="18"/>
  <c r="AF32" i="17"/>
  <c r="Z32" i="17"/>
  <c r="T32" i="17"/>
  <c r="N32" i="17"/>
  <c r="H32" i="17"/>
  <c r="AF32" i="18"/>
  <c r="Z32" i="18"/>
  <c r="T32" i="18"/>
  <c r="N32" i="18"/>
  <c r="H32" i="18"/>
  <c r="AE32" i="17"/>
  <c r="Y32" i="17"/>
  <c r="S32" i="17"/>
  <c r="M32" i="17"/>
  <c r="G32" i="17"/>
  <c r="AE32" i="18"/>
  <c r="Y32" i="18"/>
  <c r="S32" i="18"/>
  <c r="M32" i="18"/>
  <c r="G32" i="18"/>
  <c r="AD32" i="17"/>
  <c r="X32" i="17"/>
  <c r="R32" i="17"/>
  <c r="L32" i="17"/>
  <c r="F32" i="17"/>
  <c r="AD32" i="18"/>
  <c r="X32" i="18"/>
  <c r="R32" i="18"/>
  <c r="L32" i="18"/>
  <c r="F32" i="18"/>
  <c r="AI32" i="17"/>
  <c r="AC32" i="17"/>
  <c r="W32" i="17"/>
  <c r="Q32" i="17"/>
  <c r="K32" i="17"/>
  <c r="AI32" i="18"/>
  <c r="AC32" i="18"/>
  <c r="W32" i="18"/>
  <c r="Q32" i="18"/>
  <c r="K32" i="18"/>
  <c r="AH32" i="17"/>
  <c r="AB32" i="17"/>
  <c r="V32" i="17"/>
  <c r="P32" i="17"/>
  <c r="J32" i="17"/>
  <c r="AI19" i="25"/>
  <c r="AF19" i="25"/>
  <c r="AC19" i="25"/>
  <c r="Z19" i="25"/>
  <c r="W19" i="25"/>
  <c r="T19" i="25"/>
  <c r="Q19" i="25"/>
  <c r="N19" i="25"/>
  <c r="K19" i="25"/>
  <c r="H19" i="25"/>
  <c r="AH19" i="25"/>
  <c r="AD19" i="25"/>
  <c r="Y19" i="25"/>
  <c r="U19" i="25"/>
  <c r="P19" i="25"/>
  <c r="L19" i="25"/>
  <c r="G19" i="25"/>
  <c r="G3" i="25" s="1"/>
  <c r="G4" i="25" s="1"/>
  <c r="AG19" i="25"/>
  <c r="AB19" i="25"/>
  <c r="X19" i="25"/>
  <c r="S19" i="25"/>
  <c r="O19" i="25"/>
  <c r="J19" i="25"/>
  <c r="F19" i="25"/>
  <c r="F3" i="25" s="1"/>
  <c r="F4" i="25" s="1"/>
  <c r="AJ19" i="25"/>
  <c r="AE19" i="25"/>
  <c r="AA19" i="25"/>
  <c r="V19" i="25"/>
  <c r="R19" i="25"/>
  <c r="M19" i="25"/>
  <c r="I19" i="25"/>
  <c r="I3" i="25" s="1"/>
  <c r="I4" i="25" s="1"/>
  <c r="AI18" i="24"/>
  <c r="AF18" i="24"/>
  <c r="AC18" i="24"/>
  <c r="Z18" i="24"/>
  <c r="W18" i="24"/>
  <c r="T18" i="24"/>
  <c r="Q18" i="24"/>
  <c r="N18" i="24"/>
  <c r="K18" i="24"/>
  <c r="H18" i="24"/>
  <c r="AH18" i="24"/>
  <c r="AH3" i="24" s="1"/>
  <c r="AH4" i="24" s="1"/>
  <c r="AE18" i="24"/>
  <c r="AE3" i="24" s="1"/>
  <c r="AE4" i="24" s="1"/>
  <c r="AB18" i="24"/>
  <c r="Y18" i="24"/>
  <c r="Y3" i="24" s="1"/>
  <c r="Y4" i="24" s="1"/>
  <c r="V18" i="24"/>
  <c r="V3" i="24" s="1"/>
  <c r="V4" i="24" s="1"/>
  <c r="S18" i="24"/>
  <c r="P18" i="24"/>
  <c r="P3" i="24" s="1"/>
  <c r="P4" i="24" s="1"/>
  <c r="M18" i="24"/>
  <c r="M3" i="24" s="1"/>
  <c r="M4" i="24" s="1"/>
  <c r="J18" i="24"/>
  <c r="G18" i="24"/>
  <c r="AG18" i="24"/>
  <c r="AG3" i="24" s="1"/>
  <c r="AG4" i="24" s="1"/>
  <c r="AD18" i="24"/>
  <c r="AA18" i="24"/>
  <c r="X18" i="24"/>
  <c r="X3" i="24" s="1"/>
  <c r="X4" i="24" s="1"/>
  <c r="U18" i="24"/>
  <c r="R18" i="24"/>
  <c r="O18" i="24"/>
  <c r="O3" i="24" s="1"/>
  <c r="O4" i="24" s="1"/>
  <c r="L18" i="24"/>
  <c r="I18" i="24"/>
  <c r="F18" i="24"/>
  <c r="F3" i="24" s="1"/>
  <c r="F4" i="24" s="1"/>
  <c r="AH18" i="23"/>
  <c r="AD18" i="23"/>
  <c r="Z18" i="23"/>
  <c r="V18" i="23"/>
  <c r="R18" i="23"/>
  <c r="N18" i="23"/>
  <c r="J18" i="23"/>
  <c r="F18" i="23"/>
  <c r="AG18" i="23"/>
  <c r="AC18" i="23"/>
  <c r="Y18" i="23"/>
  <c r="U18" i="23"/>
  <c r="Q18" i="23"/>
  <c r="M18" i="23"/>
  <c r="I18" i="23"/>
  <c r="AJ18" i="23"/>
  <c r="AF18" i="23"/>
  <c r="AB18" i="23"/>
  <c r="X18" i="23"/>
  <c r="T18" i="23"/>
  <c r="P18" i="23"/>
  <c r="L18" i="23"/>
  <c r="H18" i="23"/>
  <c r="AI18" i="23"/>
  <c r="AE18" i="23"/>
  <c r="AE3" i="23" s="1"/>
  <c r="AE4" i="23" s="1"/>
  <c r="AA18" i="23"/>
  <c r="W18" i="23"/>
  <c r="S18" i="23"/>
  <c r="O18" i="23"/>
  <c r="K18" i="23"/>
  <c r="G18" i="23"/>
  <c r="AG18" i="22"/>
  <c r="AB18" i="22"/>
  <c r="W18" i="22"/>
  <c r="R18" i="22"/>
  <c r="M18" i="22"/>
  <c r="H18" i="22"/>
  <c r="AF18" i="22"/>
  <c r="AA18" i="22"/>
  <c r="V18" i="22"/>
  <c r="Q18" i="22"/>
  <c r="L18" i="22"/>
  <c r="G18" i="22"/>
  <c r="AI18" i="22"/>
  <c r="AD18" i="22"/>
  <c r="Y18" i="22"/>
  <c r="T18" i="22"/>
  <c r="O18" i="22"/>
  <c r="J18" i="22"/>
  <c r="AH18" i="22"/>
  <c r="AC18" i="22"/>
  <c r="X18" i="22"/>
  <c r="S18" i="22"/>
  <c r="N18" i="22"/>
  <c r="I18" i="22"/>
  <c r="P18" i="22"/>
  <c r="AF18" i="21"/>
  <c r="Z18" i="21"/>
  <c r="T18" i="21"/>
  <c r="N18" i="21"/>
  <c r="H18" i="21"/>
  <c r="K18" i="22"/>
  <c r="AE18" i="21"/>
  <c r="Y18" i="21"/>
  <c r="S18" i="21"/>
  <c r="M18" i="21"/>
  <c r="G18" i="21"/>
  <c r="G3" i="21" s="1"/>
  <c r="G4" i="21" s="1"/>
  <c r="F18" i="22"/>
  <c r="AJ18" i="21"/>
  <c r="AJ3" i="21" s="1"/>
  <c r="AJ4" i="21" s="1"/>
  <c r="AD18" i="21"/>
  <c r="X18" i="21"/>
  <c r="R18" i="21"/>
  <c r="R3" i="21" s="1"/>
  <c r="R4" i="21" s="1"/>
  <c r="L18" i="21"/>
  <c r="F18" i="21"/>
  <c r="AE18" i="22"/>
  <c r="AE3" i="22" s="1"/>
  <c r="AE4" i="22" s="1"/>
  <c r="AI18" i="21"/>
  <c r="AC18" i="21"/>
  <c r="AC3" i="21" s="1"/>
  <c r="AC4" i="21" s="1"/>
  <c r="W18" i="21"/>
  <c r="W3" i="21" s="1"/>
  <c r="W4" i="21" s="1"/>
  <c r="Q18" i="21"/>
  <c r="K18" i="21"/>
  <c r="Z18" i="22"/>
  <c r="AH18" i="21"/>
  <c r="AB18" i="21"/>
  <c r="V18" i="21"/>
  <c r="P18" i="21"/>
  <c r="J18" i="21"/>
  <c r="U18" i="22"/>
  <c r="AG18" i="21"/>
  <c r="AA18" i="21"/>
  <c r="U18" i="21"/>
  <c r="U3" i="21" s="1"/>
  <c r="U4" i="21" s="1"/>
  <c r="O18" i="21"/>
  <c r="I18" i="21"/>
  <c r="AE18" i="20"/>
  <c r="Y18" i="20"/>
  <c r="S18" i="20"/>
  <c r="M18" i="20"/>
  <c r="G18" i="20"/>
  <c r="AE18" i="19"/>
  <c r="Y18" i="19"/>
  <c r="Y3" i="19" s="1"/>
  <c r="Y4" i="19" s="1"/>
  <c r="S18" i="19"/>
  <c r="M18" i="19"/>
  <c r="M3" i="19" s="1"/>
  <c r="M4" i="19" s="1"/>
  <c r="G18" i="19"/>
  <c r="AD18" i="20"/>
  <c r="X18" i="20"/>
  <c r="R18" i="20"/>
  <c r="L18" i="20"/>
  <c r="F18" i="20"/>
  <c r="AD18" i="19"/>
  <c r="AD3" i="19" s="1"/>
  <c r="AD4" i="19" s="1"/>
  <c r="X18" i="19"/>
  <c r="R18" i="19"/>
  <c r="L18" i="19"/>
  <c r="F18" i="19"/>
  <c r="AI18" i="20"/>
  <c r="AC18" i="20"/>
  <c r="W18" i="20"/>
  <c r="Q18" i="20"/>
  <c r="K18" i="20"/>
  <c r="K3" i="20" s="1"/>
  <c r="K4" i="20" s="1"/>
  <c r="AI18" i="19"/>
  <c r="AC18" i="19"/>
  <c r="AC3" i="19" s="1"/>
  <c r="AC4" i="19" s="1"/>
  <c r="W18" i="19"/>
  <c r="Q18" i="19"/>
  <c r="K18" i="19"/>
  <c r="AJ18" i="18"/>
  <c r="AH18" i="20"/>
  <c r="AB18" i="20"/>
  <c r="AB3" i="20" s="1"/>
  <c r="AB4" i="20" s="1"/>
  <c r="V18" i="20"/>
  <c r="P18" i="20"/>
  <c r="J18" i="20"/>
  <c r="AH18" i="19"/>
  <c r="AB18" i="19"/>
  <c r="V18" i="19"/>
  <c r="P18" i="19"/>
  <c r="J18" i="19"/>
  <c r="AG18" i="20"/>
  <c r="AA18" i="20"/>
  <c r="U18" i="20"/>
  <c r="U3" i="20" s="1"/>
  <c r="U4" i="20" s="1"/>
  <c r="O18" i="20"/>
  <c r="I18" i="20"/>
  <c r="AG18" i="19"/>
  <c r="AA18" i="19"/>
  <c r="U18" i="19"/>
  <c r="U3" i="19" s="1"/>
  <c r="U4" i="19" s="1"/>
  <c r="O18" i="19"/>
  <c r="I18" i="19"/>
  <c r="AJ18" i="20"/>
  <c r="AF18" i="20"/>
  <c r="Z18" i="20"/>
  <c r="T18" i="20"/>
  <c r="N18" i="20"/>
  <c r="H18" i="20"/>
  <c r="AF18" i="19"/>
  <c r="Z18" i="19"/>
  <c r="T18" i="19"/>
  <c r="N18" i="19"/>
  <c r="N3" i="19" s="1"/>
  <c r="N4" i="19" s="1"/>
  <c r="H18" i="19"/>
  <c r="AI18" i="18"/>
  <c r="AC18" i="18"/>
  <c r="W18" i="18"/>
  <c r="Q18" i="18"/>
  <c r="K18" i="18"/>
  <c r="AG18" i="17"/>
  <c r="AA18" i="17"/>
  <c r="U18" i="17"/>
  <c r="U3" i="17" s="1"/>
  <c r="U4" i="17" s="1"/>
  <c r="O18" i="17"/>
  <c r="I18" i="17"/>
  <c r="AH18" i="18"/>
  <c r="AB18" i="18"/>
  <c r="V18" i="18"/>
  <c r="P18" i="18"/>
  <c r="P3" i="18" s="1"/>
  <c r="P4" i="18" s="1"/>
  <c r="J18" i="18"/>
  <c r="AF18" i="17"/>
  <c r="Z18" i="17"/>
  <c r="Z3" i="17" s="1"/>
  <c r="Z4" i="17" s="1"/>
  <c r="T18" i="17"/>
  <c r="N18" i="17"/>
  <c r="H18" i="17"/>
  <c r="H3" i="17" s="1"/>
  <c r="H4" i="17" s="1"/>
  <c r="AG18" i="18"/>
  <c r="AA18" i="18"/>
  <c r="U18" i="18"/>
  <c r="O18" i="18"/>
  <c r="I18" i="18"/>
  <c r="AE18" i="17"/>
  <c r="AE3" i="17" s="1"/>
  <c r="AE4" i="17" s="1"/>
  <c r="Y18" i="17"/>
  <c r="S18" i="17"/>
  <c r="M18" i="17"/>
  <c r="M3" i="17" s="1"/>
  <c r="M4" i="17" s="1"/>
  <c r="G18" i="17"/>
  <c r="AF18" i="18"/>
  <c r="Z18" i="18"/>
  <c r="T18" i="18"/>
  <c r="N18" i="18"/>
  <c r="H18" i="18"/>
  <c r="AD18" i="17"/>
  <c r="X18" i="17"/>
  <c r="R18" i="17"/>
  <c r="R3" i="17" s="1"/>
  <c r="R4" i="17" s="1"/>
  <c r="L18" i="17"/>
  <c r="F18" i="17"/>
  <c r="AE18" i="18"/>
  <c r="Y18" i="18"/>
  <c r="S18" i="18"/>
  <c r="M18" i="18"/>
  <c r="G18" i="18"/>
  <c r="AI18" i="17"/>
  <c r="AC18" i="17"/>
  <c r="W18" i="17"/>
  <c r="Q18" i="17"/>
  <c r="K18" i="17"/>
  <c r="AD18" i="18"/>
  <c r="X18" i="18"/>
  <c r="R18" i="18"/>
  <c r="L18" i="18"/>
  <c r="F18" i="18"/>
  <c r="AH18" i="17"/>
  <c r="AB18" i="17"/>
  <c r="V18" i="17"/>
  <c r="P18" i="17"/>
  <c r="J18" i="17"/>
  <c r="E31" i="10"/>
  <c r="AE33" i="10"/>
  <c r="Y33" i="10"/>
  <c r="S33" i="10"/>
  <c r="M33" i="10"/>
  <c r="G33" i="10"/>
  <c r="AE24" i="10"/>
  <c r="Y24" i="10"/>
  <c r="S24" i="10"/>
  <c r="M24" i="10"/>
  <c r="G24" i="10"/>
  <c r="AE14" i="10"/>
  <c r="Y14" i="10"/>
  <c r="S14" i="10"/>
  <c r="M14" i="10"/>
  <c r="G14" i="10"/>
  <c r="AH9" i="10"/>
  <c r="AB9" i="10"/>
  <c r="V9" i="10"/>
  <c r="P9" i="10"/>
  <c r="J9" i="10"/>
  <c r="F9" i="14"/>
  <c r="L9" i="14"/>
  <c r="R9" i="14"/>
  <c r="X9" i="14"/>
  <c r="AD9" i="14"/>
  <c r="AJ9" i="14"/>
  <c r="I15" i="14"/>
  <c r="O15" i="14"/>
  <c r="U15" i="14"/>
  <c r="AA15" i="14"/>
  <c r="AG15" i="14"/>
  <c r="F34" i="14"/>
  <c r="L34" i="14"/>
  <c r="R34" i="14"/>
  <c r="X34" i="14"/>
  <c r="AD34" i="14"/>
  <c r="AJ34" i="14"/>
  <c r="I9" i="15"/>
  <c r="O9" i="15"/>
  <c r="U9" i="15"/>
  <c r="AA9" i="15"/>
  <c r="AG9" i="15"/>
  <c r="I14" i="15"/>
  <c r="O14" i="15"/>
  <c r="U14" i="15"/>
  <c r="AA14" i="15"/>
  <c r="AG14" i="15"/>
  <c r="I36" i="15"/>
  <c r="O36" i="15"/>
  <c r="U36" i="15"/>
  <c r="AA36" i="15"/>
  <c r="AG36" i="15"/>
  <c r="F36" i="15"/>
  <c r="F32" i="15"/>
  <c r="F17" i="15"/>
  <c r="F14" i="15"/>
  <c r="F11" i="15"/>
  <c r="H9" i="16"/>
  <c r="N9" i="16"/>
  <c r="T9" i="16"/>
  <c r="Z9" i="16"/>
  <c r="AF9" i="16"/>
  <c r="F11" i="16"/>
  <c r="L11" i="16"/>
  <c r="R11" i="16"/>
  <c r="X11" i="16"/>
  <c r="AD11" i="16"/>
  <c r="AJ11" i="16"/>
  <c r="H14" i="16"/>
  <c r="N14" i="16"/>
  <c r="T14" i="16"/>
  <c r="Z14" i="16"/>
  <c r="AF14" i="16"/>
  <c r="G15" i="16"/>
  <c r="M15" i="16"/>
  <c r="S15" i="16"/>
  <c r="Y15" i="16"/>
  <c r="AE15" i="16"/>
  <c r="K17" i="16"/>
  <c r="Q17" i="16"/>
  <c r="W17" i="16"/>
  <c r="AC17" i="16"/>
  <c r="AI17" i="16"/>
  <c r="J18" i="16"/>
  <c r="P18" i="16"/>
  <c r="V18" i="16"/>
  <c r="AB18" i="16"/>
  <c r="AH18" i="16"/>
  <c r="E19" i="16"/>
  <c r="I32" i="16"/>
  <c r="I3" i="16" s="1"/>
  <c r="I4" i="16" s="1"/>
  <c r="O32" i="16"/>
  <c r="O3" i="16" s="1"/>
  <c r="O4" i="16" s="1"/>
  <c r="U32" i="16"/>
  <c r="AA32" i="16"/>
  <c r="AG32" i="16"/>
  <c r="K36" i="16"/>
  <c r="R36" i="16"/>
  <c r="Y36" i="16"/>
  <c r="AF36" i="16"/>
  <c r="H37" i="16"/>
  <c r="P37" i="16"/>
  <c r="W37" i="16"/>
  <c r="AD37" i="16"/>
  <c r="F38" i="16"/>
  <c r="M38" i="16"/>
  <c r="U38" i="16"/>
  <c r="AB38" i="16"/>
  <c r="AI38" i="16"/>
  <c r="E42" i="16"/>
  <c r="E20" i="18"/>
  <c r="R16" i="7" s="1"/>
  <c r="E21" i="18"/>
  <c r="E19" i="18"/>
  <c r="E22" i="17"/>
  <c r="E30" i="18"/>
  <c r="E39" i="18"/>
  <c r="R35" i="7" s="1"/>
  <c r="E16" i="17"/>
  <c r="Q12" i="7" s="1"/>
  <c r="E19" i="17"/>
  <c r="E34" i="18"/>
  <c r="E12" i="18"/>
  <c r="E43" i="18"/>
  <c r="R39" i="7" s="1"/>
  <c r="E45" i="18"/>
  <c r="R41" i="7" s="1"/>
  <c r="E31" i="20"/>
  <c r="E21" i="20"/>
  <c r="T17" i="7" s="1"/>
  <c r="E13" i="20"/>
  <c r="T9" i="7" s="1"/>
  <c r="E10" i="21"/>
  <c r="AE3" i="19"/>
  <c r="AE4" i="19" s="1"/>
  <c r="E22" i="19"/>
  <c r="S18" i="7" s="1"/>
  <c r="E33" i="19"/>
  <c r="E43" i="19"/>
  <c r="E22" i="20"/>
  <c r="E23" i="20"/>
  <c r="T19" i="7" s="1"/>
  <c r="E30" i="19"/>
  <c r="S26" i="7" s="1"/>
  <c r="E33" i="20"/>
  <c r="E41" i="21"/>
  <c r="E16" i="21"/>
  <c r="U12" i="7" s="1"/>
  <c r="E22" i="21"/>
  <c r="U18" i="7" s="1"/>
  <c r="E43" i="21"/>
  <c r="U39" i="7" s="1"/>
  <c r="E20" i="21"/>
  <c r="U16" i="7" s="1"/>
  <c r="E31" i="21"/>
  <c r="E23" i="21"/>
  <c r="U19" i="7" s="1"/>
  <c r="E33" i="21"/>
  <c r="U29" i="7" s="1"/>
  <c r="E13" i="23"/>
  <c r="E21" i="22"/>
  <c r="E12" i="23"/>
  <c r="W8" i="7" s="1"/>
  <c r="E20" i="23"/>
  <c r="W16" i="7" s="1"/>
  <c r="E41" i="23"/>
  <c r="W37" i="7" s="1"/>
  <c r="E19" i="23"/>
  <c r="W15" i="7" s="1"/>
  <c r="W24" i="7"/>
  <c r="E30" i="23"/>
  <c r="E39" i="23"/>
  <c r="E40" i="23"/>
  <c r="W36" i="7" s="1"/>
  <c r="AB3" i="24"/>
  <c r="AB4" i="24" s="1"/>
  <c r="E34" i="24"/>
  <c r="X30" i="7" s="1"/>
  <c r="AG3" i="25"/>
  <c r="AG4" i="25" s="1"/>
  <c r="AJ3" i="25"/>
  <c r="AJ4" i="25" s="1"/>
  <c r="E17" i="25"/>
  <c r="E39" i="24"/>
  <c r="X35" i="7" s="1"/>
  <c r="E10" i="25"/>
  <c r="E23" i="25"/>
  <c r="Y18" i="7" s="1"/>
  <c r="E41" i="25"/>
  <c r="Y36" i="7" s="1"/>
  <c r="N41" i="7"/>
  <c r="P9" i="7"/>
  <c r="P12" i="7"/>
  <c r="P26" i="7"/>
  <c r="P29" i="7"/>
  <c r="P36" i="7"/>
  <c r="P39" i="7"/>
  <c r="P41" i="7"/>
  <c r="Q29" i="7"/>
  <c r="Q41" i="7"/>
  <c r="R6" i="7"/>
  <c r="R29" i="7"/>
  <c r="R36" i="7"/>
  <c r="S9" i="7"/>
  <c r="S41" i="7"/>
  <c r="T30" i="7"/>
  <c r="T37" i="7"/>
  <c r="T39" i="7"/>
  <c r="T41" i="7"/>
  <c r="U8" i="7"/>
  <c r="U35" i="7"/>
  <c r="U36" i="7"/>
  <c r="U41" i="7"/>
  <c r="V29" i="7"/>
  <c r="V35" i="7"/>
  <c r="V37" i="7"/>
  <c r="V41" i="7"/>
  <c r="W12" i="7"/>
  <c r="W27" i="7"/>
  <c r="W29" i="7"/>
  <c r="W41" i="7"/>
  <c r="X19" i="7"/>
  <c r="X41" i="7"/>
  <c r="Y26" i="7"/>
  <c r="Y29" i="7"/>
  <c r="Y41" i="7"/>
  <c r="E8" i="25"/>
  <c r="E11" i="25"/>
  <c r="E20" i="25"/>
  <c r="Y23" i="7"/>
  <c r="E14" i="25"/>
  <c r="E21" i="25"/>
  <c r="E32" i="25"/>
  <c r="E42" i="25"/>
  <c r="E24" i="25"/>
  <c r="E43" i="25"/>
  <c r="E9" i="25"/>
  <c r="E12" i="25"/>
  <c r="E15" i="25"/>
  <c r="E18" i="25"/>
  <c r="E22" i="25"/>
  <c r="Y24" i="7"/>
  <c r="E37" i="25"/>
  <c r="E40" i="25"/>
  <c r="E36" i="24"/>
  <c r="E38" i="24"/>
  <c r="E10" i="24"/>
  <c r="E11" i="24"/>
  <c r="X24" i="7"/>
  <c r="E21" i="24"/>
  <c r="E41" i="24"/>
  <c r="E12" i="24"/>
  <c r="E13" i="24"/>
  <c r="E20" i="24"/>
  <c r="E22" i="24"/>
  <c r="E30" i="24"/>
  <c r="E40" i="24"/>
  <c r="E42" i="24"/>
  <c r="E14" i="24"/>
  <c r="E16" i="24"/>
  <c r="E31" i="24"/>
  <c r="E33" i="24"/>
  <c r="E43" i="24"/>
  <c r="E17" i="24"/>
  <c r="E19" i="24"/>
  <c r="E8" i="24"/>
  <c r="S3" i="23"/>
  <c r="S4" i="23" s="1"/>
  <c r="E15" i="23"/>
  <c r="E17" i="23"/>
  <c r="W23" i="7"/>
  <c r="E36" i="23"/>
  <c r="E38" i="23"/>
  <c r="E43" i="23"/>
  <c r="E44" i="23"/>
  <c r="E9" i="23"/>
  <c r="E14" i="23"/>
  <c r="E23" i="23"/>
  <c r="E34" i="23"/>
  <c r="E42" i="23"/>
  <c r="E8" i="23"/>
  <c r="E11" i="23"/>
  <c r="E21" i="23"/>
  <c r="E10" i="23"/>
  <c r="E10" i="22"/>
  <c r="E16" i="22"/>
  <c r="E42" i="22"/>
  <c r="E15" i="22"/>
  <c r="V24" i="7"/>
  <c r="E36" i="22"/>
  <c r="E44" i="22"/>
  <c r="E8" i="22"/>
  <c r="E13" i="22"/>
  <c r="E22" i="22"/>
  <c r="E37" i="22"/>
  <c r="E11" i="22"/>
  <c r="E19" i="22"/>
  <c r="E30" i="22"/>
  <c r="E38" i="22"/>
  <c r="E40" i="22"/>
  <c r="E9" i="22"/>
  <c r="E12" i="22"/>
  <c r="E14" i="22"/>
  <c r="E17" i="22"/>
  <c r="E20" i="22"/>
  <c r="E23" i="22"/>
  <c r="V23" i="7"/>
  <c r="E31" i="22"/>
  <c r="E34" i="22"/>
  <c r="U24" i="7"/>
  <c r="E34" i="21"/>
  <c r="E37" i="21"/>
  <c r="E44" i="21"/>
  <c r="E11" i="21"/>
  <c r="E19" i="21"/>
  <c r="E21" i="21"/>
  <c r="E30" i="21"/>
  <c r="E38" i="21"/>
  <c r="E42" i="21"/>
  <c r="E13" i="21"/>
  <c r="E15" i="21"/>
  <c r="E8" i="21"/>
  <c r="E16" i="20"/>
  <c r="E17" i="20"/>
  <c r="E37" i="20"/>
  <c r="E19" i="20"/>
  <c r="E20" i="20"/>
  <c r="E30" i="20"/>
  <c r="E40" i="20"/>
  <c r="E8" i="20"/>
  <c r="E9" i="20"/>
  <c r="E11" i="20"/>
  <c r="E12" i="20"/>
  <c r="E10" i="20"/>
  <c r="T24" i="7"/>
  <c r="E36" i="20"/>
  <c r="E39" i="20"/>
  <c r="E42" i="20"/>
  <c r="E11" i="19"/>
  <c r="E17" i="19"/>
  <c r="E37" i="19"/>
  <c r="S33" i="7" s="1"/>
  <c r="E42" i="19"/>
  <c r="E16" i="19"/>
  <c r="E19" i="19"/>
  <c r="S23" i="7"/>
  <c r="E9" i="19"/>
  <c r="E12" i="19"/>
  <c r="E20" i="19"/>
  <c r="S24" i="7"/>
  <c r="E31" i="19"/>
  <c r="E14" i="19"/>
  <c r="E21" i="19"/>
  <c r="E23" i="19"/>
  <c r="E34" i="19"/>
  <c r="E40" i="19"/>
  <c r="E15" i="19"/>
  <c r="E8" i="19"/>
  <c r="E10" i="19"/>
  <c r="E36" i="19"/>
  <c r="E39" i="19"/>
  <c r="E41" i="19"/>
  <c r="E44" i="19"/>
  <c r="E41" i="18"/>
  <c r="E42" i="18"/>
  <c r="E8" i="18"/>
  <c r="E9" i="18"/>
  <c r="E17" i="18"/>
  <c r="R24" i="7"/>
  <c r="E36" i="18"/>
  <c r="E37" i="18"/>
  <c r="E44" i="18"/>
  <c r="E11" i="18"/>
  <c r="E13" i="18"/>
  <c r="E16" i="18"/>
  <c r="E23" i="18"/>
  <c r="R23" i="7"/>
  <c r="E31" i="18"/>
  <c r="E12" i="17"/>
  <c r="E13" i="17"/>
  <c r="Q23" i="7"/>
  <c r="E30" i="17"/>
  <c r="E36" i="17"/>
  <c r="E38" i="17"/>
  <c r="E43" i="17"/>
  <c r="E11" i="17"/>
  <c r="E37" i="17"/>
  <c r="E40" i="17"/>
  <c r="E44" i="17"/>
  <c r="E14" i="17"/>
  <c r="E21" i="17"/>
  <c r="E23" i="17"/>
  <c r="E34" i="17"/>
  <c r="E42" i="17"/>
  <c r="E9" i="17"/>
  <c r="E15" i="17"/>
  <c r="E17" i="17"/>
  <c r="E20" i="17"/>
  <c r="Q24" i="7"/>
  <c r="E31" i="17"/>
  <c r="E41" i="17"/>
  <c r="E8" i="17"/>
  <c r="E10" i="17"/>
  <c r="E39" i="17"/>
  <c r="E20" i="16"/>
  <c r="P24" i="7"/>
  <c r="E31" i="16"/>
  <c r="E39" i="16"/>
  <c r="E41" i="16"/>
  <c r="E21" i="16"/>
  <c r="E23" i="16"/>
  <c r="E34" i="16"/>
  <c r="E10" i="16"/>
  <c r="E12" i="16"/>
  <c r="E8" i="16"/>
  <c r="E45" i="15"/>
  <c r="O41" i="7" s="1"/>
  <c r="E43" i="15"/>
  <c r="AC19" i="14"/>
  <c r="AI11" i="14"/>
  <c r="E36" i="10"/>
  <c r="Z41" i="10"/>
  <c r="N41" i="10"/>
  <c r="E19" i="15"/>
  <c r="AH41" i="10"/>
  <c r="V41" i="10"/>
  <c r="J41" i="10"/>
  <c r="AJ16" i="14"/>
  <c r="E34" i="15"/>
  <c r="E42" i="15"/>
  <c r="AD41" i="10"/>
  <c r="E10" i="15"/>
  <c r="E22" i="15"/>
  <c r="E31" i="15"/>
  <c r="E41" i="14"/>
  <c r="AF40" i="15"/>
  <c r="AC40" i="15"/>
  <c r="Z40" i="15"/>
  <c r="W40" i="15"/>
  <c r="T40" i="15"/>
  <c r="Q40" i="15"/>
  <c r="N40" i="15"/>
  <c r="K40" i="15"/>
  <c r="H40" i="15"/>
  <c r="AE40" i="15"/>
  <c r="AB40" i="15"/>
  <c r="Y40" i="15"/>
  <c r="V40" i="15"/>
  <c r="S40" i="15"/>
  <c r="P40" i="15"/>
  <c r="M40" i="15"/>
  <c r="J40" i="15"/>
  <c r="AG40" i="15"/>
  <c r="AD40" i="15"/>
  <c r="AA40" i="15"/>
  <c r="X40" i="15"/>
  <c r="U40" i="15"/>
  <c r="R40" i="15"/>
  <c r="O40" i="15"/>
  <c r="L40" i="15"/>
  <c r="I40" i="15"/>
  <c r="AH38" i="14"/>
  <c r="AE38" i="14"/>
  <c r="AB38" i="14"/>
  <c r="Y38" i="14"/>
  <c r="V38" i="14"/>
  <c r="S38" i="14"/>
  <c r="P38" i="14"/>
  <c r="AG38" i="14"/>
  <c r="AA38" i="14"/>
  <c r="U38" i="14"/>
  <c r="O38" i="14"/>
  <c r="K38" i="14"/>
  <c r="G38" i="14"/>
  <c r="AF38" i="14"/>
  <c r="Z38" i="14"/>
  <c r="T38" i="14"/>
  <c r="N38" i="14"/>
  <c r="J38" i="14"/>
  <c r="F38" i="14"/>
  <c r="AJ38" i="14"/>
  <c r="AD38" i="14"/>
  <c r="X38" i="14"/>
  <c r="R38" i="14"/>
  <c r="M38" i="14"/>
  <c r="I38" i="14"/>
  <c r="AI38" i="14"/>
  <c r="AC38" i="14"/>
  <c r="W38" i="14"/>
  <c r="Q38" i="14"/>
  <c r="L38" i="14"/>
  <c r="H38" i="14"/>
  <c r="AG13" i="15"/>
  <c r="AD13" i="15"/>
  <c r="AA13" i="15"/>
  <c r="X13" i="15"/>
  <c r="U13" i="15"/>
  <c r="R13" i="15"/>
  <c r="O13" i="15"/>
  <c r="L13" i="15"/>
  <c r="I13" i="15"/>
  <c r="AF13" i="15"/>
  <c r="AB13" i="15"/>
  <c r="W13" i="15"/>
  <c r="S13" i="15"/>
  <c r="N13" i="15"/>
  <c r="J13" i="15"/>
  <c r="AE13" i="15"/>
  <c r="Z13" i="15"/>
  <c r="V13" i="15"/>
  <c r="Q13" i="15"/>
  <c r="M13" i="15"/>
  <c r="H13" i="15"/>
  <c r="AC13" i="15"/>
  <c r="Y13" i="15"/>
  <c r="T13" i="15"/>
  <c r="P13" i="15"/>
  <c r="K13" i="15"/>
  <c r="AE41" i="15"/>
  <c r="AB41" i="15"/>
  <c r="Y41" i="15"/>
  <c r="V41" i="15"/>
  <c r="S41" i="15"/>
  <c r="P41" i="15"/>
  <c r="M41" i="15"/>
  <c r="J41" i="15"/>
  <c r="AG41" i="15"/>
  <c r="AD41" i="15"/>
  <c r="AA41" i="15"/>
  <c r="X41" i="15"/>
  <c r="U41" i="15"/>
  <c r="R41" i="15"/>
  <c r="O41" i="15"/>
  <c r="L41" i="15"/>
  <c r="I41" i="15"/>
  <c r="AF41" i="15"/>
  <c r="AC41" i="15"/>
  <c r="Z41" i="15"/>
  <c r="W41" i="15"/>
  <c r="T41" i="15"/>
  <c r="Q41" i="15"/>
  <c r="N41" i="15"/>
  <c r="K41" i="15"/>
  <c r="H41" i="15"/>
  <c r="AJ39" i="14"/>
  <c r="AG39" i="14"/>
  <c r="AD39" i="14"/>
  <c r="AA39" i="14"/>
  <c r="X39" i="14"/>
  <c r="U39" i="14"/>
  <c r="R39" i="14"/>
  <c r="O39" i="14"/>
  <c r="L39" i="14"/>
  <c r="I39" i="14"/>
  <c r="F39" i="14"/>
  <c r="AF39" i="14"/>
  <c r="Z39" i="14"/>
  <c r="T39" i="14"/>
  <c r="N39" i="14"/>
  <c r="H39" i="14"/>
  <c r="AE39" i="14"/>
  <c r="Y39" i="14"/>
  <c r="S39" i="14"/>
  <c r="M39" i="14"/>
  <c r="G39" i="14"/>
  <c r="AI39" i="14"/>
  <c r="AC39" i="14"/>
  <c r="W39" i="14"/>
  <c r="Q39" i="14"/>
  <c r="K39" i="14"/>
  <c r="AH39" i="14"/>
  <c r="AB39" i="14"/>
  <c r="V39" i="14"/>
  <c r="P39" i="14"/>
  <c r="J39" i="14"/>
  <c r="AG32" i="15"/>
  <c r="AD32" i="15"/>
  <c r="AA32" i="15"/>
  <c r="X32" i="15"/>
  <c r="U32" i="15"/>
  <c r="R32" i="15"/>
  <c r="O32" i="15"/>
  <c r="L32" i="15"/>
  <c r="I32" i="15"/>
  <c r="AF32" i="15"/>
  <c r="AC32" i="15"/>
  <c r="Z32" i="15"/>
  <c r="W32" i="15"/>
  <c r="T32" i="15"/>
  <c r="Q32" i="15"/>
  <c r="N32" i="15"/>
  <c r="K32" i="15"/>
  <c r="H32" i="15"/>
  <c r="AE32" i="15"/>
  <c r="AB32" i="15"/>
  <c r="Y32" i="15"/>
  <c r="V32" i="15"/>
  <c r="S32" i="15"/>
  <c r="P32" i="15"/>
  <c r="M32" i="15"/>
  <c r="J32" i="15"/>
  <c r="AJ30" i="14"/>
  <c r="AF30" i="14"/>
  <c r="AB30" i="14"/>
  <c r="X30" i="14"/>
  <c r="T30" i="14"/>
  <c r="P30" i="14"/>
  <c r="L30" i="14"/>
  <c r="H30" i="14"/>
  <c r="AI30" i="14"/>
  <c r="AE30" i="14"/>
  <c r="AA30" i="14"/>
  <c r="W30" i="14"/>
  <c r="S30" i="14"/>
  <c r="O30" i="14"/>
  <c r="K30" i="14"/>
  <c r="G30" i="14"/>
  <c r="AH30" i="14"/>
  <c r="AD30" i="14"/>
  <c r="Z30" i="14"/>
  <c r="V30" i="14"/>
  <c r="R30" i="14"/>
  <c r="N30" i="14"/>
  <c r="J30" i="14"/>
  <c r="F30" i="14"/>
  <c r="AG30" i="14"/>
  <c r="AC30" i="14"/>
  <c r="Y30" i="14"/>
  <c r="U30" i="14"/>
  <c r="Q30" i="14"/>
  <c r="M30" i="14"/>
  <c r="I30" i="14"/>
  <c r="AE17" i="15"/>
  <c r="AB17" i="15"/>
  <c r="Y17" i="15"/>
  <c r="V17" i="15"/>
  <c r="S17" i="15"/>
  <c r="P17" i="15"/>
  <c r="M17" i="15"/>
  <c r="J17" i="15"/>
  <c r="AG17" i="15"/>
  <c r="AD17" i="15"/>
  <c r="AA17" i="15"/>
  <c r="X17" i="15"/>
  <c r="U17" i="15"/>
  <c r="R17" i="15"/>
  <c r="O17" i="15"/>
  <c r="L17" i="15"/>
  <c r="I17" i="15"/>
  <c r="AF17" i="15"/>
  <c r="AC17" i="15"/>
  <c r="Z17" i="15"/>
  <c r="W17" i="15"/>
  <c r="T17" i="15"/>
  <c r="Q17" i="15"/>
  <c r="N17" i="15"/>
  <c r="K17" i="15"/>
  <c r="H17" i="15"/>
  <c r="AI18" i="14"/>
  <c r="AE18" i="14"/>
  <c r="AA18" i="14"/>
  <c r="W18" i="14"/>
  <c r="S18" i="14"/>
  <c r="O18" i="14"/>
  <c r="K18" i="14"/>
  <c r="G18" i="14"/>
  <c r="AG18" i="14"/>
  <c r="AC18" i="14"/>
  <c r="Y18" i="14"/>
  <c r="U18" i="14"/>
  <c r="Q18" i="14"/>
  <c r="M18" i="14"/>
  <c r="I18" i="14"/>
  <c r="AI25" i="14"/>
  <c r="AE25" i="14"/>
  <c r="AA25" i="14"/>
  <c r="W25" i="14"/>
  <c r="S25" i="14"/>
  <c r="O25" i="14"/>
  <c r="K25" i="14"/>
  <c r="G25" i="14"/>
  <c r="AH25" i="14"/>
  <c r="AD25" i="14"/>
  <c r="Z25" i="14"/>
  <c r="V25" i="14"/>
  <c r="R25" i="14"/>
  <c r="N25" i="14"/>
  <c r="J25" i="14"/>
  <c r="F25" i="14"/>
  <c r="AG25" i="14"/>
  <c r="AC25" i="14"/>
  <c r="Y25" i="14"/>
  <c r="U25" i="14"/>
  <c r="Q25" i="14"/>
  <c r="M25" i="14"/>
  <c r="I25" i="14"/>
  <c r="AJ25" i="14"/>
  <c r="AF25" i="14"/>
  <c r="AB25" i="14"/>
  <c r="X25" i="14"/>
  <c r="T25" i="14"/>
  <c r="P25" i="14"/>
  <c r="L25" i="14"/>
  <c r="H25" i="14"/>
  <c r="G11" i="14"/>
  <c r="K11" i="14"/>
  <c r="O11" i="14"/>
  <c r="S11" i="14"/>
  <c r="W11" i="14"/>
  <c r="AA11" i="14"/>
  <c r="AE11" i="14"/>
  <c r="I14" i="14"/>
  <c r="M14" i="14"/>
  <c r="Q14" i="14"/>
  <c r="U14" i="14"/>
  <c r="Y14" i="14"/>
  <c r="AC14" i="14"/>
  <c r="AG14" i="14"/>
  <c r="G16" i="14"/>
  <c r="L16" i="14"/>
  <c r="R16" i="14"/>
  <c r="W16" i="14"/>
  <c r="AB16" i="14"/>
  <c r="AH16" i="14"/>
  <c r="H17" i="14"/>
  <c r="M17" i="14"/>
  <c r="S17" i="14"/>
  <c r="AA17" i="14"/>
  <c r="AI17" i="14"/>
  <c r="L18" i="14"/>
  <c r="T18" i="14"/>
  <c r="AB18" i="14"/>
  <c r="AJ18" i="14"/>
  <c r="M19" i="14"/>
  <c r="U19" i="14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AH42" i="14"/>
  <c r="AE42" i="14"/>
  <c r="AB42" i="14"/>
  <c r="Y42" i="14"/>
  <c r="V42" i="14"/>
  <c r="S42" i="14"/>
  <c r="P42" i="14"/>
  <c r="M42" i="14"/>
  <c r="J42" i="14"/>
  <c r="G42" i="14"/>
  <c r="AJ42" i="14"/>
  <c r="AG42" i="14"/>
  <c r="AD42" i="14"/>
  <c r="AA42" i="14"/>
  <c r="X42" i="14"/>
  <c r="U42" i="14"/>
  <c r="R42" i="14"/>
  <c r="O42" i="14"/>
  <c r="L42" i="14"/>
  <c r="I42" i="14"/>
  <c r="F42" i="14"/>
  <c r="AI42" i="14"/>
  <c r="AF42" i="14"/>
  <c r="AC42" i="14"/>
  <c r="Z42" i="14"/>
  <c r="W42" i="14"/>
  <c r="T42" i="14"/>
  <c r="Q42" i="14"/>
  <c r="N42" i="14"/>
  <c r="K42" i="14"/>
  <c r="H42" i="14"/>
  <c r="AF21" i="15"/>
  <c r="AC21" i="15"/>
  <c r="Z21" i="15"/>
  <c r="W21" i="15"/>
  <c r="T21" i="15"/>
  <c r="Q21" i="15"/>
  <c r="N21" i="15"/>
  <c r="K21" i="15"/>
  <c r="H21" i="15"/>
  <c r="AE21" i="15"/>
  <c r="AB21" i="15"/>
  <c r="Y21" i="15"/>
  <c r="V21" i="15"/>
  <c r="S21" i="15"/>
  <c r="P21" i="15"/>
  <c r="M21" i="15"/>
  <c r="J21" i="15"/>
  <c r="AG21" i="15"/>
  <c r="AD21" i="15"/>
  <c r="AA21" i="15"/>
  <c r="X21" i="15"/>
  <c r="U21" i="15"/>
  <c r="R21" i="15"/>
  <c r="O21" i="15"/>
  <c r="L21" i="15"/>
  <c r="I21" i="15"/>
  <c r="AJ22" i="14"/>
  <c r="AF22" i="14"/>
  <c r="AB22" i="14"/>
  <c r="X22" i="14"/>
  <c r="T22" i="14"/>
  <c r="P22" i="14"/>
  <c r="L22" i="14"/>
  <c r="H22" i="14"/>
  <c r="AI22" i="14"/>
  <c r="AE22" i="14"/>
  <c r="AA22" i="14"/>
  <c r="W22" i="14"/>
  <c r="S22" i="14"/>
  <c r="O22" i="14"/>
  <c r="K22" i="14"/>
  <c r="G22" i="14"/>
  <c r="AH22" i="14"/>
  <c r="AD22" i="14"/>
  <c r="Z22" i="14"/>
  <c r="V22" i="14"/>
  <c r="R22" i="14"/>
  <c r="N22" i="14"/>
  <c r="J22" i="14"/>
  <c r="F22" i="14"/>
  <c r="AG22" i="14"/>
  <c r="AC22" i="14"/>
  <c r="Y22" i="14"/>
  <c r="U22" i="14"/>
  <c r="Q22" i="14"/>
  <c r="M22" i="14"/>
  <c r="I22" i="14"/>
  <c r="AG18" i="15"/>
  <c r="AD18" i="15"/>
  <c r="AA18" i="15"/>
  <c r="X18" i="15"/>
  <c r="U18" i="15"/>
  <c r="R18" i="15"/>
  <c r="O18" i="15"/>
  <c r="L18" i="15"/>
  <c r="I18" i="15"/>
  <c r="AF18" i="15"/>
  <c r="AC18" i="15"/>
  <c r="Z18" i="15"/>
  <c r="W18" i="15"/>
  <c r="T18" i="15"/>
  <c r="Q18" i="15"/>
  <c r="N18" i="15"/>
  <c r="K18" i="15"/>
  <c r="H18" i="15"/>
  <c r="AE18" i="15"/>
  <c r="AB18" i="15"/>
  <c r="Y18" i="15"/>
  <c r="V18" i="15"/>
  <c r="S18" i="15"/>
  <c r="P18" i="15"/>
  <c r="M18" i="15"/>
  <c r="J18" i="15"/>
  <c r="AJ19" i="14"/>
  <c r="AF19" i="14"/>
  <c r="AB19" i="14"/>
  <c r="X19" i="14"/>
  <c r="T19" i="14"/>
  <c r="P19" i="14"/>
  <c r="L19" i="14"/>
  <c r="H19" i="14"/>
  <c r="AH19" i="14"/>
  <c r="AD19" i="14"/>
  <c r="Z19" i="14"/>
  <c r="V19" i="14"/>
  <c r="R19" i="14"/>
  <c r="N19" i="14"/>
  <c r="J19" i="14"/>
  <c r="F19" i="14"/>
  <c r="AF11" i="15"/>
  <c r="AC11" i="15"/>
  <c r="Z11" i="15"/>
  <c r="W11" i="15"/>
  <c r="T11" i="15"/>
  <c r="Q11" i="15"/>
  <c r="N11" i="15"/>
  <c r="K11" i="15"/>
  <c r="H11" i="15"/>
  <c r="AE11" i="15"/>
  <c r="AB11" i="15"/>
  <c r="Y11" i="15"/>
  <c r="V11" i="15"/>
  <c r="S11" i="15"/>
  <c r="P11" i="15"/>
  <c r="M11" i="15"/>
  <c r="J11" i="15"/>
  <c r="AG11" i="15"/>
  <c r="AD11" i="15"/>
  <c r="AA11" i="15"/>
  <c r="X11" i="15"/>
  <c r="U11" i="15"/>
  <c r="R11" i="15"/>
  <c r="O11" i="15"/>
  <c r="L11" i="15"/>
  <c r="I11" i="15"/>
  <c r="F41" i="10"/>
  <c r="AG41" i="10"/>
  <c r="AC41" i="10"/>
  <c r="Y41" i="10"/>
  <c r="U41" i="10"/>
  <c r="Q41" i="10"/>
  <c r="M41" i="10"/>
  <c r="I41" i="10"/>
  <c r="AG27" i="14"/>
  <c r="AC27" i="14"/>
  <c r="Y27" i="14"/>
  <c r="U27" i="14"/>
  <c r="Q27" i="14"/>
  <c r="M27" i="14"/>
  <c r="I27" i="14"/>
  <c r="AJ27" i="14"/>
  <c r="AF27" i="14"/>
  <c r="AB27" i="14"/>
  <c r="X27" i="14"/>
  <c r="T27" i="14"/>
  <c r="P27" i="14"/>
  <c r="L27" i="14"/>
  <c r="H27" i="14"/>
  <c r="AI27" i="14"/>
  <c r="AE27" i="14"/>
  <c r="AA27" i="14"/>
  <c r="W27" i="14"/>
  <c r="S27" i="14"/>
  <c r="O27" i="14"/>
  <c r="K27" i="14"/>
  <c r="G27" i="14"/>
  <c r="AH27" i="14"/>
  <c r="AD27" i="14"/>
  <c r="Z27" i="14"/>
  <c r="V27" i="14"/>
  <c r="R27" i="14"/>
  <c r="N27" i="14"/>
  <c r="J27" i="14"/>
  <c r="F27" i="14"/>
  <c r="H11" i="14"/>
  <c r="L11" i="14"/>
  <c r="P11" i="14"/>
  <c r="T11" i="14"/>
  <c r="X11" i="14"/>
  <c r="AB11" i="14"/>
  <c r="AF11" i="14"/>
  <c r="AJ11" i="14"/>
  <c r="F14" i="14"/>
  <c r="J14" i="14"/>
  <c r="N14" i="14"/>
  <c r="R14" i="14"/>
  <c r="V14" i="14"/>
  <c r="Z14" i="14"/>
  <c r="AD14" i="14"/>
  <c r="AH14" i="14"/>
  <c r="H16" i="14"/>
  <c r="N16" i="14"/>
  <c r="S16" i="14"/>
  <c r="X16" i="14"/>
  <c r="AD16" i="14"/>
  <c r="AI16" i="14"/>
  <c r="I17" i="14"/>
  <c r="O17" i="14"/>
  <c r="U17" i="14"/>
  <c r="AC17" i="14"/>
  <c r="F18" i="14"/>
  <c r="N18" i="14"/>
  <c r="V18" i="14"/>
  <c r="AD18" i="14"/>
  <c r="G19" i="14"/>
  <c r="O19" i="14"/>
  <c r="W19" i="14"/>
  <c r="AE19" i="14"/>
  <c r="E8" i="14"/>
  <c r="I11" i="14"/>
  <c r="M11" i="14"/>
  <c r="Q11" i="14"/>
  <c r="U11" i="14"/>
  <c r="Y11" i="14"/>
  <c r="AC11" i="14"/>
  <c r="AG11" i="14"/>
  <c r="G14" i="14"/>
  <c r="K14" i="14"/>
  <c r="O14" i="14"/>
  <c r="S14" i="14"/>
  <c r="W14" i="14"/>
  <c r="AA14" i="14"/>
  <c r="AE14" i="14"/>
  <c r="AI14" i="14"/>
  <c r="J16" i="14"/>
  <c r="O16" i="14"/>
  <c r="T16" i="14"/>
  <c r="Z16" i="14"/>
  <c r="AE16" i="14"/>
  <c r="K17" i="14"/>
  <c r="P17" i="14"/>
  <c r="W17" i="14"/>
  <c r="H18" i="14"/>
  <c r="P18" i="14"/>
  <c r="X18" i="14"/>
  <c r="AF18" i="14"/>
  <c r="I19" i="14"/>
  <c r="Q19" i="14"/>
  <c r="Y19" i="14"/>
  <c r="AG19" i="14"/>
  <c r="AG37" i="15"/>
  <c r="AD37" i="15"/>
  <c r="AA37" i="15"/>
  <c r="X37" i="15"/>
  <c r="U37" i="15"/>
  <c r="R37" i="15"/>
  <c r="O37" i="15"/>
  <c r="L37" i="15"/>
  <c r="I37" i="15"/>
  <c r="AF37" i="15"/>
  <c r="AC37" i="15"/>
  <c r="Z37" i="15"/>
  <c r="W37" i="15"/>
  <c r="T37" i="15"/>
  <c r="Q37" i="15"/>
  <c r="N37" i="15"/>
  <c r="K37" i="15"/>
  <c r="H37" i="15"/>
  <c r="AE37" i="15"/>
  <c r="AB37" i="15"/>
  <c r="Y37" i="15"/>
  <c r="V37" i="15"/>
  <c r="S37" i="15"/>
  <c r="P37" i="15"/>
  <c r="M37" i="15"/>
  <c r="J37" i="15"/>
  <c r="AJ35" i="14"/>
  <c r="AF35" i="14"/>
  <c r="AB35" i="14"/>
  <c r="X35" i="14"/>
  <c r="T35" i="14"/>
  <c r="P35" i="14"/>
  <c r="L35" i="14"/>
  <c r="H35" i="14"/>
  <c r="AI35" i="14"/>
  <c r="AE35" i="14"/>
  <c r="AA35" i="14"/>
  <c r="W35" i="14"/>
  <c r="S35" i="14"/>
  <c r="O35" i="14"/>
  <c r="K35" i="14"/>
  <c r="G35" i="14"/>
  <c r="AH35" i="14"/>
  <c r="AD35" i="14"/>
  <c r="Z35" i="14"/>
  <c r="V35" i="14"/>
  <c r="R35" i="14"/>
  <c r="N35" i="14"/>
  <c r="J35" i="14"/>
  <c r="F35" i="14"/>
  <c r="AG35" i="14"/>
  <c r="AC35" i="14"/>
  <c r="Y35" i="14"/>
  <c r="U35" i="14"/>
  <c r="Q35" i="14"/>
  <c r="M35" i="14"/>
  <c r="I35" i="14"/>
  <c r="AJ26" i="14"/>
  <c r="AF26" i="14"/>
  <c r="AB26" i="14"/>
  <c r="X26" i="14"/>
  <c r="T26" i="14"/>
  <c r="P26" i="14"/>
  <c r="L26" i="14"/>
  <c r="H26" i="14"/>
  <c r="AI26" i="14"/>
  <c r="AE26" i="14"/>
  <c r="AA26" i="14"/>
  <c r="W26" i="14"/>
  <c r="S26" i="14"/>
  <c r="O26" i="14"/>
  <c r="K26" i="14"/>
  <c r="G26" i="14"/>
  <c r="AH26" i="14"/>
  <c r="AD26" i="14"/>
  <c r="Z26" i="14"/>
  <c r="V26" i="14"/>
  <c r="R26" i="14"/>
  <c r="N26" i="14"/>
  <c r="J26" i="14"/>
  <c r="F26" i="14"/>
  <c r="AG26" i="14"/>
  <c r="AC26" i="14"/>
  <c r="Y26" i="14"/>
  <c r="U26" i="14"/>
  <c r="Q26" i="14"/>
  <c r="M26" i="14"/>
  <c r="I26" i="14"/>
  <c r="AF38" i="15"/>
  <c r="AC38" i="15"/>
  <c r="Z38" i="15"/>
  <c r="W38" i="15"/>
  <c r="T38" i="15"/>
  <c r="Q38" i="15"/>
  <c r="N38" i="15"/>
  <c r="K38" i="15"/>
  <c r="H38" i="15"/>
  <c r="AE38" i="15"/>
  <c r="AB38" i="15"/>
  <c r="Y38" i="15"/>
  <c r="V38" i="15"/>
  <c r="S38" i="15"/>
  <c r="P38" i="15"/>
  <c r="M38" i="15"/>
  <c r="J38" i="15"/>
  <c r="AG38" i="15"/>
  <c r="AD38" i="15"/>
  <c r="AA38" i="15"/>
  <c r="X38" i="15"/>
  <c r="U38" i="15"/>
  <c r="R38" i="15"/>
  <c r="O38" i="15"/>
  <c r="L38" i="15"/>
  <c r="I38" i="15"/>
  <c r="AG36" i="14"/>
  <c r="AC36" i="14"/>
  <c r="Y36" i="14"/>
  <c r="U36" i="14"/>
  <c r="Q36" i="14"/>
  <c r="M36" i="14"/>
  <c r="I36" i="14"/>
  <c r="AJ36" i="14"/>
  <c r="AF36" i="14"/>
  <c r="AB36" i="14"/>
  <c r="X36" i="14"/>
  <c r="T36" i="14"/>
  <c r="P36" i="14"/>
  <c r="L36" i="14"/>
  <c r="H36" i="14"/>
  <c r="AI36" i="14"/>
  <c r="AE36" i="14"/>
  <c r="AA36" i="14"/>
  <c r="W36" i="14"/>
  <c r="S36" i="14"/>
  <c r="O36" i="14"/>
  <c r="K36" i="14"/>
  <c r="G36" i="14"/>
  <c r="AH36" i="14"/>
  <c r="AD36" i="14"/>
  <c r="Z36" i="14"/>
  <c r="V36" i="14"/>
  <c r="R36" i="14"/>
  <c r="N36" i="14"/>
  <c r="J36" i="14"/>
  <c r="F36" i="14"/>
  <c r="AJ41" i="10"/>
  <c r="AF41" i="10"/>
  <c r="AB41" i="10"/>
  <c r="X41" i="10"/>
  <c r="T41" i="10"/>
  <c r="P41" i="10"/>
  <c r="L41" i="10"/>
  <c r="H41" i="10"/>
  <c r="AF16" i="15"/>
  <c r="AC16" i="15"/>
  <c r="Z16" i="15"/>
  <c r="W16" i="15"/>
  <c r="T16" i="15"/>
  <c r="Q16" i="15"/>
  <c r="N16" i="15"/>
  <c r="K16" i="15"/>
  <c r="H16" i="15"/>
  <c r="AE16" i="15"/>
  <c r="AB16" i="15"/>
  <c r="Y16" i="15"/>
  <c r="V16" i="15"/>
  <c r="S16" i="15"/>
  <c r="P16" i="15"/>
  <c r="M16" i="15"/>
  <c r="J16" i="15"/>
  <c r="AG16" i="15"/>
  <c r="AD16" i="15"/>
  <c r="AA16" i="15"/>
  <c r="X16" i="15"/>
  <c r="U16" i="15"/>
  <c r="R16" i="15"/>
  <c r="O16" i="15"/>
  <c r="L16" i="15"/>
  <c r="I16" i="15"/>
  <c r="AH17" i="14"/>
  <c r="AD17" i="14"/>
  <c r="Z17" i="14"/>
  <c r="V17" i="14"/>
  <c r="R17" i="14"/>
  <c r="N17" i="14"/>
  <c r="J17" i="14"/>
  <c r="F17" i="14"/>
  <c r="AJ17" i="14"/>
  <c r="AF17" i="14"/>
  <c r="AB17" i="14"/>
  <c r="X17" i="14"/>
  <c r="T17" i="14"/>
  <c r="AI41" i="10"/>
  <c r="AE41" i="10"/>
  <c r="AA41" i="10"/>
  <c r="W41" i="10"/>
  <c r="S41" i="10"/>
  <c r="O41" i="10"/>
  <c r="K41" i="10"/>
  <c r="G41" i="10"/>
  <c r="AE15" i="15"/>
  <c r="AB15" i="15"/>
  <c r="Y15" i="15"/>
  <c r="V15" i="15"/>
  <c r="S15" i="15"/>
  <c r="P15" i="15"/>
  <c r="M15" i="15"/>
  <c r="J15" i="15"/>
  <c r="G3" i="15"/>
  <c r="G4" i="15" s="1"/>
  <c r="AG15" i="15"/>
  <c r="AD15" i="15"/>
  <c r="AA15" i="15"/>
  <c r="X15" i="15"/>
  <c r="U15" i="15"/>
  <c r="R15" i="15"/>
  <c r="O15" i="15"/>
  <c r="L15" i="15"/>
  <c r="I15" i="15"/>
  <c r="AF15" i="15"/>
  <c r="AC15" i="15"/>
  <c r="Z15" i="15"/>
  <c r="W15" i="15"/>
  <c r="T15" i="15"/>
  <c r="Q15" i="15"/>
  <c r="N15" i="15"/>
  <c r="K15" i="15"/>
  <c r="H15" i="15"/>
  <c r="AG16" i="14"/>
  <c r="AC16" i="14"/>
  <c r="Y16" i="14"/>
  <c r="U16" i="14"/>
  <c r="Q16" i="14"/>
  <c r="M16" i="14"/>
  <c r="I16" i="14"/>
  <c r="F11" i="14"/>
  <c r="J11" i="14"/>
  <c r="N11" i="14"/>
  <c r="R11" i="14"/>
  <c r="V11" i="14"/>
  <c r="Z11" i="14"/>
  <c r="AD11" i="14"/>
  <c r="AH11" i="14"/>
  <c r="H14" i="14"/>
  <c r="L14" i="14"/>
  <c r="P14" i="14"/>
  <c r="T14" i="14"/>
  <c r="X14" i="14"/>
  <c r="AB14" i="14"/>
  <c r="AF14" i="14"/>
  <c r="AJ14" i="14"/>
  <c r="F16" i="14"/>
  <c r="K16" i="14"/>
  <c r="P16" i="14"/>
  <c r="V16" i="14"/>
  <c r="AA16" i="14"/>
  <c r="AF16" i="14"/>
  <c r="G17" i="14"/>
  <c r="L17" i="14"/>
  <c r="Q17" i="14"/>
  <c r="Y17" i="14"/>
  <c r="AG17" i="14"/>
  <c r="J18" i="14"/>
  <c r="R18" i="14"/>
  <c r="Z18" i="14"/>
  <c r="AH18" i="14"/>
  <c r="K19" i="14"/>
  <c r="S19" i="14"/>
  <c r="AA19" i="14"/>
  <c r="AI19" i="14"/>
  <c r="E8" i="15"/>
  <c r="E12" i="15"/>
  <c r="E23" i="15"/>
  <c r="E20" i="15"/>
  <c r="E30" i="15"/>
  <c r="E33" i="15"/>
  <c r="E39" i="15"/>
  <c r="E12" i="14"/>
  <c r="E29" i="14"/>
  <c r="E40" i="14"/>
  <c r="E10" i="14"/>
  <c r="E15" i="14"/>
  <c r="E20" i="14"/>
  <c r="E24" i="14"/>
  <c r="E31" i="14"/>
  <c r="E23" i="14"/>
  <c r="E21" i="14"/>
  <c r="E28" i="14"/>
  <c r="E34" i="14"/>
  <c r="E37" i="14"/>
  <c r="H26" i="10"/>
  <c r="I34" i="10"/>
  <c r="F26" i="10"/>
  <c r="AH26" i="10"/>
  <c r="AE26" i="10"/>
  <c r="AB26" i="10"/>
  <c r="Y26" i="10"/>
  <c r="V26" i="10"/>
  <c r="S26" i="10"/>
  <c r="P26" i="10"/>
  <c r="M26" i="10"/>
  <c r="J26" i="10"/>
  <c r="G26" i="10"/>
  <c r="AJ26" i="10"/>
  <c r="AG26" i="10"/>
  <c r="AD26" i="10"/>
  <c r="AA26" i="10"/>
  <c r="X26" i="10"/>
  <c r="U26" i="10"/>
  <c r="R26" i="10"/>
  <c r="O26" i="10"/>
  <c r="L26" i="10"/>
  <c r="I26" i="10"/>
  <c r="AI26" i="10"/>
  <c r="AF26" i="10"/>
  <c r="AC26" i="10"/>
  <c r="Z26" i="10"/>
  <c r="W26" i="10"/>
  <c r="T26" i="10"/>
  <c r="Q26" i="10"/>
  <c r="N26" i="10"/>
  <c r="K26" i="10"/>
  <c r="I35" i="10"/>
  <c r="F18" i="10"/>
  <c r="F38" i="10"/>
  <c r="I37" i="10"/>
  <c r="I38" i="10"/>
  <c r="H30" i="10"/>
  <c r="K30" i="10"/>
  <c r="N30" i="10"/>
  <c r="Q30" i="10"/>
  <c r="T30" i="10"/>
  <c r="G16" i="10"/>
  <c r="J16" i="10"/>
  <c r="M16" i="10"/>
  <c r="P16" i="10"/>
  <c r="S16" i="10"/>
  <c r="V16" i="10"/>
  <c r="Y16" i="10"/>
  <c r="AB16" i="10"/>
  <c r="AE16" i="10"/>
  <c r="AH16" i="10"/>
  <c r="H16" i="10"/>
  <c r="K16" i="10"/>
  <c r="N16" i="10"/>
  <c r="Q16" i="10"/>
  <c r="T16" i="10"/>
  <c r="W16" i="10"/>
  <c r="Z16" i="10"/>
  <c r="AC16" i="10"/>
  <c r="AF16" i="10"/>
  <c r="AI16" i="10"/>
  <c r="I16" i="10"/>
  <c r="L16" i="10"/>
  <c r="O16" i="10"/>
  <c r="R16" i="10"/>
  <c r="U16" i="10"/>
  <c r="X16" i="10"/>
  <c r="AA16" i="10"/>
  <c r="AD16" i="10"/>
  <c r="AG16" i="10"/>
  <c r="AJ16" i="10"/>
  <c r="G25" i="10"/>
  <c r="J25" i="10"/>
  <c r="M25" i="10"/>
  <c r="P25" i="10"/>
  <c r="S25" i="10"/>
  <c r="V25" i="10"/>
  <c r="Y25" i="10"/>
  <c r="AB25" i="10"/>
  <c r="AE25" i="10"/>
  <c r="AH25" i="10"/>
  <c r="H25" i="10"/>
  <c r="K25" i="10"/>
  <c r="N25" i="10"/>
  <c r="Q25" i="10"/>
  <c r="T25" i="10"/>
  <c r="W25" i="10"/>
  <c r="Z25" i="10"/>
  <c r="AC25" i="10"/>
  <c r="AF25" i="10"/>
  <c r="AI25" i="10"/>
  <c r="I25" i="10"/>
  <c r="L25" i="10"/>
  <c r="O25" i="10"/>
  <c r="R25" i="10"/>
  <c r="U25" i="10"/>
  <c r="X25" i="10"/>
  <c r="AA25" i="10"/>
  <c r="AD25" i="10"/>
  <c r="AG25" i="10"/>
  <c r="AJ25" i="10"/>
  <c r="G21" i="10"/>
  <c r="J21" i="10"/>
  <c r="M21" i="10"/>
  <c r="P21" i="10"/>
  <c r="S21" i="10"/>
  <c r="V21" i="10"/>
  <c r="Y21" i="10"/>
  <c r="AB21" i="10"/>
  <c r="AE21" i="10"/>
  <c r="AH21" i="10"/>
  <c r="H21" i="10"/>
  <c r="K21" i="10"/>
  <c r="N21" i="10"/>
  <c r="Q21" i="10"/>
  <c r="T21" i="10"/>
  <c r="W21" i="10"/>
  <c r="Z21" i="10"/>
  <c r="AC21" i="10"/>
  <c r="AF21" i="10"/>
  <c r="AI21" i="10"/>
  <c r="I21" i="10"/>
  <c r="L21" i="10"/>
  <c r="O21" i="10"/>
  <c r="R21" i="10"/>
  <c r="U21" i="10"/>
  <c r="X21" i="10"/>
  <c r="AA21" i="10"/>
  <c r="AD21" i="10"/>
  <c r="AG21" i="10"/>
  <c r="AJ21" i="10"/>
  <c r="G13" i="10"/>
  <c r="J13" i="10"/>
  <c r="M13" i="10"/>
  <c r="P13" i="10"/>
  <c r="S13" i="10"/>
  <c r="V13" i="10"/>
  <c r="Y13" i="10"/>
  <c r="AB13" i="10"/>
  <c r="AE13" i="10"/>
  <c r="AH13" i="10"/>
  <c r="H13" i="10"/>
  <c r="K13" i="10"/>
  <c r="N13" i="10"/>
  <c r="Q13" i="10"/>
  <c r="T13" i="10"/>
  <c r="W13" i="10"/>
  <c r="Z13" i="10"/>
  <c r="AC13" i="10"/>
  <c r="AF13" i="10"/>
  <c r="AI13" i="10"/>
  <c r="I13" i="10"/>
  <c r="L13" i="10"/>
  <c r="O13" i="10"/>
  <c r="R13" i="10"/>
  <c r="U13" i="10"/>
  <c r="X13" i="10"/>
  <c r="AA13" i="10"/>
  <c r="AD13" i="10"/>
  <c r="AG13" i="10"/>
  <c r="AJ13" i="10"/>
  <c r="F37" i="10"/>
  <c r="F34" i="10"/>
  <c r="F25" i="10"/>
  <c r="F16" i="10"/>
  <c r="F13" i="10"/>
  <c r="AI38" i="10"/>
  <c r="AF38" i="10"/>
  <c r="AC38" i="10"/>
  <c r="Z38" i="10"/>
  <c r="W38" i="10"/>
  <c r="T38" i="10"/>
  <c r="Q38" i="10"/>
  <c r="N38" i="10"/>
  <c r="K38" i="10"/>
  <c r="H38" i="10"/>
  <c r="AI37" i="10"/>
  <c r="AF37" i="10"/>
  <c r="AC37" i="10"/>
  <c r="Z37" i="10"/>
  <c r="W37" i="10"/>
  <c r="T37" i="10"/>
  <c r="Q37" i="10"/>
  <c r="N37" i="10"/>
  <c r="K37" i="10"/>
  <c r="H37" i="10"/>
  <c r="AI35" i="10"/>
  <c r="AF35" i="10"/>
  <c r="AC35" i="10"/>
  <c r="Z35" i="10"/>
  <c r="W35" i="10"/>
  <c r="T35" i="10"/>
  <c r="Q35" i="10"/>
  <c r="N35" i="10"/>
  <c r="K35" i="10"/>
  <c r="H35" i="10"/>
  <c r="AI34" i="10"/>
  <c r="AF34" i="10"/>
  <c r="AC34" i="10"/>
  <c r="Z34" i="10"/>
  <c r="W34" i="10"/>
  <c r="T34" i="10"/>
  <c r="Q34" i="10"/>
  <c r="N34" i="10"/>
  <c r="K34" i="10"/>
  <c r="H34" i="10"/>
  <c r="AI30" i="10"/>
  <c r="AF30" i="10"/>
  <c r="AC30" i="10"/>
  <c r="Z30" i="10"/>
  <c r="W30" i="10"/>
  <c r="S30" i="10"/>
  <c r="O30" i="10"/>
  <c r="J30" i="10"/>
  <c r="F35" i="10"/>
  <c r="G15" i="10"/>
  <c r="J15" i="10"/>
  <c r="M15" i="10"/>
  <c r="P15" i="10"/>
  <c r="S15" i="10"/>
  <c r="V15" i="10"/>
  <c r="Y15" i="10"/>
  <c r="AB15" i="10"/>
  <c r="AE15" i="10"/>
  <c r="AH15" i="10"/>
  <c r="H15" i="10"/>
  <c r="K15" i="10"/>
  <c r="N15" i="10"/>
  <c r="Q15" i="10"/>
  <c r="T15" i="10"/>
  <c r="W15" i="10"/>
  <c r="Z15" i="10"/>
  <c r="AC15" i="10"/>
  <c r="AF15" i="10"/>
  <c r="AI15" i="10"/>
  <c r="I15" i="10"/>
  <c r="L15" i="10"/>
  <c r="O15" i="10"/>
  <c r="R15" i="10"/>
  <c r="U15" i="10"/>
  <c r="X15" i="10"/>
  <c r="AA15" i="10"/>
  <c r="AD15" i="10"/>
  <c r="AG15" i="10"/>
  <c r="AJ15" i="10"/>
  <c r="F30" i="10"/>
  <c r="F21" i="10"/>
  <c r="F15" i="10"/>
  <c r="AH38" i="10"/>
  <c r="AE38" i="10"/>
  <c r="AB38" i="10"/>
  <c r="Y38" i="10"/>
  <c r="V38" i="10"/>
  <c r="S38" i="10"/>
  <c r="P38" i="10"/>
  <c r="M38" i="10"/>
  <c r="J38" i="10"/>
  <c r="G38" i="10"/>
  <c r="AH37" i="10"/>
  <c r="AE37" i="10"/>
  <c r="AB37" i="10"/>
  <c r="Y37" i="10"/>
  <c r="V37" i="10"/>
  <c r="S37" i="10"/>
  <c r="P37" i="10"/>
  <c r="M37" i="10"/>
  <c r="J37" i="10"/>
  <c r="G37" i="10"/>
  <c r="AH35" i="10"/>
  <c r="AE35" i="10"/>
  <c r="AB35" i="10"/>
  <c r="Y35" i="10"/>
  <c r="V35" i="10"/>
  <c r="S35" i="10"/>
  <c r="P35" i="10"/>
  <c r="M35" i="10"/>
  <c r="J35" i="10"/>
  <c r="G35" i="10"/>
  <c r="AH34" i="10"/>
  <c r="AE34" i="10"/>
  <c r="AB34" i="10"/>
  <c r="Y34" i="10"/>
  <c r="V34" i="10"/>
  <c r="S34" i="10"/>
  <c r="P34" i="10"/>
  <c r="M34" i="10"/>
  <c r="J34" i="10"/>
  <c r="G34" i="10"/>
  <c r="AH30" i="10"/>
  <c r="AE30" i="10"/>
  <c r="AB30" i="10"/>
  <c r="Y30" i="10"/>
  <c r="V30" i="10"/>
  <c r="R30" i="10"/>
  <c r="M30" i="10"/>
  <c r="I30" i="10"/>
  <c r="G17" i="10"/>
  <c r="J17" i="10"/>
  <c r="M17" i="10"/>
  <c r="P17" i="10"/>
  <c r="S17" i="10"/>
  <c r="V17" i="10"/>
  <c r="Y17" i="10"/>
  <c r="AB17" i="10"/>
  <c r="AE17" i="10"/>
  <c r="AH17" i="10"/>
  <c r="H17" i="10"/>
  <c r="K17" i="10"/>
  <c r="N17" i="10"/>
  <c r="Q17" i="10"/>
  <c r="T17" i="10"/>
  <c r="W17" i="10"/>
  <c r="Z17" i="10"/>
  <c r="AC17" i="10"/>
  <c r="AF17" i="10"/>
  <c r="AI17" i="10"/>
  <c r="I17" i="10"/>
  <c r="L17" i="10"/>
  <c r="O17" i="10"/>
  <c r="R17" i="10"/>
  <c r="U17" i="10"/>
  <c r="X17" i="10"/>
  <c r="AA17" i="10"/>
  <c r="AD17" i="10"/>
  <c r="AG17" i="10"/>
  <c r="AJ17" i="10"/>
  <c r="G18" i="10"/>
  <c r="J18" i="10"/>
  <c r="M18" i="10"/>
  <c r="P18" i="10"/>
  <c r="S18" i="10"/>
  <c r="V18" i="10"/>
  <c r="Y18" i="10"/>
  <c r="AB18" i="10"/>
  <c r="AE18" i="10"/>
  <c r="AH18" i="10"/>
  <c r="H18" i="10"/>
  <c r="K18" i="10"/>
  <c r="N18" i="10"/>
  <c r="Q18" i="10"/>
  <c r="T18" i="10"/>
  <c r="W18" i="10"/>
  <c r="Z18" i="10"/>
  <c r="AC18" i="10"/>
  <c r="AF18" i="10"/>
  <c r="AI18" i="10"/>
  <c r="I18" i="10"/>
  <c r="L18" i="10"/>
  <c r="O18" i="10"/>
  <c r="R18" i="10"/>
  <c r="U18" i="10"/>
  <c r="X18" i="10"/>
  <c r="AA18" i="10"/>
  <c r="AD18" i="10"/>
  <c r="AG18" i="10"/>
  <c r="AJ18" i="10"/>
  <c r="G11" i="10"/>
  <c r="J11" i="10"/>
  <c r="M11" i="10"/>
  <c r="P11" i="10"/>
  <c r="S11" i="10"/>
  <c r="V11" i="10"/>
  <c r="Y11" i="10"/>
  <c r="AB11" i="10"/>
  <c r="AE11" i="10"/>
  <c r="AH11" i="10"/>
  <c r="H11" i="10"/>
  <c r="K11" i="10"/>
  <c r="N11" i="10"/>
  <c r="Q11" i="10"/>
  <c r="T11" i="10"/>
  <c r="W11" i="10"/>
  <c r="Z11" i="10"/>
  <c r="AC11" i="10"/>
  <c r="AF11" i="10"/>
  <c r="AI11" i="10"/>
  <c r="I11" i="10"/>
  <c r="L11" i="10"/>
  <c r="O11" i="10"/>
  <c r="R11" i="10"/>
  <c r="U11" i="10"/>
  <c r="X11" i="10"/>
  <c r="AA11" i="10"/>
  <c r="AD11" i="10"/>
  <c r="AG11" i="10"/>
  <c r="AJ11" i="10"/>
  <c r="F17" i="10"/>
  <c r="F11" i="10"/>
  <c r="AJ38" i="10"/>
  <c r="AG38" i="10"/>
  <c r="AD38" i="10"/>
  <c r="AA38" i="10"/>
  <c r="X38" i="10"/>
  <c r="U38" i="10"/>
  <c r="R38" i="10"/>
  <c r="O38" i="10"/>
  <c r="L38" i="10"/>
  <c r="AJ37" i="10"/>
  <c r="AG37" i="10"/>
  <c r="AD37" i="10"/>
  <c r="AA37" i="10"/>
  <c r="X37" i="10"/>
  <c r="U37" i="10"/>
  <c r="R37" i="10"/>
  <c r="O37" i="10"/>
  <c r="L37" i="10"/>
  <c r="AJ35" i="10"/>
  <c r="AG35" i="10"/>
  <c r="AD35" i="10"/>
  <c r="AA35" i="10"/>
  <c r="X35" i="10"/>
  <c r="U35" i="10"/>
  <c r="R35" i="10"/>
  <c r="O35" i="10"/>
  <c r="L35" i="10"/>
  <c r="AJ34" i="10"/>
  <c r="AG34" i="10"/>
  <c r="AD34" i="10"/>
  <c r="AA34" i="10"/>
  <c r="X34" i="10"/>
  <c r="U34" i="10"/>
  <c r="R34" i="10"/>
  <c r="O34" i="10"/>
  <c r="L34" i="10"/>
  <c r="AJ30" i="10"/>
  <c r="AG30" i="10"/>
  <c r="AD30" i="10"/>
  <c r="AA30" i="10"/>
  <c r="X30" i="10"/>
  <c r="U30" i="10"/>
  <c r="P30" i="10"/>
  <c r="L30" i="10"/>
  <c r="G30" i="10"/>
  <c r="E40" i="10"/>
  <c r="E39" i="10"/>
  <c r="E42" i="10"/>
  <c r="E8" i="10"/>
  <c r="V3" i="20" l="1"/>
  <c r="V4" i="20" s="1"/>
  <c r="K3" i="19"/>
  <c r="K4" i="19" s="1"/>
  <c r="R3" i="19"/>
  <c r="R4" i="19" s="1"/>
  <c r="Y3" i="20"/>
  <c r="Y4" i="20" s="1"/>
  <c r="E25" i="15"/>
  <c r="E9" i="14"/>
  <c r="E25" i="16"/>
  <c r="E26" i="25"/>
  <c r="E41" i="10"/>
  <c r="E42" i="14"/>
  <c r="J3" i="20"/>
  <c r="J4" i="20" s="1"/>
  <c r="I20" i="7"/>
  <c r="K20" i="7" s="1"/>
  <c r="L20" i="7" s="1"/>
  <c r="E25" i="17"/>
  <c r="E25" i="14"/>
  <c r="N21" i="7" s="1"/>
  <c r="E30" i="14"/>
  <c r="E39" i="14"/>
  <c r="I22" i="7"/>
  <c r="K22" i="7" s="1"/>
  <c r="L22" i="7" s="1"/>
  <c r="E25" i="18"/>
  <c r="E25" i="21"/>
  <c r="U21" i="7" s="1"/>
  <c r="E27" i="14"/>
  <c r="N24" i="7" s="1"/>
  <c r="E25" i="20"/>
  <c r="E25" i="23"/>
  <c r="E25" i="22"/>
  <c r="V21" i="7" s="1"/>
  <c r="E25" i="24"/>
  <c r="O3" i="25"/>
  <c r="O4" i="25" s="1"/>
  <c r="E44" i="25"/>
  <c r="Y39" i="7" s="1"/>
  <c r="E35" i="25"/>
  <c r="Y30" i="7" s="1"/>
  <c r="U3" i="25"/>
  <c r="U4" i="25" s="1"/>
  <c r="E33" i="25"/>
  <c r="X23" i="7"/>
  <c r="X25" i="7"/>
  <c r="I25" i="7" s="1"/>
  <c r="K25" i="7" s="1"/>
  <c r="L25" i="7" s="1"/>
  <c r="J3" i="24"/>
  <c r="J4" i="24" s="1"/>
  <c r="L3" i="24"/>
  <c r="L4" i="24" s="1"/>
  <c r="U3" i="24"/>
  <c r="U4" i="24" s="1"/>
  <c r="AD3" i="24"/>
  <c r="AD4" i="24" s="1"/>
  <c r="S3" i="24"/>
  <c r="S4" i="24" s="1"/>
  <c r="I3" i="24"/>
  <c r="I4" i="24" s="1"/>
  <c r="R3" i="24"/>
  <c r="R4" i="24" s="1"/>
  <c r="AA3" i="24"/>
  <c r="AA4" i="24" s="1"/>
  <c r="G3" i="24"/>
  <c r="G4" i="24" s="1"/>
  <c r="K3" i="23"/>
  <c r="K4" i="23" s="1"/>
  <c r="W3" i="23"/>
  <c r="W4" i="23" s="1"/>
  <c r="P3" i="23"/>
  <c r="P4" i="23" s="1"/>
  <c r="AB3" i="23"/>
  <c r="AB4" i="23" s="1"/>
  <c r="AC3" i="23"/>
  <c r="AC4" i="23" s="1"/>
  <c r="J3" i="23"/>
  <c r="J4" i="23" s="1"/>
  <c r="H3" i="23"/>
  <c r="H4" i="23" s="1"/>
  <c r="T3" i="23"/>
  <c r="T4" i="23" s="1"/>
  <c r="E32" i="23"/>
  <c r="M3" i="23"/>
  <c r="M4" i="23" s="1"/>
  <c r="Y3" i="23"/>
  <c r="Y4" i="23" s="1"/>
  <c r="AI3" i="22"/>
  <c r="AI4" i="22" s="1"/>
  <c r="K3" i="22"/>
  <c r="K4" i="22" s="1"/>
  <c r="V3" i="22"/>
  <c r="V4" i="22" s="1"/>
  <c r="N3" i="22"/>
  <c r="N4" i="22" s="1"/>
  <c r="AD3" i="22"/>
  <c r="AD4" i="22" s="1"/>
  <c r="AA3" i="22"/>
  <c r="AA4" i="22" s="1"/>
  <c r="AB3" i="22"/>
  <c r="AB4" i="22" s="1"/>
  <c r="I3" i="21"/>
  <c r="I4" i="21" s="1"/>
  <c r="AA3" i="21"/>
  <c r="AA4" i="21" s="1"/>
  <c r="F3" i="21"/>
  <c r="F4" i="21" s="1"/>
  <c r="X3" i="21"/>
  <c r="X4" i="21" s="1"/>
  <c r="V3" i="21"/>
  <c r="V4" i="21" s="1"/>
  <c r="AE3" i="21"/>
  <c r="AE4" i="21" s="1"/>
  <c r="F3" i="20"/>
  <c r="F4" i="20" s="1"/>
  <c r="X3" i="20"/>
  <c r="X4" i="20" s="1"/>
  <c r="T3" i="20"/>
  <c r="T4" i="20" s="1"/>
  <c r="I3" i="20"/>
  <c r="I4" i="20" s="1"/>
  <c r="T3" i="19"/>
  <c r="T4" i="19" s="1"/>
  <c r="E32" i="19"/>
  <c r="AJ3" i="18"/>
  <c r="AJ4" i="18" s="1"/>
  <c r="G3" i="18"/>
  <c r="G4" i="18" s="1"/>
  <c r="Q21" i="7"/>
  <c r="K3" i="17"/>
  <c r="K4" i="17" s="1"/>
  <c r="F3" i="17"/>
  <c r="F4" i="17" s="1"/>
  <c r="X3" i="17"/>
  <c r="X4" i="17" s="1"/>
  <c r="AF3" i="17"/>
  <c r="AF4" i="17" s="1"/>
  <c r="I3" i="17"/>
  <c r="I4" i="17" s="1"/>
  <c r="AA3" i="17"/>
  <c r="AA4" i="17" s="1"/>
  <c r="AC3" i="17"/>
  <c r="AC4" i="17" s="1"/>
  <c r="AA3" i="16"/>
  <c r="AA4" i="16" s="1"/>
  <c r="L3" i="16"/>
  <c r="L4" i="16" s="1"/>
  <c r="F3" i="15"/>
  <c r="F4" i="15" s="1"/>
  <c r="E36" i="15"/>
  <c r="O32" i="7" s="1"/>
  <c r="E9" i="15"/>
  <c r="AG3" i="14"/>
  <c r="AG4" i="14" s="1"/>
  <c r="AG3" i="16"/>
  <c r="AG4" i="16" s="1"/>
  <c r="AJ3" i="16"/>
  <c r="AJ4" i="16" s="1"/>
  <c r="J3" i="17"/>
  <c r="J4" i="17" s="1"/>
  <c r="W3" i="17"/>
  <c r="W4" i="17" s="1"/>
  <c r="Y3" i="18"/>
  <c r="Y4" i="18" s="1"/>
  <c r="L3" i="17"/>
  <c r="L4" i="17" s="1"/>
  <c r="AD3" i="17"/>
  <c r="AD4" i="17" s="1"/>
  <c r="T3" i="18"/>
  <c r="T4" i="18" s="1"/>
  <c r="G3" i="17"/>
  <c r="G4" i="17" s="1"/>
  <c r="O3" i="18"/>
  <c r="O4" i="18" s="1"/>
  <c r="AG3" i="18"/>
  <c r="AG4" i="18" s="1"/>
  <c r="J3" i="18"/>
  <c r="J4" i="18" s="1"/>
  <c r="AB3" i="18"/>
  <c r="AB4" i="18" s="1"/>
  <c r="O3" i="17"/>
  <c r="O4" i="17" s="1"/>
  <c r="AG3" i="17"/>
  <c r="AG4" i="17" s="1"/>
  <c r="H3" i="19"/>
  <c r="H4" i="19" s="1"/>
  <c r="Z3" i="19"/>
  <c r="Z4" i="19" s="1"/>
  <c r="F3" i="19"/>
  <c r="F4" i="19" s="1"/>
  <c r="X3" i="19"/>
  <c r="X4" i="19" s="1"/>
  <c r="S3" i="19"/>
  <c r="S4" i="19" s="1"/>
  <c r="O3" i="21"/>
  <c r="O4" i="21" s="1"/>
  <c r="I3" i="22"/>
  <c r="I4" i="22" s="1"/>
  <c r="Y3" i="22"/>
  <c r="Y4" i="22" s="1"/>
  <c r="H3" i="22"/>
  <c r="H4" i="22" s="1"/>
  <c r="W3" i="22"/>
  <c r="W4" i="22" s="1"/>
  <c r="R3" i="25"/>
  <c r="R4" i="25" s="1"/>
  <c r="J3" i="16"/>
  <c r="J4" i="16" s="1"/>
  <c r="V3" i="17"/>
  <c r="V4" i="17" s="1"/>
  <c r="F3" i="18"/>
  <c r="F4" i="18" s="1"/>
  <c r="X3" i="18"/>
  <c r="X4" i="18" s="1"/>
  <c r="Q3" i="17"/>
  <c r="Q4" i="17" s="1"/>
  <c r="AI3" i="17"/>
  <c r="AI4" i="17" s="1"/>
  <c r="S3" i="18"/>
  <c r="S4" i="18" s="1"/>
  <c r="N3" i="18"/>
  <c r="N4" i="18" s="1"/>
  <c r="I3" i="18"/>
  <c r="I4" i="18" s="1"/>
  <c r="V3" i="18"/>
  <c r="V4" i="18" s="1"/>
  <c r="I3" i="19"/>
  <c r="I4" i="19" s="1"/>
  <c r="AA3" i="19"/>
  <c r="AA4" i="19" s="1"/>
  <c r="O3" i="20"/>
  <c r="O4" i="20" s="1"/>
  <c r="V3" i="19"/>
  <c r="V4" i="19" s="1"/>
  <c r="P3" i="22"/>
  <c r="P4" i="22" s="1"/>
  <c r="S3" i="22"/>
  <c r="S4" i="22" s="1"/>
  <c r="T3" i="22"/>
  <c r="T4" i="22" s="1"/>
  <c r="Q3" i="22"/>
  <c r="Q4" i="22" s="1"/>
  <c r="AF3" i="22"/>
  <c r="AF4" i="22" s="1"/>
  <c r="R3" i="22"/>
  <c r="R4" i="22" s="1"/>
  <c r="AG3" i="22"/>
  <c r="AG4" i="22" s="1"/>
  <c r="F3" i="23"/>
  <c r="F4" i="23" s="1"/>
  <c r="AA3" i="25"/>
  <c r="AA4" i="25" s="1"/>
  <c r="AD3" i="25"/>
  <c r="AD4" i="25" s="1"/>
  <c r="E22" i="10"/>
  <c r="L3" i="22"/>
  <c r="L4" i="22" s="1"/>
  <c r="M3" i="22"/>
  <c r="M4" i="22" s="1"/>
  <c r="AB3" i="25"/>
  <c r="AB4" i="25" s="1"/>
  <c r="V3" i="23"/>
  <c r="V4" i="23" s="1"/>
  <c r="AH3" i="23"/>
  <c r="AH4" i="23" s="1"/>
  <c r="E32" i="14"/>
  <c r="N30" i="7" s="1"/>
  <c r="G3" i="23"/>
  <c r="G4" i="23" s="1"/>
  <c r="AJ3" i="20"/>
  <c r="AJ4" i="20" s="1"/>
  <c r="R3" i="20"/>
  <c r="R4" i="20" s="1"/>
  <c r="M3" i="20"/>
  <c r="M4" i="20" s="1"/>
  <c r="AE3" i="20"/>
  <c r="AE4" i="20" s="1"/>
  <c r="AC3" i="20"/>
  <c r="AC4" i="20" s="1"/>
  <c r="I31" i="7"/>
  <c r="K31" i="7" s="1"/>
  <c r="L31" i="7" s="1"/>
  <c r="O3" i="19"/>
  <c r="O4" i="19" s="1"/>
  <c r="AG3" i="19"/>
  <c r="AG4" i="19" s="1"/>
  <c r="J3" i="19"/>
  <c r="J4" i="19" s="1"/>
  <c r="AB3" i="19"/>
  <c r="AB4" i="19" s="1"/>
  <c r="M3" i="18"/>
  <c r="M4" i="18" s="1"/>
  <c r="AE3" i="18"/>
  <c r="AE4" i="18" s="1"/>
  <c r="H3" i="18"/>
  <c r="H4" i="18" s="1"/>
  <c r="Z3" i="18"/>
  <c r="Z4" i="18" s="1"/>
  <c r="U3" i="18"/>
  <c r="U4" i="18" s="1"/>
  <c r="AC3" i="18"/>
  <c r="AC4" i="18" s="1"/>
  <c r="E18" i="22"/>
  <c r="E32" i="17"/>
  <c r="Q28" i="7" s="1"/>
  <c r="AG3" i="21"/>
  <c r="AG4" i="21" s="1"/>
  <c r="L3" i="21"/>
  <c r="L4" i="21" s="1"/>
  <c r="J3" i="22"/>
  <c r="J4" i="22" s="1"/>
  <c r="G3" i="22"/>
  <c r="G4" i="22" s="1"/>
  <c r="E32" i="21"/>
  <c r="U28" i="7" s="1"/>
  <c r="V3" i="25"/>
  <c r="V4" i="25" s="1"/>
  <c r="S3" i="20"/>
  <c r="S4" i="20" s="1"/>
  <c r="T21" i="7"/>
  <c r="E32" i="20"/>
  <c r="T28" i="7" s="1"/>
  <c r="N3" i="20"/>
  <c r="N4" i="20" s="1"/>
  <c r="AA3" i="20"/>
  <c r="AA4" i="20" s="1"/>
  <c r="K3" i="21"/>
  <c r="K4" i="21" s="1"/>
  <c r="AC3" i="22"/>
  <c r="AC4" i="22" s="1"/>
  <c r="AG3" i="20"/>
  <c r="AG4" i="20" s="1"/>
  <c r="E32" i="22"/>
  <c r="V28" i="7" s="1"/>
  <c r="I3" i="14"/>
  <c r="I4" i="14" s="1"/>
  <c r="E18" i="23"/>
  <c r="W14" i="7" s="1"/>
  <c r="G3" i="20"/>
  <c r="G4" i="20" s="1"/>
  <c r="AD3" i="21"/>
  <c r="AD4" i="21" s="1"/>
  <c r="L3" i="25"/>
  <c r="L4" i="25" s="1"/>
  <c r="E43" i="22"/>
  <c r="V39" i="7" s="1"/>
  <c r="E18" i="24"/>
  <c r="F3" i="22"/>
  <c r="F4" i="22" s="1"/>
  <c r="U3" i="22"/>
  <c r="U4" i="22" s="1"/>
  <c r="Z3" i="22"/>
  <c r="Z4" i="22" s="1"/>
  <c r="H3" i="21"/>
  <c r="H4" i="21" s="1"/>
  <c r="E18" i="21"/>
  <c r="U14" i="7" s="1"/>
  <c r="P3" i="20"/>
  <c r="P4" i="20" s="1"/>
  <c r="AH3" i="20"/>
  <c r="AH4" i="20" s="1"/>
  <c r="W3" i="20"/>
  <c r="W4" i="20" s="1"/>
  <c r="L3" i="20"/>
  <c r="L4" i="20" s="1"/>
  <c r="AD3" i="20"/>
  <c r="AD4" i="20" s="1"/>
  <c r="P3" i="19"/>
  <c r="P4" i="19" s="1"/>
  <c r="W3" i="19"/>
  <c r="W4" i="19" s="1"/>
  <c r="L3" i="19"/>
  <c r="L4" i="19" s="1"/>
  <c r="G3" i="19"/>
  <c r="G4" i="19" s="1"/>
  <c r="X3" i="16"/>
  <c r="X4" i="16" s="1"/>
  <c r="G3" i="14"/>
  <c r="G4" i="14" s="1"/>
  <c r="M3" i="14"/>
  <c r="M4" i="14" s="1"/>
  <c r="I3" i="15"/>
  <c r="I4" i="15" s="1"/>
  <c r="W3" i="10"/>
  <c r="W4" i="10" s="1"/>
  <c r="AI3" i="10"/>
  <c r="AI4" i="10" s="1"/>
  <c r="S3" i="10"/>
  <c r="S4" i="10" s="1"/>
  <c r="E22" i="18"/>
  <c r="R18" i="7" s="1"/>
  <c r="E22" i="23"/>
  <c r="W18" i="7" s="1"/>
  <c r="AD3" i="14"/>
  <c r="AD4" i="14" s="1"/>
  <c r="E15" i="18"/>
  <c r="R11" i="7" s="1"/>
  <c r="I19" i="26"/>
  <c r="K19" i="26" s="1"/>
  <c r="I8" i="26"/>
  <c r="K8" i="26" s="1"/>
  <c r="Q3" i="10"/>
  <c r="Q4" i="10" s="1"/>
  <c r="I3" i="10"/>
  <c r="I4" i="10" s="1"/>
  <c r="V3" i="10"/>
  <c r="V4" i="10" s="1"/>
  <c r="K3" i="10"/>
  <c r="K4" i="10" s="1"/>
  <c r="P3" i="15"/>
  <c r="P4" i="15" s="1"/>
  <c r="AC3" i="10"/>
  <c r="AC4" i="10" s="1"/>
  <c r="AE3" i="15"/>
  <c r="AE4" i="15" s="1"/>
  <c r="T39" i="26"/>
  <c r="O39" i="26"/>
  <c r="R39" i="26"/>
  <c r="W39" i="26"/>
  <c r="Q39" i="26"/>
  <c r="N39" i="26"/>
  <c r="U39" i="26"/>
  <c r="X39" i="26"/>
  <c r="P39" i="26"/>
  <c r="S39" i="26"/>
  <c r="Y39" i="26"/>
  <c r="V39" i="26"/>
  <c r="N3" i="14"/>
  <c r="N4" i="14" s="1"/>
  <c r="R30" i="7"/>
  <c r="R26" i="7"/>
  <c r="R3" i="16"/>
  <c r="R4" i="16" s="1"/>
  <c r="AD3" i="16"/>
  <c r="AD4" i="16" s="1"/>
  <c r="E11" i="16"/>
  <c r="P7" i="7" s="1"/>
  <c r="Z3" i="16"/>
  <c r="Z4" i="16" s="1"/>
  <c r="E14" i="15"/>
  <c r="O10" i="7" s="1"/>
  <c r="E24" i="10"/>
  <c r="E22" i="16"/>
  <c r="AB3" i="10"/>
  <c r="AB4" i="10" s="1"/>
  <c r="J3" i="10"/>
  <c r="J4" i="10" s="1"/>
  <c r="X3" i="14"/>
  <c r="X4" i="14" s="1"/>
  <c r="V3" i="15"/>
  <c r="V4" i="15" s="1"/>
  <c r="T27" i="7"/>
  <c r="W26" i="7"/>
  <c r="W9" i="7"/>
  <c r="V17" i="7"/>
  <c r="U37" i="7"/>
  <c r="U6" i="7"/>
  <c r="R8" i="7"/>
  <c r="P38" i="7"/>
  <c r="P15" i="7"/>
  <c r="E36" i="16"/>
  <c r="P32" i="7" s="1"/>
  <c r="U3" i="16"/>
  <c r="U4" i="16" s="1"/>
  <c r="E18" i="16"/>
  <c r="E17" i="16"/>
  <c r="P13" i="7" s="1"/>
  <c r="M3" i="16"/>
  <c r="M4" i="16" s="1"/>
  <c r="E14" i="16"/>
  <c r="P10" i="7" s="1"/>
  <c r="F3" i="16"/>
  <c r="F4" i="16" s="1"/>
  <c r="T3" i="16"/>
  <c r="T4" i="16" s="1"/>
  <c r="E9" i="10"/>
  <c r="Z3" i="10"/>
  <c r="Z4" i="10" s="1"/>
  <c r="H3" i="10"/>
  <c r="H4" i="10" s="1"/>
  <c r="Z3" i="14"/>
  <c r="Z4" i="14" s="1"/>
  <c r="M3" i="15"/>
  <c r="M4" i="15" s="1"/>
  <c r="E26" i="14"/>
  <c r="N23" i="7" s="1"/>
  <c r="O3" i="14"/>
  <c r="O4" i="14" s="1"/>
  <c r="E35" i="14"/>
  <c r="N33" i="7" s="1"/>
  <c r="U27" i="7"/>
  <c r="G3" i="16"/>
  <c r="G4" i="16" s="1"/>
  <c r="N3" i="16"/>
  <c r="N4" i="16" s="1"/>
  <c r="E33" i="10"/>
  <c r="E18" i="18"/>
  <c r="R14" i="7" s="1"/>
  <c r="Y3" i="16"/>
  <c r="Y4" i="16" s="1"/>
  <c r="AH3" i="16"/>
  <c r="AH4" i="16" s="1"/>
  <c r="AI3" i="16"/>
  <c r="AI4" i="16" s="1"/>
  <c r="Q3" i="16"/>
  <c r="Q4" i="16" s="1"/>
  <c r="E9" i="16"/>
  <c r="P5" i="7" s="1"/>
  <c r="S3" i="16"/>
  <c r="S4" i="16" s="1"/>
  <c r="AC3" i="16"/>
  <c r="AC4" i="16" s="1"/>
  <c r="K3" i="16"/>
  <c r="K4" i="16" s="1"/>
  <c r="E25" i="10"/>
  <c r="O19" i="7"/>
  <c r="K3" i="14"/>
  <c r="K4" i="14" s="1"/>
  <c r="O27" i="7"/>
  <c r="E18" i="19"/>
  <c r="S14" i="7" s="1"/>
  <c r="Y12" i="7"/>
  <c r="Y6" i="7"/>
  <c r="W35" i="7"/>
  <c r="T18" i="7"/>
  <c r="S29" i="7"/>
  <c r="R15" i="7"/>
  <c r="Q18" i="7"/>
  <c r="AF3" i="16"/>
  <c r="AF4" i="16" s="1"/>
  <c r="S21" i="7"/>
  <c r="Y21" i="7"/>
  <c r="Q3" i="21"/>
  <c r="Q4" i="21" s="1"/>
  <c r="E9" i="21"/>
  <c r="Z3" i="21"/>
  <c r="Z4" i="21" s="1"/>
  <c r="U3" i="23"/>
  <c r="U4" i="23" s="1"/>
  <c r="Q3" i="23"/>
  <c r="Q4" i="23" s="1"/>
  <c r="R3" i="23"/>
  <c r="R4" i="23" s="1"/>
  <c r="H3" i="24"/>
  <c r="H4" i="24" s="1"/>
  <c r="Z3" i="24"/>
  <c r="Z4" i="24" s="1"/>
  <c r="N3" i="25"/>
  <c r="N4" i="25" s="1"/>
  <c r="AF3" i="25"/>
  <c r="AF4" i="25" s="1"/>
  <c r="E14" i="10"/>
  <c r="E36" i="21"/>
  <c r="E38" i="19"/>
  <c r="E39" i="25"/>
  <c r="E37" i="16"/>
  <c r="E21" i="10"/>
  <c r="O35" i="7"/>
  <c r="Y3" i="15"/>
  <c r="Y4" i="15" s="1"/>
  <c r="O18" i="7"/>
  <c r="H3" i="16"/>
  <c r="H4" i="16" s="1"/>
  <c r="E32" i="16"/>
  <c r="P28" i="7" s="1"/>
  <c r="E18" i="17"/>
  <c r="Q14" i="7" s="1"/>
  <c r="E18" i="20"/>
  <c r="W21" i="7"/>
  <c r="W3" i="16"/>
  <c r="W4" i="16" s="1"/>
  <c r="P3" i="17"/>
  <c r="P4" i="17" s="1"/>
  <c r="AA3" i="18"/>
  <c r="AA4" i="18" s="1"/>
  <c r="AH3" i="18"/>
  <c r="AH4" i="18" s="1"/>
  <c r="K3" i="18"/>
  <c r="K4" i="18" s="1"/>
  <c r="AH3" i="21"/>
  <c r="AH4" i="21" s="1"/>
  <c r="AH3" i="19"/>
  <c r="AH4" i="19" s="1"/>
  <c r="J3" i="21"/>
  <c r="J4" i="21" s="1"/>
  <c r="Q3" i="20"/>
  <c r="Q4" i="20" s="1"/>
  <c r="M3" i="21"/>
  <c r="M4" i="21" s="1"/>
  <c r="Z3" i="20"/>
  <c r="Z4" i="20" s="1"/>
  <c r="AH3" i="22"/>
  <c r="AH4" i="22" s="1"/>
  <c r="AD3" i="23"/>
  <c r="AD4" i="23" s="1"/>
  <c r="Z3" i="23"/>
  <c r="Z4" i="23" s="1"/>
  <c r="X3" i="23"/>
  <c r="X4" i="23" s="1"/>
  <c r="K3" i="24"/>
  <c r="K4" i="24" s="1"/>
  <c r="AC3" i="24"/>
  <c r="AC4" i="24" s="1"/>
  <c r="Q3" i="25"/>
  <c r="Q4" i="25" s="1"/>
  <c r="AI3" i="25"/>
  <c r="AI4" i="25" s="1"/>
  <c r="Y3" i="25"/>
  <c r="Y4" i="25" s="1"/>
  <c r="E44" i="20"/>
  <c r="E14" i="21"/>
  <c r="E15" i="24"/>
  <c r="E37" i="23"/>
  <c r="O29" i="7"/>
  <c r="AJ3" i="14"/>
  <c r="AJ4" i="14" s="1"/>
  <c r="E15" i="16"/>
  <c r="P11" i="7" s="1"/>
  <c r="T29" i="7"/>
  <c r="S39" i="7"/>
  <c r="R17" i="7"/>
  <c r="Q15" i="7"/>
  <c r="E38" i="16"/>
  <c r="P23" i="7"/>
  <c r="AE3" i="16"/>
  <c r="AE4" i="16" s="1"/>
  <c r="Q3" i="18"/>
  <c r="Q4" i="18" s="1"/>
  <c r="N3" i="17"/>
  <c r="N4" i="17" s="1"/>
  <c r="R3" i="18"/>
  <c r="R4" i="18" s="1"/>
  <c r="P3" i="21"/>
  <c r="P4" i="21" s="1"/>
  <c r="S3" i="21"/>
  <c r="S4" i="21" s="1"/>
  <c r="AF3" i="20"/>
  <c r="AF4" i="20" s="1"/>
  <c r="AF3" i="21"/>
  <c r="AF4" i="21" s="1"/>
  <c r="AI3" i="23"/>
  <c r="AI4" i="23" s="1"/>
  <c r="AA3" i="23"/>
  <c r="AA4" i="23" s="1"/>
  <c r="E9" i="24"/>
  <c r="N3" i="24"/>
  <c r="N4" i="24" s="1"/>
  <c r="AF3" i="24"/>
  <c r="AF4" i="24" s="1"/>
  <c r="T3" i="25"/>
  <c r="T4" i="25" s="1"/>
  <c r="X3" i="25"/>
  <c r="X4" i="25" s="1"/>
  <c r="J3" i="25"/>
  <c r="J4" i="25" s="1"/>
  <c r="E44" i="24"/>
  <c r="T23" i="7"/>
  <c r="E14" i="20"/>
  <c r="E16" i="25"/>
  <c r="T3" i="10"/>
  <c r="T4" i="10" s="1"/>
  <c r="AE3" i="10"/>
  <c r="AE4" i="10" s="1"/>
  <c r="M3" i="10"/>
  <c r="M4" i="10" s="1"/>
  <c r="S3" i="14"/>
  <c r="S4" i="14" s="1"/>
  <c r="U3" i="14"/>
  <c r="U4" i="14" s="1"/>
  <c r="L3" i="18"/>
  <c r="L4" i="18" s="1"/>
  <c r="X21" i="7"/>
  <c r="AB3" i="17"/>
  <c r="AB4" i="17" s="1"/>
  <c r="AF3" i="18"/>
  <c r="AF4" i="18" s="1"/>
  <c r="AI3" i="19"/>
  <c r="AI4" i="19" s="1"/>
  <c r="W3" i="18"/>
  <c r="W4" i="18" s="1"/>
  <c r="T3" i="17"/>
  <c r="T4" i="17" s="1"/>
  <c r="Y3" i="21"/>
  <c r="Y4" i="21" s="1"/>
  <c r="AF3" i="19"/>
  <c r="AF4" i="19" s="1"/>
  <c r="AJ3" i="23"/>
  <c r="AJ4" i="23" s="1"/>
  <c r="AF3" i="23"/>
  <c r="AF4" i="23" s="1"/>
  <c r="AG3" i="23"/>
  <c r="AG4" i="23" s="1"/>
  <c r="Q3" i="24"/>
  <c r="Q4" i="24" s="1"/>
  <c r="AI3" i="24"/>
  <c r="AI4" i="24" s="1"/>
  <c r="W3" i="25"/>
  <c r="W4" i="25" s="1"/>
  <c r="M3" i="25"/>
  <c r="M4" i="25" s="1"/>
  <c r="AE3" i="25"/>
  <c r="AE4" i="25" s="1"/>
  <c r="E44" i="16"/>
  <c r="E45" i="25"/>
  <c r="E14" i="18"/>
  <c r="E38" i="20"/>
  <c r="AB3" i="16"/>
  <c r="AB4" i="16" s="1"/>
  <c r="O26" i="7"/>
  <c r="O38" i="7"/>
  <c r="O15" i="7"/>
  <c r="O39" i="7"/>
  <c r="E19" i="25"/>
  <c r="E32" i="24"/>
  <c r="E17" i="21"/>
  <c r="AH3" i="17"/>
  <c r="AH4" i="17" s="1"/>
  <c r="S3" i="17"/>
  <c r="S4" i="17" s="1"/>
  <c r="AD3" i="18"/>
  <c r="AD4" i="18" s="1"/>
  <c r="AB3" i="21"/>
  <c r="AB4" i="21" s="1"/>
  <c r="AI3" i="20"/>
  <c r="AI4" i="20" s="1"/>
  <c r="H3" i="20"/>
  <c r="H4" i="20" s="1"/>
  <c r="N3" i="21"/>
  <c r="N4" i="21" s="1"/>
  <c r="X3" i="22"/>
  <c r="X4" i="22" s="1"/>
  <c r="O3" i="23"/>
  <c r="O4" i="23" s="1"/>
  <c r="I3" i="23"/>
  <c r="I4" i="23" s="1"/>
  <c r="T3" i="24"/>
  <c r="T4" i="24" s="1"/>
  <c r="H3" i="25"/>
  <c r="H4" i="25" s="1"/>
  <c r="Z3" i="25"/>
  <c r="Z4" i="25" s="1"/>
  <c r="P3" i="25"/>
  <c r="P4" i="25" s="1"/>
  <c r="AH3" i="25"/>
  <c r="AH4" i="25" s="1"/>
  <c r="E15" i="20"/>
  <c r="P21" i="7"/>
  <c r="V3" i="16"/>
  <c r="V4" i="16" s="1"/>
  <c r="E37" i="24"/>
  <c r="E38" i="25"/>
  <c r="AF3" i="10"/>
  <c r="AF4" i="10" s="1"/>
  <c r="N3" i="10"/>
  <c r="N4" i="10" s="1"/>
  <c r="O16" i="7"/>
  <c r="Q3" i="14"/>
  <c r="Q4" i="14" s="1"/>
  <c r="AC3" i="14"/>
  <c r="AC4" i="14" s="1"/>
  <c r="W3" i="14"/>
  <c r="W4" i="14" s="1"/>
  <c r="O30" i="7"/>
  <c r="R21" i="7"/>
  <c r="E32" i="18"/>
  <c r="Y3" i="17"/>
  <c r="Y4" i="17" s="1"/>
  <c r="AI3" i="18"/>
  <c r="AI4" i="18" s="1"/>
  <c r="Q3" i="19"/>
  <c r="Q4" i="19" s="1"/>
  <c r="AI3" i="21"/>
  <c r="AI4" i="21" s="1"/>
  <c r="T3" i="21"/>
  <c r="T4" i="21" s="1"/>
  <c r="O3" i="22"/>
  <c r="O4" i="22" s="1"/>
  <c r="L3" i="23"/>
  <c r="L4" i="23" s="1"/>
  <c r="N3" i="23"/>
  <c r="N4" i="23" s="1"/>
  <c r="W3" i="24"/>
  <c r="W4" i="24" s="1"/>
  <c r="K3" i="25"/>
  <c r="K4" i="25" s="1"/>
  <c r="AC3" i="25"/>
  <c r="AC4" i="25" s="1"/>
  <c r="S3" i="25"/>
  <c r="S4" i="25" s="1"/>
  <c r="U23" i="7"/>
  <c r="E38" i="18"/>
  <c r="P3" i="16"/>
  <c r="P4" i="16" s="1"/>
  <c r="N37" i="7"/>
  <c r="N35" i="7"/>
  <c r="N32" i="7"/>
  <c r="N28" i="7"/>
  <c r="N26" i="7"/>
  <c r="N16" i="7"/>
  <c r="N18" i="7"/>
  <c r="N5" i="7"/>
  <c r="N29" i="7"/>
  <c r="N19" i="7"/>
  <c r="N15" i="7"/>
  <c r="N10" i="7"/>
  <c r="N6" i="7"/>
  <c r="N38" i="7"/>
  <c r="N40" i="7"/>
  <c r="N27" i="7"/>
  <c r="N8" i="7"/>
  <c r="O8" i="7"/>
  <c r="O4" i="7"/>
  <c r="O5" i="7"/>
  <c r="N4" i="7"/>
  <c r="N39" i="7"/>
  <c r="O6" i="7"/>
  <c r="I41" i="7"/>
  <c r="K41" i="7" s="1"/>
  <c r="I6" i="26"/>
  <c r="P4" i="7"/>
  <c r="P8" i="7"/>
  <c r="P6" i="7"/>
  <c r="P30" i="7"/>
  <c r="P19" i="7"/>
  <c r="P17" i="7"/>
  <c r="P37" i="7"/>
  <c r="P35" i="7"/>
  <c r="P27" i="7"/>
  <c r="P16" i="7"/>
  <c r="P14" i="7"/>
  <c r="Q35" i="7"/>
  <c r="Q6" i="7"/>
  <c r="Q4" i="7"/>
  <c r="Q37" i="7"/>
  <c r="Q27" i="7"/>
  <c r="Q16" i="7"/>
  <c r="Q13" i="7"/>
  <c r="Q11" i="7"/>
  <c r="Q5" i="7"/>
  <c r="Q38" i="7"/>
  <c r="Q30" i="7"/>
  <c r="Q19" i="7"/>
  <c r="Q17" i="7"/>
  <c r="Q10" i="7"/>
  <c r="Q40" i="7"/>
  <c r="Q36" i="7"/>
  <c r="Q33" i="7"/>
  <c r="Q7" i="7"/>
  <c r="Q39" i="7"/>
  <c r="Q34" i="7"/>
  <c r="Q32" i="7"/>
  <c r="Q26" i="7"/>
  <c r="Q9" i="7"/>
  <c r="Q8" i="7"/>
  <c r="R27" i="7"/>
  <c r="R19" i="7"/>
  <c r="R12" i="7"/>
  <c r="R9" i="7"/>
  <c r="R7" i="7"/>
  <c r="R40" i="7"/>
  <c r="R33" i="7"/>
  <c r="R32" i="7"/>
  <c r="R13" i="7"/>
  <c r="R5" i="7"/>
  <c r="R4" i="7"/>
  <c r="R38" i="7"/>
  <c r="R37" i="7"/>
  <c r="S40" i="7"/>
  <c r="S37" i="7"/>
  <c r="S35" i="7"/>
  <c r="S32" i="7"/>
  <c r="S28" i="7"/>
  <c r="S6" i="7"/>
  <c r="S4" i="7"/>
  <c r="S11" i="7"/>
  <c r="S36" i="7"/>
  <c r="S30" i="7"/>
  <c r="S19" i="7"/>
  <c r="S17" i="7"/>
  <c r="S10" i="7"/>
  <c r="S27" i="7"/>
  <c r="S16" i="7"/>
  <c r="S8" i="7"/>
  <c r="S5" i="7"/>
  <c r="S15" i="7"/>
  <c r="S12" i="7"/>
  <c r="S38" i="7"/>
  <c r="S13" i="7"/>
  <c r="S7" i="7"/>
  <c r="T38" i="7"/>
  <c r="T35" i="7"/>
  <c r="T32" i="7"/>
  <c r="T6" i="7"/>
  <c r="T8" i="7"/>
  <c r="T7" i="7"/>
  <c r="T5" i="7"/>
  <c r="T4" i="7"/>
  <c r="T36" i="7"/>
  <c r="T26" i="7"/>
  <c r="T16" i="7"/>
  <c r="T15" i="7"/>
  <c r="T33" i="7"/>
  <c r="T13" i="7"/>
  <c r="T12" i="7"/>
  <c r="U4" i="7"/>
  <c r="U11" i="7"/>
  <c r="U9" i="7"/>
  <c r="U38" i="7"/>
  <c r="U34" i="7"/>
  <c r="U26" i="7"/>
  <c r="U17" i="7"/>
  <c r="U15" i="7"/>
  <c r="U7" i="7"/>
  <c r="U40" i="7"/>
  <c r="U33" i="7"/>
  <c r="U30" i="7"/>
  <c r="V30" i="7"/>
  <c r="V27" i="7"/>
  <c r="V19" i="7"/>
  <c r="V16" i="7"/>
  <c r="V13" i="7"/>
  <c r="V10" i="7"/>
  <c r="V8" i="7"/>
  <c r="V5" i="7"/>
  <c r="V36" i="7"/>
  <c r="V34" i="7"/>
  <c r="V26" i="7"/>
  <c r="V15" i="7"/>
  <c r="V7" i="7"/>
  <c r="V33" i="7"/>
  <c r="V18" i="7"/>
  <c r="V9" i="7"/>
  <c r="V4" i="7"/>
  <c r="V40" i="7"/>
  <c r="V32" i="7"/>
  <c r="V11" i="7"/>
  <c r="V38" i="7"/>
  <c r="V14" i="7"/>
  <c r="V12" i="7"/>
  <c r="V6" i="7"/>
  <c r="W6" i="7"/>
  <c r="W17" i="7"/>
  <c r="W7" i="7"/>
  <c r="W4" i="7"/>
  <c r="W38" i="7"/>
  <c r="W30" i="7"/>
  <c r="W28" i="7"/>
  <c r="W19" i="7"/>
  <c r="W10" i="7"/>
  <c r="W5" i="7"/>
  <c r="W40" i="7"/>
  <c r="W39" i="7"/>
  <c r="W34" i="7"/>
  <c r="W32" i="7"/>
  <c r="W13" i="7"/>
  <c r="W11" i="7"/>
  <c r="X4" i="7"/>
  <c r="X15" i="7"/>
  <c r="X13" i="7"/>
  <c r="X39" i="7"/>
  <c r="X29" i="7"/>
  <c r="X27" i="7"/>
  <c r="X12" i="7"/>
  <c r="X10" i="7"/>
  <c r="X38" i="7"/>
  <c r="X36" i="7"/>
  <c r="X26" i="7"/>
  <c r="X18" i="7"/>
  <c r="X16" i="7"/>
  <c r="X9" i="7"/>
  <c r="X8" i="7"/>
  <c r="X37" i="7"/>
  <c r="X17" i="7"/>
  <c r="X7" i="7"/>
  <c r="X6" i="7"/>
  <c r="X34" i="7"/>
  <c r="X32" i="7"/>
  <c r="X14" i="7"/>
  <c r="Y35" i="7"/>
  <c r="Y32" i="7"/>
  <c r="Y28" i="7"/>
  <c r="Y17" i="7"/>
  <c r="Y13" i="7"/>
  <c r="Y10" i="7"/>
  <c r="Y8" i="7"/>
  <c r="Y5" i="7"/>
  <c r="Y38" i="7"/>
  <c r="Y19" i="7"/>
  <c r="Y37" i="7"/>
  <c r="Y27" i="7"/>
  <c r="Y16" i="7"/>
  <c r="Y9" i="7"/>
  <c r="Y15" i="7"/>
  <c r="Y7" i="7"/>
  <c r="Y4" i="7"/>
  <c r="J3" i="15"/>
  <c r="J4" i="15" s="1"/>
  <c r="S3" i="15"/>
  <c r="S4" i="15" s="1"/>
  <c r="AB3" i="15"/>
  <c r="AB4" i="15" s="1"/>
  <c r="E36" i="14"/>
  <c r="AI3" i="14"/>
  <c r="AI4" i="14" s="1"/>
  <c r="E16" i="14"/>
  <c r="AB3" i="14"/>
  <c r="AB4" i="14" s="1"/>
  <c r="E11" i="14"/>
  <c r="T3" i="14"/>
  <c r="T4" i="14" s="1"/>
  <c r="AH3" i="10"/>
  <c r="AH4" i="10" s="1"/>
  <c r="Y3" i="10"/>
  <c r="Y4" i="10" s="1"/>
  <c r="AF3" i="14"/>
  <c r="AF4" i="14" s="1"/>
  <c r="R3" i="14"/>
  <c r="R4" i="14" s="1"/>
  <c r="F3" i="14"/>
  <c r="F4" i="14" s="1"/>
  <c r="L3" i="14"/>
  <c r="L4" i="14" s="1"/>
  <c r="AA3" i="14"/>
  <c r="AA4" i="14" s="1"/>
  <c r="E14" i="14"/>
  <c r="E16" i="15"/>
  <c r="G3" i="10"/>
  <c r="G4" i="10" s="1"/>
  <c r="E18" i="14"/>
  <c r="E17" i="14"/>
  <c r="P3" i="14"/>
  <c r="P4" i="14" s="1"/>
  <c r="J3" i="14"/>
  <c r="J4" i="14" s="1"/>
  <c r="E38" i="15"/>
  <c r="E40" i="15"/>
  <c r="H3" i="14"/>
  <c r="H4" i="14" s="1"/>
  <c r="U3" i="10"/>
  <c r="U4" i="10" s="1"/>
  <c r="AJ3" i="10"/>
  <c r="AJ4" i="10" s="1"/>
  <c r="E16" i="10"/>
  <c r="V3" i="14"/>
  <c r="V4" i="14" s="1"/>
  <c r="E15" i="15"/>
  <c r="E37" i="15"/>
  <c r="O33" i="7" s="1"/>
  <c r="O3" i="15"/>
  <c r="O4" i="15" s="1"/>
  <c r="AD3" i="15"/>
  <c r="AD4" i="15" s="1"/>
  <c r="N3" i="15"/>
  <c r="N4" i="15" s="1"/>
  <c r="AC3" i="15"/>
  <c r="AC4" i="15" s="1"/>
  <c r="E22" i="14"/>
  <c r="O21" i="7"/>
  <c r="E41" i="15"/>
  <c r="O37" i="7" s="1"/>
  <c r="E19" i="14"/>
  <c r="R3" i="15"/>
  <c r="R4" i="15" s="1"/>
  <c r="AG3" i="15"/>
  <c r="AG4" i="15" s="1"/>
  <c r="Q3" i="15"/>
  <c r="Q4" i="15" s="1"/>
  <c r="AF3" i="15"/>
  <c r="AF4" i="15" s="1"/>
  <c r="AE3" i="14"/>
  <c r="AE4" i="14" s="1"/>
  <c r="E17" i="15"/>
  <c r="E13" i="15"/>
  <c r="AA3" i="10"/>
  <c r="AA4" i="10" s="1"/>
  <c r="AH3" i="14"/>
  <c r="AH4" i="14" s="1"/>
  <c r="Y3" i="14"/>
  <c r="Y4" i="14" s="1"/>
  <c r="O24" i="7"/>
  <c r="I24" i="7" s="1"/>
  <c r="K24" i="7" s="1"/>
  <c r="L24" i="7" s="1"/>
  <c r="E11" i="15"/>
  <c r="U3" i="15"/>
  <c r="U4" i="15" s="1"/>
  <c r="T3" i="15"/>
  <c r="T4" i="15" s="1"/>
  <c r="E21" i="15"/>
  <c r="AD3" i="10"/>
  <c r="AD4" i="10" s="1"/>
  <c r="R3" i="10"/>
  <c r="R4" i="10" s="1"/>
  <c r="O23" i="7"/>
  <c r="X3" i="15"/>
  <c r="X4" i="15" s="1"/>
  <c r="H3" i="15"/>
  <c r="H4" i="15" s="1"/>
  <c r="W3" i="15"/>
  <c r="W4" i="15" s="1"/>
  <c r="E44" i="15"/>
  <c r="O40" i="7" s="1"/>
  <c r="E32" i="15"/>
  <c r="O28" i="7" s="1"/>
  <c r="L3" i="15"/>
  <c r="L4" i="15" s="1"/>
  <c r="AA3" i="15"/>
  <c r="AA4" i="15" s="1"/>
  <c r="K3" i="15"/>
  <c r="K4" i="15" s="1"/>
  <c r="Z3" i="15"/>
  <c r="Z4" i="15" s="1"/>
  <c r="E18" i="15"/>
  <c r="E38" i="14"/>
  <c r="O3" i="10"/>
  <c r="O4" i="10" s="1"/>
  <c r="E17" i="10"/>
  <c r="E13" i="10"/>
  <c r="E26" i="10"/>
  <c r="F3" i="10"/>
  <c r="F4" i="10" s="1"/>
  <c r="X3" i="10"/>
  <c r="X4" i="10" s="1"/>
  <c r="L3" i="10"/>
  <c r="L4" i="10" s="1"/>
  <c r="AG3" i="10"/>
  <c r="AG4" i="10" s="1"/>
  <c r="P3" i="10"/>
  <c r="P4" i="10" s="1"/>
  <c r="E18" i="10"/>
  <c r="E38" i="10"/>
  <c r="E30" i="10"/>
  <c r="E37" i="10"/>
  <c r="E11" i="10"/>
  <c r="E15" i="10"/>
  <c r="E35" i="10"/>
  <c r="E34" i="10"/>
  <c r="V43" i="7" l="1" a="1"/>
  <c r="V43" i="7" s="1"/>
  <c r="Q43" i="7" a="1"/>
  <c r="Q43" i="7" s="1"/>
  <c r="I23" i="7"/>
  <c r="K23" i="7" s="1"/>
  <c r="L23" i="7" s="1"/>
  <c r="I21" i="7"/>
  <c r="K21" i="7" s="1"/>
  <c r="L21" i="7" s="1"/>
  <c r="K6" i="26"/>
  <c r="I35" i="7"/>
  <c r="K35" i="7" s="1"/>
  <c r="I4" i="7"/>
  <c r="K4" i="7" s="1"/>
  <c r="I8" i="7"/>
  <c r="K8" i="7" s="1"/>
  <c r="I26" i="7"/>
  <c r="K26" i="7" s="1"/>
  <c r="P18" i="7"/>
  <c r="I18" i="7" s="1"/>
  <c r="K18" i="7" s="1"/>
  <c r="I18" i="26"/>
  <c r="I31" i="26"/>
  <c r="I12" i="26"/>
  <c r="I32" i="26"/>
  <c r="K32" i="26" s="1"/>
  <c r="I13" i="26"/>
  <c r="K13" i="26" s="1"/>
  <c r="R28" i="7"/>
  <c r="Y33" i="7"/>
  <c r="P40" i="7"/>
  <c r="T40" i="7"/>
  <c r="I15" i="7"/>
  <c r="K15" i="7" s="1"/>
  <c r="I29" i="7"/>
  <c r="K29" i="7" s="1"/>
  <c r="I16" i="7"/>
  <c r="K16" i="7" s="1"/>
  <c r="I30" i="7"/>
  <c r="K30" i="7" s="1"/>
  <c r="X33" i="7"/>
  <c r="O17" i="7"/>
  <c r="I4" i="26"/>
  <c r="I35" i="26"/>
  <c r="I33" i="26"/>
  <c r="I16" i="26"/>
  <c r="I37" i="26"/>
  <c r="K37" i="26" s="1"/>
  <c r="I15" i="26"/>
  <c r="U13" i="7"/>
  <c r="Y11" i="7"/>
  <c r="P33" i="7"/>
  <c r="O11" i="7"/>
  <c r="O34" i="7"/>
  <c r="O12" i="7"/>
  <c r="I39" i="7"/>
  <c r="K39" i="7" s="1"/>
  <c r="I27" i="7"/>
  <c r="K27" i="7" s="1"/>
  <c r="I38" i="7"/>
  <c r="K38" i="7" s="1"/>
  <c r="I6" i="7"/>
  <c r="K6" i="7" s="1"/>
  <c r="I19" i="7"/>
  <c r="K19" i="7" s="1"/>
  <c r="X28" i="7"/>
  <c r="T34" i="7"/>
  <c r="T10" i="7"/>
  <c r="W33" i="7"/>
  <c r="W43" i="7" s="1" a="1"/>
  <c r="W43" i="7" s="1"/>
  <c r="Y34" i="7"/>
  <c r="U5" i="7"/>
  <c r="O14" i="7"/>
  <c r="O36" i="7"/>
  <c r="O9" i="7"/>
  <c r="I11" i="26"/>
  <c r="I36" i="26"/>
  <c r="I10" i="26"/>
  <c r="R34" i="7"/>
  <c r="T11" i="7"/>
  <c r="Y14" i="7"/>
  <c r="R10" i="7"/>
  <c r="X11" i="7"/>
  <c r="T14" i="7"/>
  <c r="S34" i="7"/>
  <c r="S43" i="7" s="1" a="1"/>
  <c r="S43" i="7" s="1"/>
  <c r="O13" i="7"/>
  <c r="Y40" i="7"/>
  <c r="X40" i="7"/>
  <c r="X5" i="7"/>
  <c r="P34" i="7"/>
  <c r="I27" i="26"/>
  <c r="U10" i="7"/>
  <c r="I7" i="26"/>
  <c r="K7" i="26" s="1"/>
  <c r="U32" i="7"/>
  <c r="I32" i="7" s="1"/>
  <c r="K32" i="7" s="1"/>
  <c r="N36" i="7"/>
  <c r="I23" i="26"/>
  <c r="L19" i="26"/>
  <c r="O7" i="7"/>
  <c r="I34" i="26"/>
  <c r="N14" i="7"/>
  <c r="I37" i="7"/>
  <c r="K37" i="7" s="1"/>
  <c r="I22" i="26"/>
  <c r="K22" i="26" s="1"/>
  <c r="I24" i="26"/>
  <c r="N17" i="7"/>
  <c r="I20" i="26"/>
  <c r="I9" i="26"/>
  <c r="K9" i="26" s="1"/>
  <c r="N12" i="7"/>
  <c r="I29" i="26"/>
  <c r="N13" i="7"/>
  <c r="N9" i="7"/>
  <c r="I26" i="26"/>
  <c r="K26" i="26" s="1"/>
  <c r="N7" i="7"/>
  <c r="I14" i="26"/>
  <c r="N11" i="7"/>
  <c r="N34" i="7"/>
  <c r="P43" i="7" l="1" a="1"/>
  <c r="P43" i="7" s="1"/>
  <c r="X43" i="7" a="1"/>
  <c r="X43" i="7" s="1"/>
  <c r="T43" i="7" a="1"/>
  <c r="T43" i="7" s="1"/>
  <c r="O43" i="7" a="1"/>
  <c r="O43" i="7" s="1"/>
  <c r="R43" i="7" a="1"/>
  <c r="R43" i="7" s="1"/>
  <c r="N43" i="7" a="1"/>
  <c r="N43" i="7" s="1"/>
  <c r="U43" i="7" a="1"/>
  <c r="U43" i="7" s="1"/>
  <c r="Y43" i="7" a="1"/>
  <c r="Y43" i="7" s="1"/>
  <c r="L6" i="26"/>
  <c r="L41" i="7"/>
  <c r="L37" i="7"/>
  <c r="L30" i="7"/>
  <c r="L16" i="7"/>
  <c r="I12" i="7"/>
  <c r="K12" i="7" s="1"/>
  <c r="I28" i="7"/>
  <c r="K28" i="7" s="1"/>
  <c r="L32" i="7"/>
  <c r="I17" i="7"/>
  <c r="K17" i="7" s="1"/>
  <c r="L19" i="7"/>
  <c r="K27" i="26"/>
  <c r="K31" i="26"/>
  <c r="K36" i="26"/>
  <c r="K18" i="26"/>
  <c r="K10" i="26"/>
  <c r="K34" i="26"/>
  <c r="K14" i="26"/>
  <c r="L13" i="26"/>
  <c r="K24" i="26"/>
  <c r="L22" i="26"/>
  <c r="K11" i="26"/>
  <c r="L26" i="26"/>
  <c r="K15" i="26"/>
  <c r="K29" i="26"/>
  <c r="K33" i="26"/>
  <c r="K4" i="26"/>
  <c r="K23" i="26"/>
  <c r="L37" i="26"/>
  <c r="K16" i="26"/>
  <c r="L9" i="26"/>
  <c r="L7" i="26"/>
  <c r="K20" i="26"/>
  <c r="K35" i="26"/>
  <c r="K12" i="26"/>
  <c r="I9" i="7"/>
  <c r="K9" i="7" s="1"/>
  <c r="I11" i="7"/>
  <c r="K11" i="7" s="1"/>
  <c r="I10" i="7"/>
  <c r="K10" i="7" s="1"/>
  <c r="I33" i="7"/>
  <c r="K33" i="7" s="1"/>
  <c r="I13" i="7"/>
  <c r="K13" i="7" s="1"/>
  <c r="I14" i="7"/>
  <c r="K14" i="7" s="1"/>
  <c r="L32" i="26"/>
  <c r="I7" i="7"/>
  <c r="K7" i="7" s="1"/>
  <c r="I21" i="26"/>
  <c r="I5" i="7"/>
  <c r="K5" i="7" s="1"/>
  <c r="I34" i="7"/>
  <c r="K34" i="7" s="1"/>
  <c r="I17" i="26"/>
  <c r="I36" i="7"/>
  <c r="K36" i="7" s="1"/>
  <c r="I28" i="26"/>
  <c r="I5" i="26"/>
  <c r="K5" i="26" s="1"/>
  <c r="I40" i="7"/>
  <c r="K40" i="7" s="1"/>
  <c r="I25" i="26"/>
  <c r="I30" i="26"/>
  <c r="L12" i="26" l="1"/>
  <c r="L29" i="7"/>
  <c r="L35" i="26"/>
  <c r="L27" i="7"/>
  <c r="L20" i="26"/>
  <c r="L16" i="26"/>
  <c r="L6" i="7"/>
  <c r="L23" i="26"/>
  <c r="L36" i="7"/>
  <c r="L4" i="26"/>
  <c r="L39" i="7"/>
  <c r="L33" i="26"/>
  <c r="L38" i="7"/>
  <c r="L29" i="26"/>
  <c r="L15" i="26"/>
  <c r="L26" i="7"/>
  <c r="L24" i="26"/>
  <c r="L14" i="26"/>
  <c r="L34" i="26"/>
  <c r="L10" i="26"/>
  <c r="L35" i="7"/>
  <c r="L18" i="26"/>
  <c r="L8" i="7"/>
  <c r="L36" i="26"/>
  <c r="L18" i="7"/>
  <c r="L31" i="26"/>
  <c r="L15" i="7"/>
  <c r="L27" i="26"/>
  <c r="L10" i="7"/>
  <c r="L17" i="7"/>
  <c r="L12" i="7"/>
  <c r="L33" i="7"/>
  <c r="L40" i="7"/>
  <c r="L9" i="7"/>
  <c r="L34" i="7"/>
  <c r="L7" i="7"/>
  <c r="L28" i="7"/>
  <c r="K17" i="26"/>
  <c r="K30" i="26"/>
  <c r="K21" i="26"/>
  <c r="K25" i="26"/>
  <c r="L5" i="26"/>
  <c r="K28" i="26"/>
  <c r="I43" i="7"/>
  <c r="I39" i="26"/>
  <c r="L28" i="26" l="1"/>
  <c r="L11" i="7"/>
  <c r="L25" i="26"/>
  <c r="L13" i="7"/>
  <c r="L21" i="26"/>
  <c r="L30" i="26"/>
  <c r="L14" i="7"/>
  <c r="L17" i="26"/>
  <c r="L5" i="7"/>
  <c r="L8" i="26"/>
  <c r="K39" i="26"/>
  <c r="L39" i="26" s="1"/>
  <c r="K43" i="7" l="1"/>
  <c r="L43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<sst xmlns="http://schemas.openxmlformats.org/spreadsheetml/2006/main" count="7287" uniqueCount="517">
  <si>
    <t>Employee Info</t>
  </si>
  <si>
    <t>YTD Vacation</t>
  </si>
  <si>
    <t>2026 Days Taken Off by Month</t>
  </si>
  <si>
    <t>Dept</t>
  </si>
  <si>
    <t>Job Title</t>
  </si>
  <si>
    <t>Name</t>
  </si>
  <si>
    <t>Start date</t>
  </si>
  <si>
    <t>Vacation Days</t>
  </si>
  <si>
    <t>Pro Rated Days</t>
  </si>
  <si>
    <t>Days Taken</t>
  </si>
  <si>
    <t>Unpaid Days Taken</t>
  </si>
  <si>
    <t>Days Remaining</t>
  </si>
  <si>
    <t>%  Remaining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</si>
  <si>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</si>
  <si>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</si>
  <si>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</si>
  <si>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</si>
  <si>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</si>
  <si>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</si>
  <si>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</si>
  <si>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</si>
  <si>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</si>
  <si>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</si>
  <si>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</si>
  <si>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</si>
  <si>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LT</t>
  </si>
  <si>
    <t>CEO</t>
  </si>
  <si>
    <t>Mazahreh, Said</t>
  </si>
  <si>
    <t>Director of Finance</t>
  </si>
  <si>
    <t>Reid, Laurie</t>
  </si>
  <si>
    <t>Director of Business Services</t>
  </si>
  <si>
    <t>Al Achy, Wissam</t>
  </si>
  <si>
    <t>Dentist Relations Manager</t>
  </si>
  <si>
    <t>Elduweini, Aman</t>
  </si>
  <si>
    <t>Director of IT</t>
  </si>
  <si>
    <t>Ayoub, Laith</t>
  </si>
  <si>
    <t>RM</t>
  </si>
  <si>
    <t>Regional Manager</t>
  </si>
  <si>
    <t>Hellegards, Mandi</t>
  </si>
  <si>
    <t>Olberg, Cheryl</t>
  </si>
  <si>
    <t>Placsko, Jamie</t>
  </si>
  <si>
    <t>Bernard, Jennifer</t>
  </si>
  <si>
    <t>Brijlall, Asha Chetna</t>
  </si>
  <si>
    <t>Harlow, Mark</t>
  </si>
  <si>
    <t>Ciccone, Shelley</t>
  </si>
  <si>
    <t>ST</t>
  </si>
  <si>
    <t>Habash, Odeh Justin</t>
  </si>
  <si>
    <t>HR Generalist</t>
  </si>
  <si>
    <t>Li, Nicole Kit Yan</t>
  </si>
  <si>
    <t>ST Mgr</t>
  </si>
  <si>
    <t>Talent Acquisition Manager</t>
  </si>
  <si>
    <t>Zymeri, Arbenita</t>
  </si>
  <si>
    <t>Talent Acquisition Specialist</t>
  </si>
  <si>
    <t>Zymeri, Rineta</t>
  </si>
  <si>
    <t>Kaiser, Erika</t>
  </si>
  <si>
    <t>Project Manager</t>
  </si>
  <si>
    <t>Rana, Surya</t>
  </si>
  <si>
    <t>Srikanth, Asha</t>
  </si>
  <si>
    <t>IT Support Specialist</t>
  </si>
  <si>
    <t>Armstrong, David</t>
  </si>
  <si>
    <t>Solutions Architect</t>
  </si>
  <si>
    <t>Puri, Deepesh</t>
  </si>
  <si>
    <t>Data Analyst</t>
  </si>
  <si>
    <t>Lopez, David</t>
  </si>
  <si>
    <t>Digital Marketing Manager</t>
  </si>
  <si>
    <t>Abi Khalil, Marwan</t>
  </si>
  <si>
    <t>Sr. Design Manager</t>
  </si>
  <si>
    <t>Ford, Claire</t>
  </si>
  <si>
    <t>Event Planner</t>
  </si>
  <si>
    <t>Clark, Celestyna Ruth</t>
  </si>
  <si>
    <t>Creative Designer</t>
  </si>
  <si>
    <t>Kedia, Vidhisha</t>
  </si>
  <si>
    <t>Kocznur, Jesse</t>
  </si>
  <si>
    <t>Motion Designer</t>
  </si>
  <si>
    <t>John, Jonathan</t>
  </si>
  <si>
    <t>Call Center Manager</t>
  </si>
  <si>
    <t>Jones, Brandie Gayle</t>
  </si>
  <si>
    <t>Call Center Rep</t>
  </si>
  <si>
    <t>Black, Marijna Alida</t>
  </si>
  <si>
    <t>Pelius, Jacqulene</t>
  </si>
  <si>
    <t>Milankovic, Tatjana</t>
  </si>
  <si>
    <t>Payroll Manager</t>
  </si>
  <si>
    <t>Ammari, Waleed</t>
  </si>
  <si>
    <t>Payroll Admin</t>
  </si>
  <si>
    <t>Gonzalez Garcia, Yamila</t>
  </si>
  <si>
    <t>Senior Accountant</t>
  </si>
  <si>
    <t>Wu, Yonglin</t>
  </si>
  <si>
    <t>Accountant</t>
  </si>
  <si>
    <t>Ranasinghe, Praveen</t>
  </si>
  <si>
    <t>Accounts Payable Admin</t>
  </si>
  <si>
    <t>Brennan, Cheri</t>
  </si>
  <si>
    <t>Guirguis, George</t>
  </si>
  <si>
    <t>TOTAL</t>
  </si>
  <si>
    <t>2025 Vacation</t>
  </si>
  <si>
    <t>2025 Days Taken Off by Month</t>
  </si>
  <si>
    <t>ST Total Workforce</t>
  </si>
  <si>
    <t>ST on Vacation</t>
  </si>
  <si>
    <t>ST % Working</t>
  </si>
  <si>
    <t>Day</t>
  </si>
  <si>
    <t>Month to Date</t>
  </si>
  <si>
    <t>Monday</t>
  </si>
  <si>
    <t>Tuesday</t>
  </si>
  <si>
    <t>Wednesday</t>
  </si>
  <si>
    <t>Thursday</t>
  </si>
  <si>
    <t>Friday</t>
  </si>
  <si>
    <t>Saturday</t>
  </si>
  <si>
    <t>Sunday</t>
  </si>
  <si>
    <t>Melconian, Mel</t>
  </si>
  <si>
    <t>Chief of Staff</t>
  </si>
  <si>
    <t>Reid, Jennifer</t>
  </si>
  <si>
    <t>NAME</t>
  </si>
  <si>
    <t>POSITION ID</t>
  </si>
  <si>
    <t>HOME DEPARTMENT</t>
  </si>
  <si>
    <t>POLICY NAME</t>
  </si>
  <si>
    <t>REASON CODE</t>
  </si>
  <si>
    <t>SUBMISSION DATE</t>
  </si>
  <si>
    <t>TIME OFF REQUEST DATE</t>
  </si>
  <si>
    <t>DURATION</t>
  </si>
  <si>
    <t>DAYS/HOURS</t>
  </si>
  <si>
    <t>REQUEST STATUS</t>
  </si>
  <si>
    <t>Nicole Only</t>
  </si>
  <si>
    <t>TSQ100079</t>
  </si>
  <si>
    <t>MRKTNG-MARKETING</t>
  </si>
  <si>
    <t>Vacation ON 8%</t>
  </si>
  <si>
    <t>Vacation</t>
  </si>
  <si>
    <t>13/03/2026</t>
  </si>
  <si>
    <t>Days</t>
  </si>
  <si>
    <t>Approved</t>
  </si>
  <si>
    <t>Acaya, Divina</t>
  </si>
  <si>
    <t>L7F108064</t>
  </si>
  <si>
    <t>ADMINS-Admin Staff</t>
  </si>
  <si>
    <t>SK-Vacation Hourly</t>
  </si>
  <si>
    <t>06/01/2026</t>
  </si>
  <si>
    <t>09/01/2026</t>
  </si>
  <si>
    <t>Hours</t>
  </si>
  <si>
    <t>13/01/2026</t>
  </si>
  <si>
    <t>16/01/2026</t>
  </si>
  <si>
    <t>TSQ100087</t>
  </si>
  <si>
    <t>INFTEC-INFO TECH</t>
  </si>
  <si>
    <t>Vacation ON</t>
  </si>
  <si>
    <t>10/03/2026</t>
  </si>
  <si>
    <t>23/03/2026</t>
  </si>
  <si>
    <t>Pending</t>
  </si>
  <si>
    <t>TSQ100002</t>
  </si>
  <si>
    <t>01/03/2026</t>
  </si>
  <si>
    <t>11/03/2026</t>
  </si>
  <si>
    <t>12/03/2026</t>
  </si>
  <si>
    <t>16/03/2026</t>
  </si>
  <si>
    <t>TSQ100117</t>
  </si>
  <si>
    <t>CALLCE-CALL CENTER</t>
  </si>
  <si>
    <t>UNPAID DAY</t>
  </si>
  <si>
    <t>UNPAID</t>
  </si>
  <si>
    <t>23/02/2026</t>
  </si>
  <si>
    <t>12/06/2026</t>
  </si>
  <si>
    <t>09/06/2026</t>
  </si>
  <si>
    <t>08/06/2026</t>
  </si>
  <si>
    <t>11/06/2026</t>
  </si>
  <si>
    <t>10/06/2026</t>
  </si>
  <si>
    <t>TSQ100033</t>
  </si>
  <si>
    <t>FINANC-FINANCE</t>
  </si>
  <si>
    <t>23/12/2025</t>
  </si>
  <si>
    <t>02/03/2026</t>
  </si>
  <si>
    <t>05/01/2026</t>
  </si>
  <si>
    <t>1AK000059</t>
  </si>
  <si>
    <t>REMGMT-Regional Management</t>
  </si>
  <si>
    <t>Vacation ON 6%</t>
  </si>
  <si>
    <t>25/11/2025</t>
  </si>
  <si>
    <t>02/01/2026</t>
  </si>
  <si>
    <t>Cepe, Hannah</t>
  </si>
  <si>
    <t>L7F108058</t>
  </si>
  <si>
    <t>HYGIEN-Hygiene</t>
  </si>
  <si>
    <t>16/02/2026</t>
  </si>
  <si>
    <t>19/02/2026</t>
  </si>
  <si>
    <t>20/02/2026</t>
  </si>
  <si>
    <t>TSQ100111</t>
  </si>
  <si>
    <t>26/11/2025</t>
  </si>
  <si>
    <t>08/01/2026</t>
  </si>
  <si>
    <t>12/01/2026</t>
  </si>
  <si>
    <t>05/03/2026</t>
  </si>
  <si>
    <t>TSQ100050</t>
  </si>
  <si>
    <t>19/05/2026</t>
  </si>
  <si>
    <t>21/05/2026</t>
  </si>
  <si>
    <t>29/12/2025</t>
  </si>
  <si>
    <t>07/01/2026</t>
  </si>
  <si>
    <t>20/05/2026</t>
  </si>
  <si>
    <t>22/05/2026</t>
  </si>
  <si>
    <t>TSQ100121</t>
  </si>
  <si>
    <t>17/02/2026</t>
  </si>
  <si>
    <t>18/02/2026</t>
  </si>
  <si>
    <t>18/03/2026</t>
  </si>
  <si>
    <t>Francisco, Shiela</t>
  </si>
  <si>
    <t>L7F108061</t>
  </si>
  <si>
    <t>DNTAST-Dental Assistant</t>
  </si>
  <si>
    <t>23/01/2026</t>
  </si>
  <si>
    <t>27/01/2026</t>
  </si>
  <si>
    <t>13/02/2026</t>
  </si>
  <si>
    <t>26/02/2026</t>
  </si>
  <si>
    <t>1AK000053</t>
  </si>
  <si>
    <t>27/03/2026</t>
  </si>
  <si>
    <t>30/01/2026</t>
  </si>
  <si>
    <t>09/02/2026</t>
  </si>
  <si>
    <t>06/12/2025</t>
  </si>
  <si>
    <t>04/08/2026</t>
  </si>
  <si>
    <t>05/08/2026</t>
  </si>
  <si>
    <t>Higgs, Shannon Lea</t>
  </si>
  <si>
    <t>L7F108011</t>
  </si>
  <si>
    <t>08/12/2025</t>
  </si>
  <si>
    <t>20/01/2026</t>
  </si>
  <si>
    <t>21/01/2026</t>
  </si>
  <si>
    <t>TSQ100114</t>
  </si>
  <si>
    <t>10/02/2026</t>
  </si>
  <si>
    <t>12/02/2026</t>
  </si>
  <si>
    <t>11/02/2026</t>
  </si>
  <si>
    <t>Kemp, Tanya</t>
  </si>
  <si>
    <t>L7F108019</t>
  </si>
  <si>
    <t>Vacation 8% hourly-Sask</t>
  </si>
  <si>
    <t>27/02/2026</t>
  </si>
  <si>
    <t>TSQ100086</t>
  </si>
  <si>
    <t>31/07/2026</t>
  </si>
  <si>
    <t>27/07/2026</t>
  </si>
  <si>
    <t>30/07/2026</t>
  </si>
  <si>
    <t>28/07/2026</t>
  </si>
  <si>
    <t>29/07/2026</t>
  </si>
  <si>
    <t>TSQ100103</t>
  </si>
  <si>
    <t>HUMRES-HUMAN RESOURCES</t>
  </si>
  <si>
    <t>06/03/2026</t>
  </si>
  <si>
    <t>TSQ100094</t>
  </si>
  <si>
    <t>06/02/2026</t>
  </si>
  <si>
    <t>19/03/2026</t>
  </si>
  <si>
    <t>17/03/2026</t>
  </si>
  <si>
    <t>20/03/2026</t>
  </si>
  <si>
    <t>L7F108017</t>
  </si>
  <si>
    <t>SK Salary Vac</t>
  </si>
  <si>
    <t>29/01/2026</t>
  </si>
  <si>
    <t>05/05/2026</t>
  </si>
  <si>
    <t>04/05/2026</t>
  </si>
  <si>
    <t>06/05/2026</t>
  </si>
  <si>
    <t>27/04/2026</t>
  </si>
  <si>
    <t>07/05/2026</t>
  </si>
  <si>
    <t>28/01/2026</t>
  </si>
  <si>
    <t>30/04/2026</t>
  </si>
  <si>
    <t>26/01/2026</t>
  </si>
  <si>
    <t>28/04/2026</t>
  </si>
  <si>
    <t>29/04/2026</t>
  </si>
  <si>
    <t>Paluck, Amanda Nicole</t>
  </si>
  <si>
    <t>L7F108007</t>
  </si>
  <si>
    <t>09/03/2026</t>
  </si>
  <si>
    <t>TSQ100118</t>
  </si>
  <si>
    <t>19/10/2025</t>
  </si>
  <si>
    <t>1KC000052</t>
  </si>
  <si>
    <t>15/01/2026</t>
  </si>
  <si>
    <t>09/10/2025</t>
  </si>
  <si>
    <t>25/03/2026</t>
  </si>
  <si>
    <t>24/03/2026</t>
  </si>
  <si>
    <t>26/03/2026</t>
  </si>
  <si>
    <t>TSQ100100</t>
  </si>
  <si>
    <t>PROYMA-Project Manager</t>
  </si>
  <si>
    <t>15/12/2025</t>
  </si>
  <si>
    <t>22/01/2026</t>
  </si>
  <si>
    <t>TSQ100071</t>
  </si>
  <si>
    <t>19/01/2026</t>
  </si>
  <si>
    <t>TSQ100010</t>
  </si>
  <si>
    <t>Vacation ON Exception</t>
  </si>
  <si>
    <t>09/11/2025</t>
  </si>
  <si>
    <t>24/04/2026</t>
  </si>
  <si>
    <t>21/04/2026</t>
  </si>
  <si>
    <t>20/04/2026</t>
  </si>
  <si>
    <t>22/04/2026</t>
  </si>
  <si>
    <t>23/04/2026</t>
  </si>
  <si>
    <t>TSQ100113</t>
  </si>
  <si>
    <t>Report Totals:</t>
  </si>
  <si>
    <t>122 Time Off Request(s)</t>
  </si>
  <si>
    <t>Month #</t>
  </si>
  <si>
    <t>21/07/2025</t>
  </si>
  <si>
    <t>21/08/2025</t>
  </si>
  <si>
    <t>22/08/2025</t>
  </si>
  <si>
    <t>25/06/2025</t>
  </si>
  <si>
    <t>30/06/2025</t>
  </si>
  <si>
    <t>28/08/2025</t>
  </si>
  <si>
    <t>18/08/2025</t>
  </si>
  <si>
    <t>29/08/2025</t>
  </si>
  <si>
    <t>15/08/2025</t>
  </si>
  <si>
    <t>25/08/2025</t>
  </si>
  <si>
    <t>27/08/2025</t>
  </si>
  <si>
    <t>20/08/2025</t>
  </si>
  <si>
    <t>26/08/2025</t>
  </si>
  <si>
    <t>19/08/2025</t>
  </si>
  <si>
    <t>14/08/2025</t>
  </si>
  <si>
    <t>31/12/2025</t>
  </si>
  <si>
    <t>26/12/2025</t>
  </si>
  <si>
    <t>24/12/2025</t>
  </si>
  <si>
    <t>05/12/2025</t>
  </si>
  <si>
    <t>04/12/2025</t>
  </si>
  <si>
    <t>TSQ100083</t>
  </si>
  <si>
    <t>EXEMGM-Executive Management</t>
  </si>
  <si>
    <t>24/07/2025</t>
  </si>
  <si>
    <t>30/07/2025</t>
  </si>
  <si>
    <t>06/06/2025</t>
  </si>
  <si>
    <t>31/07/2025</t>
  </si>
  <si>
    <t>27/03/2025</t>
  </si>
  <si>
    <t>31/03/2025</t>
  </si>
  <si>
    <t>20/12/2024</t>
  </si>
  <si>
    <t>02/01/2025</t>
  </si>
  <si>
    <t>02/04/2025</t>
  </si>
  <si>
    <t>01/04/2025</t>
  </si>
  <si>
    <t>03/01/2025</t>
  </si>
  <si>
    <t>TSQ100001</t>
  </si>
  <si>
    <t>24/11/2025</t>
  </si>
  <si>
    <t>07/04/2025</t>
  </si>
  <si>
    <t>26/05/2025</t>
  </si>
  <si>
    <t>04/06/2025</t>
  </si>
  <si>
    <t>16/05/2025</t>
  </si>
  <si>
    <t>10/06/2025</t>
  </si>
  <si>
    <t>05/06/2025</t>
  </si>
  <si>
    <t>13/06/2025</t>
  </si>
  <si>
    <t>11/06/2025</t>
  </si>
  <si>
    <t>30/05/2025</t>
  </si>
  <si>
    <t>03/06/2025</t>
  </si>
  <si>
    <t>30/12/2025</t>
  </si>
  <si>
    <t>12/12/2025</t>
  </si>
  <si>
    <t>12/06/2025</t>
  </si>
  <si>
    <t>17/03/2025</t>
  </si>
  <si>
    <t>21/04/2025</t>
  </si>
  <si>
    <t>22/12/2025</t>
  </si>
  <si>
    <t>29/04/2025</t>
  </si>
  <si>
    <t>08/05/2025</t>
  </si>
  <si>
    <t>08/09/2025</t>
  </si>
  <si>
    <t>24/09/2025</t>
  </si>
  <si>
    <t>22/09/2025</t>
  </si>
  <si>
    <t>16/09/2025</t>
  </si>
  <si>
    <t>09/05/2025</t>
  </si>
  <si>
    <t>11/03/2025</t>
  </si>
  <si>
    <t>25/04/2025</t>
  </si>
  <si>
    <t>23/09/2025</t>
  </si>
  <si>
    <t>28/04/2025</t>
  </si>
  <si>
    <t>04/02/2025</t>
  </si>
  <si>
    <t>12/02/2025</t>
  </si>
  <si>
    <t>16/07/2025</t>
  </si>
  <si>
    <t>15/07/2025</t>
  </si>
  <si>
    <t>07/10/2025</t>
  </si>
  <si>
    <t>10/10/2025</t>
  </si>
  <si>
    <t>18/07/2025</t>
  </si>
  <si>
    <t>17/07/2025</t>
  </si>
  <si>
    <t>1AK000058</t>
  </si>
  <si>
    <t>30/11/2025</t>
  </si>
  <si>
    <t>09/12/2025</t>
  </si>
  <si>
    <t>26/09/2025</t>
  </si>
  <si>
    <t>13/01/2025</t>
  </si>
  <si>
    <t>20/01/2025</t>
  </si>
  <si>
    <t>31/12/2024</t>
  </si>
  <si>
    <t>27/06/2025</t>
  </si>
  <si>
    <t>22/01/2025</t>
  </si>
  <si>
    <t>23/01/2025</t>
  </si>
  <si>
    <t>15/05/2025</t>
  </si>
  <si>
    <t>01/07/2025</t>
  </si>
  <si>
    <t>03/07/2025</t>
  </si>
  <si>
    <t>21/01/2025</t>
  </si>
  <si>
    <t>24/01/2025</t>
  </si>
  <si>
    <t>17/01/2025</t>
  </si>
  <si>
    <t>18/12/2024</t>
  </si>
  <si>
    <t>Sick</t>
  </si>
  <si>
    <t>17/06/2025</t>
  </si>
  <si>
    <t>20/03/2025</t>
  </si>
  <si>
    <t>18/03/2025</t>
  </si>
  <si>
    <t>20/06/2025</t>
  </si>
  <si>
    <t>19/06/2025</t>
  </si>
  <si>
    <t>07/03/2025</t>
  </si>
  <si>
    <t>10/03/2025</t>
  </si>
  <si>
    <t>13/03/2025</t>
  </si>
  <si>
    <t>05/09/2025</t>
  </si>
  <si>
    <t>03/09/2025</t>
  </si>
  <si>
    <t>12/03/2025</t>
  </si>
  <si>
    <t>16/06/2025</t>
  </si>
  <si>
    <t>14/03/2025</t>
  </si>
  <si>
    <t>18/06/2025</t>
  </si>
  <si>
    <t>02/09/2025</t>
  </si>
  <si>
    <t>08/10/2025</t>
  </si>
  <si>
    <t>03/10/2025</t>
  </si>
  <si>
    <t>22/07/2025</t>
  </si>
  <si>
    <t>22/05/2025</t>
  </si>
  <si>
    <t>06/10/2025</t>
  </si>
  <si>
    <t>05/02/2025</t>
  </si>
  <si>
    <t>22/04/2025</t>
  </si>
  <si>
    <t>27/11/2025</t>
  </si>
  <si>
    <t>01/12/2025</t>
  </si>
  <si>
    <t>02/12/2025</t>
  </si>
  <si>
    <t>28/11/2025</t>
  </si>
  <si>
    <t>20/05/2025</t>
  </si>
  <si>
    <t>03/12/2025</t>
  </si>
  <si>
    <t>21/05/2025</t>
  </si>
  <si>
    <t>23/05/2025</t>
  </si>
  <si>
    <t>16/12/2025</t>
  </si>
  <si>
    <t>05/08/2025</t>
  </si>
  <si>
    <t>19/03/2025</t>
  </si>
  <si>
    <t>TSQ100070</t>
  </si>
  <si>
    <t>15/09/2025</t>
  </si>
  <si>
    <t>18/12/2025</t>
  </si>
  <si>
    <t>19/12/2025</t>
  </si>
  <si>
    <t>Gray, Taylor</t>
  </si>
  <si>
    <t>L7F108027</t>
  </si>
  <si>
    <t>TSQ100069</t>
  </si>
  <si>
    <t>25/09/2025</t>
  </si>
  <si>
    <t>TSQ100116</t>
  </si>
  <si>
    <t>08/07/2025</t>
  </si>
  <si>
    <t>08/08/2025</t>
  </si>
  <si>
    <t>07/08/2025</t>
  </si>
  <si>
    <t>02/07/2025</t>
  </si>
  <si>
    <t>06/08/2025</t>
  </si>
  <si>
    <t>10/02/2025</t>
  </si>
  <si>
    <t>14/02/2025</t>
  </si>
  <si>
    <t>25/07/2025</t>
  </si>
  <si>
    <t>23/07/2025</t>
  </si>
  <si>
    <t>1KC000051</t>
  </si>
  <si>
    <t>06/07/2025</t>
  </si>
  <si>
    <t>12/08/2025</t>
  </si>
  <si>
    <t>04/07/2025</t>
  </si>
  <si>
    <t>25/02/2025</t>
  </si>
  <si>
    <t>04/03/2025</t>
  </si>
  <si>
    <t>13/08/2025</t>
  </si>
  <si>
    <t>11/08/2025</t>
  </si>
  <si>
    <t>11/02/2025</t>
  </si>
  <si>
    <t>03/02/2025</t>
  </si>
  <si>
    <t>26/03/2025</t>
  </si>
  <si>
    <t>05/03/2025</t>
  </si>
  <si>
    <t>03/03/2025</t>
  </si>
  <si>
    <t>04/09/2025</t>
  </si>
  <si>
    <t>Horrell, Cinda</t>
  </si>
  <si>
    <t>L7F108024</t>
  </si>
  <si>
    <t>09/06/2025</t>
  </si>
  <si>
    <t>22/06/2025</t>
  </si>
  <si>
    <t>TSQ100084</t>
  </si>
  <si>
    <t>03/04/2025</t>
  </si>
  <si>
    <t>01/05/2025</t>
  </si>
  <si>
    <t>16/04/2025</t>
  </si>
  <si>
    <t>09/04/2025</t>
  </si>
  <si>
    <t>14/04/2025</t>
  </si>
  <si>
    <t>02/05/2025</t>
  </si>
  <si>
    <t>15/04/2025</t>
  </si>
  <si>
    <t>07/07/2025</t>
  </si>
  <si>
    <t>29/07/2025</t>
  </si>
  <si>
    <t>26/06/2025</t>
  </si>
  <si>
    <t>07/11/2025</t>
  </si>
  <si>
    <t>20/11/2025</t>
  </si>
  <si>
    <t>24/06/2025</t>
  </si>
  <si>
    <t>18/02/2025</t>
  </si>
  <si>
    <t>21/02/2025</t>
  </si>
  <si>
    <t>19/02/2025</t>
  </si>
  <si>
    <t>21/11/2025</t>
  </si>
  <si>
    <t>17/11/2025</t>
  </si>
  <si>
    <t>18/11/2025</t>
  </si>
  <si>
    <t>26/02/2025</t>
  </si>
  <si>
    <t>28/02/2025</t>
  </si>
  <si>
    <t>28/07/2025</t>
  </si>
  <si>
    <t>27/02/2025</t>
  </si>
  <si>
    <t>30/04/2025</t>
  </si>
  <si>
    <t>12/05/2025</t>
  </si>
  <si>
    <t>02/06/2025</t>
  </si>
  <si>
    <t>07/01/2025</t>
  </si>
  <si>
    <t>07/05/2025</t>
  </si>
  <si>
    <t>29/09/2025</t>
  </si>
  <si>
    <t>30/09/2025</t>
  </si>
  <si>
    <t>17/10/2025</t>
  </si>
  <si>
    <t>01/10/2025</t>
  </si>
  <si>
    <t>10/01/2025</t>
  </si>
  <si>
    <t>24/03/2025</t>
  </si>
  <si>
    <t>17/04/2025</t>
  </si>
  <si>
    <t>19/05/2025</t>
  </si>
  <si>
    <t>14/05/2025</t>
  </si>
  <si>
    <t>30/01/2025</t>
  </si>
  <si>
    <t>05/05/2025</t>
  </si>
  <si>
    <t>06/05/2025</t>
  </si>
  <si>
    <t>13/05/2025</t>
  </si>
  <si>
    <t>15/01/2025</t>
  </si>
  <si>
    <t>28/03/2025</t>
  </si>
  <si>
    <t>25/03/2025</t>
  </si>
  <si>
    <t>21/03/2025</t>
  </si>
  <si>
    <t>04/08/2025</t>
  </si>
  <si>
    <t>16/03/2025</t>
  </si>
  <si>
    <t>TSQ100115</t>
  </si>
  <si>
    <t>10/12/2025</t>
  </si>
  <si>
    <t>31/05/2025</t>
  </si>
  <si>
    <t>14/10/2025</t>
  </si>
  <si>
    <t>18/05/2025</t>
  </si>
  <si>
    <t>07/09/2025</t>
  </si>
  <si>
    <t>25/10/2024</t>
  </si>
  <si>
    <t>23/04/2025</t>
  </si>
  <si>
    <t>24/04/2025</t>
  </si>
  <si>
    <t>Roth, Nancy</t>
  </si>
  <si>
    <t>L7F108009</t>
  </si>
  <si>
    <t>09/01/2025</t>
  </si>
  <si>
    <t>08/01/2025</t>
  </si>
  <si>
    <t>Trueman, Cassidy</t>
  </si>
  <si>
    <t>TSQ100077</t>
  </si>
  <si>
    <t>ON/AB VACATION HOURLY</t>
  </si>
  <si>
    <t>17/12/2025</t>
  </si>
  <si>
    <t>Wright, Danielle</t>
  </si>
  <si>
    <t>L7F108018</t>
  </si>
  <si>
    <t>31/10/2025</t>
  </si>
  <si>
    <t>21/10/2025</t>
  </si>
  <si>
    <t>20/10/2025</t>
  </si>
  <si>
    <t>23/10/2025</t>
  </si>
  <si>
    <t>24/10/2025</t>
  </si>
  <si>
    <t>22/10/2025</t>
  </si>
  <si>
    <t>15/10/2025</t>
  </si>
  <si>
    <t>TSQ100012</t>
  </si>
  <si>
    <t>16/10/2025</t>
  </si>
  <si>
    <t>17/09/2025</t>
  </si>
  <si>
    <t>Yamamoto, Miyahki Jane</t>
  </si>
  <si>
    <t>L7F108045</t>
  </si>
  <si>
    <t>DNTAID-Dental Aide</t>
  </si>
  <si>
    <t>10/04/2025</t>
  </si>
  <si>
    <t>04/04/2025</t>
  </si>
  <si>
    <t>421 Time Off Request(s)</t>
  </si>
  <si>
    <t>seq</t>
  </si>
  <si>
    <t>Start Date</t>
  </si>
  <si>
    <t>2025 Actual Vacation Entitlement</t>
  </si>
  <si>
    <t>2026 Actual Vacation Entitlement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</si>
</sst>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#,##0.00;\-#,##0.00;#,##0.00"/>
  </numFmts>
  <fonts count="15">
    <font>
      <sz val="11"/>
      <color theme="1"/>
      <name val="Calibri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1"/>
      <color rgb="FF000000"/>
      <name val="Aptos Narrow"/>
      <family val="2"/>
    </font>
    <font>
      <sz val="9"/>
      <color theme="1"/>
      <name val="Calibri"/>
      <family val="2"/>
    </font>
    <font>
      <sz val="9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9"/>
      <color rgb="FFFFFFFF"/>
      <name val="Noto Sans"/>
    </font>
    <font>
      <sz val="9"/>
      <color rgb="FF000000"/>
      <name val="Noto Sans"/>
    </font>
    <font>
      <b/>
      <sz val="9"/>
      <color theme="1"/>
      <name val="Aptos Display"/>
      <family val="2"/>
      <scheme val="major"/>
    </font>
    <font>
      <sz val="11"/>
      <color theme="1"/>
      <name val="Calibri"/>
      <family val="2"/>
    </font>
    <font>
      <sz val="12"/>
      <color theme="0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3EBEDE"/>
      </patternFill>
    </fill>
    <fill>
      <patternFill patternType="solid">
        <fgColor rgb="FF89E3F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9" fontId="1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9" fontId="2" fillId="4" borderId="0" xfId="0" applyNumberFormat="1" applyFont="1" applyFill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0" fillId="0" borderId="0" xfId="0" applyNumberFormat="1"/>
    <xf numFmtId="0" fontId="1" fillId="0" borderId="12" xfId="0" applyFont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4" fillId="4" borderId="1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4" fontId="6" fillId="0" borderId="0" xfId="0" applyNumberFormat="1" applyFont="1"/>
    <xf numFmtId="2" fontId="0" fillId="0" borderId="0" xfId="0" applyNumberFormat="1"/>
    <xf numFmtId="0" fontId="0" fillId="4" borderId="0" xfId="0" applyFill="1"/>
    <xf numFmtId="0" fontId="1" fillId="4" borderId="0" xfId="0" applyFont="1" applyFill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7" fillId="4" borderId="0" xfId="0" applyFont="1" applyFill="1"/>
    <xf numFmtId="0" fontId="8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10" fontId="7" fillId="4" borderId="0" xfId="0" applyNumberFormat="1" applyFont="1" applyFill="1"/>
    <xf numFmtId="0" fontId="7" fillId="5" borderId="0" xfId="0" applyFont="1" applyFill="1"/>
    <xf numFmtId="10" fontId="7" fillId="5" borderId="0" xfId="0" applyNumberFormat="1" applyFont="1" applyFill="1"/>
    <xf numFmtId="0" fontId="0" fillId="5" borderId="0" xfId="0" applyFill="1"/>
    <xf numFmtId="0" fontId="7" fillId="6" borderId="0" xfId="0" applyFont="1" applyFill="1"/>
    <xf numFmtId="10" fontId="7" fillId="6" borderId="0" xfId="0" applyNumberFormat="1" applyFont="1" applyFill="1"/>
    <xf numFmtId="0" fontId="0" fillId="6" borderId="0" xfId="0" applyFill="1"/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0" fontId="7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1" fillId="4" borderId="4" xfId="0" applyFont="1" applyFill="1" applyBorder="1" applyAlignment="1">
      <alignment horizontal="center" vertical="center" wrapText="1"/>
    </xf>
    <xf numFmtId="164" fontId="9" fillId="4" borderId="4" xfId="0" applyNumberFormat="1" applyFont="1" applyFill="1" applyBorder="1" applyAlignment="1">
      <alignment horizontal="center" vertical="center" wrapText="1"/>
    </xf>
    <xf numFmtId="164" fontId="9" fillId="4" borderId="5" xfId="0" applyNumberFormat="1" applyFont="1" applyFill="1" applyBorder="1" applyAlignment="1">
      <alignment vertical="center" wrapText="1"/>
    </xf>
    <xf numFmtId="164" fontId="9" fillId="5" borderId="5" xfId="0" applyNumberFormat="1" applyFont="1" applyFill="1" applyBorder="1" applyAlignment="1">
      <alignment vertical="center" wrapText="1"/>
    </xf>
    <xf numFmtId="164" fontId="9" fillId="6" borderId="5" xfId="0" applyNumberFormat="1" applyFont="1" applyFill="1" applyBorder="1" applyAlignment="1">
      <alignment vertical="center" wrapText="1"/>
    </xf>
    <xf numFmtId="164" fontId="9" fillId="4" borderId="6" xfId="0" applyNumberFormat="1" applyFont="1" applyFill="1" applyBorder="1" applyAlignment="1">
      <alignment vertical="center" wrapText="1"/>
    </xf>
    <xf numFmtId="16" fontId="0" fillId="4" borderId="0" xfId="0" applyNumberForma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0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39" fontId="11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center" vertical="top" wrapText="1"/>
    </xf>
    <xf numFmtId="0" fontId="11" fillId="3" borderId="0" xfId="0" applyFont="1" applyFill="1" applyAlignment="1">
      <alignment horizontal="left" vertical="top" wrapText="1"/>
    </xf>
    <xf numFmtId="0" fontId="11" fillId="3" borderId="0" xfId="0" applyFont="1" applyFill="1" applyAlignment="1">
      <alignment horizontal="center" vertical="top" wrapText="1"/>
    </xf>
    <xf numFmtId="164" fontId="9" fillId="4" borderId="11" xfId="0" applyNumberFormat="1" applyFont="1" applyFill="1" applyBorder="1" applyAlignment="1">
      <alignment vertical="center" wrapText="1"/>
    </xf>
    <xf numFmtId="164" fontId="9" fillId="4" borderId="11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7" fillId="0" borderId="0" xfId="0" applyFont="1"/>
    <xf numFmtId="10" fontId="7" fillId="0" borderId="0" xfId="0" applyNumberFormat="1" applyFont="1"/>
    <xf numFmtId="164" fontId="9" fillId="0" borderId="11" xfId="0" applyNumberFormat="1" applyFont="1" applyBorder="1" applyAlignment="1">
      <alignment vertical="center" wrapText="1"/>
    </xf>
    <xf numFmtId="164" fontId="9" fillId="0" borderId="11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4" fontId="9" fillId="6" borderId="7" xfId="0" applyNumberFormat="1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64" fontId="9" fillId="5" borderId="11" xfId="0" applyNumberFormat="1" applyFont="1" applyFill="1" applyBorder="1" applyAlignment="1">
      <alignment horizontal="center" vertical="center" wrapText="1"/>
    </xf>
    <xf numFmtId="164" fontId="9" fillId="5" borderId="11" xfId="0" applyNumberFormat="1" applyFont="1" applyFill="1" applyBorder="1" applyAlignment="1">
      <alignment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10" fontId="7" fillId="6" borderId="0" xfId="0" applyNumberFormat="1" applyFont="1" applyFill="1" applyAlignment="1">
      <alignment horizontal="center" vertical="center"/>
    </xf>
    <xf numFmtId="164" fontId="9" fillId="5" borderId="8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0" fontId="7" fillId="5" borderId="0" xfId="0" applyNumberFormat="1" applyFont="1" applyFill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 wrapText="1"/>
    </xf>
    <xf numFmtId="164" fontId="9" fillId="5" borderId="14" xfId="0" applyNumberFormat="1" applyFont="1" applyFill="1" applyBorder="1" applyAlignment="1">
      <alignment horizontal="center" vertical="center" wrapText="1"/>
    </xf>
    <xf numFmtId="0" fontId="0" fillId="7" borderId="0" xfId="0" applyFill="1"/>
    <xf numFmtId="0" fontId="7" fillId="7" borderId="0" xfId="0" applyFont="1" applyFill="1"/>
    <xf numFmtId="10" fontId="7" fillId="7" borderId="0" xfId="0" applyNumberFormat="1" applyFont="1" applyFill="1"/>
    <xf numFmtId="164" fontId="9" fillId="7" borderId="7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4" fillId="4" borderId="16" xfId="0" applyFont="1" applyFill="1" applyBorder="1" applyAlignment="1">
      <alignment horizontal="left" vertical="center"/>
    </xf>
    <xf numFmtId="0" fontId="2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left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center" vertical="center" wrapText="1"/>
    </xf>
    <xf numFmtId="9" fontId="2" fillId="4" borderId="20" xfId="0" applyNumberFormat="1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left" vertical="center" wrapText="1"/>
    </xf>
    <xf numFmtId="0" fontId="2" fillId="4" borderId="28" xfId="0" applyFont="1" applyFill="1" applyBorder="1" applyAlignment="1">
      <alignment horizontal="left" vertical="center"/>
    </xf>
    <xf numFmtId="0" fontId="0" fillId="6" borderId="29" xfId="0" applyFill="1" applyBorder="1" applyAlignment="1">
      <alignment horizontal="center" vertical="center"/>
    </xf>
    <xf numFmtId="0" fontId="0" fillId="4" borderId="25" xfId="0" applyFill="1" applyBorder="1"/>
    <xf numFmtId="0" fontId="0" fillId="5" borderId="25" xfId="0" applyFill="1" applyBorder="1"/>
    <xf numFmtId="0" fontId="0" fillId="0" borderId="25" xfId="0" applyBorder="1"/>
    <xf numFmtId="0" fontId="0" fillId="5" borderId="30" xfId="0" applyFill="1" applyBorder="1"/>
    <xf numFmtId="0" fontId="0" fillId="6" borderId="31" xfId="0" applyFill="1" applyBorder="1" applyAlignment="1">
      <alignment horizontal="center" vertical="center"/>
    </xf>
    <xf numFmtId="0" fontId="0" fillId="4" borderId="16" xfId="0" applyFill="1" applyBorder="1"/>
    <xf numFmtId="0" fontId="0" fillId="5" borderId="16" xfId="0" applyFill="1" applyBorder="1"/>
    <xf numFmtId="0" fontId="0" fillId="0" borderId="16" xfId="0" applyBorder="1"/>
    <xf numFmtId="0" fontId="0" fillId="5" borderId="28" xfId="0" applyFill="1" applyBorder="1"/>
    <xf numFmtId="0" fontId="0" fillId="6" borderId="32" xfId="0" applyFill="1" applyBorder="1" applyAlignment="1">
      <alignment horizontal="center" vertical="center"/>
    </xf>
    <xf numFmtId="0" fontId="0" fillId="4" borderId="22" xfId="0" applyFill="1" applyBorder="1"/>
    <xf numFmtId="0" fontId="0" fillId="5" borderId="22" xfId="0" applyFill="1" applyBorder="1"/>
    <xf numFmtId="0" fontId="0" fillId="0" borderId="22" xfId="0" applyBorder="1"/>
    <xf numFmtId="0" fontId="0" fillId="5" borderId="33" xfId="0" applyFill="1" applyBorder="1"/>
    <xf numFmtId="0" fontId="3" fillId="4" borderId="34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left" vertical="center"/>
    </xf>
    <xf numFmtId="0" fontId="13" fillId="0" borderId="0" xfId="0" applyFont="1"/>
    <xf numFmtId="0" fontId="4" fillId="4" borderId="39" xfId="0" applyFont="1" applyFill="1" applyBorder="1" applyAlignment="1">
      <alignment horizontal="left" vertical="center"/>
    </xf>
    <xf numFmtId="0" fontId="2" fillId="4" borderId="38" xfId="0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9" fontId="1" fillId="0" borderId="44" xfId="0" applyNumberFormat="1" applyFont="1" applyBorder="1" applyAlignment="1">
      <alignment horizontal="center" vertical="center" wrapText="1"/>
    </xf>
    <xf numFmtId="9" fontId="2" fillId="4" borderId="45" xfId="0" applyNumberFormat="1" applyFont="1" applyFill="1" applyBorder="1" applyAlignment="1">
      <alignment horizontal="center" vertical="center"/>
    </xf>
    <xf numFmtId="9" fontId="2" fillId="4" borderId="44" xfId="0" applyNumberFormat="1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9" fontId="2" fillId="4" borderId="47" xfId="0" applyNumberFormat="1" applyFont="1" applyFill="1" applyBorder="1" applyAlignment="1">
      <alignment horizontal="center" vertical="center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/>
    </xf>
    <xf numFmtId="0" fontId="2" fillId="4" borderId="56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/>
    </xf>
    <xf numFmtId="0" fontId="2" fillId="4" borderId="57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1" fontId="3" fillId="0" borderId="49" xfId="0" applyNumberFormat="1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14" fontId="2" fillId="4" borderId="44" xfId="0" applyNumberFormat="1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left" vertical="center"/>
    </xf>
    <xf numFmtId="14" fontId="2" fillId="4" borderId="47" xfId="0" applyNumberFormat="1" applyFont="1" applyFill="1" applyBorder="1" applyAlignment="1">
      <alignment horizontal="center" vertical="center"/>
    </xf>
    <xf numFmtId="0" fontId="5" fillId="0" borderId="59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2" fillId="4" borderId="63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0" fontId="2" fillId="4" borderId="65" xfId="0" applyFont="1" applyFill="1" applyBorder="1" applyAlignment="1">
      <alignment horizontal="center" vertical="center"/>
    </xf>
    <xf numFmtId="9" fontId="2" fillId="4" borderId="66" xfId="0" applyNumberFormat="1" applyFont="1" applyFill="1" applyBorder="1" applyAlignment="1">
      <alignment horizontal="center" vertical="center"/>
    </xf>
    <xf numFmtId="1" fontId="3" fillId="4" borderId="67" xfId="0" applyNumberFormat="1" applyFont="1" applyFill="1" applyBorder="1" applyAlignment="1">
      <alignment horizontal="center" vertical="center" wrapText="1"/>
    </xf>
    <xf numFmtId="9" fontId="2" fillId="4" borderId="68" xfId="0" applyNumberFormat="1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 wrapText="1"/>
    </xf>
    <xf numFmtId="0" fontId="3" fillId="4" borderId="69" xfId="0" applyFont="1" applyFill="1" applyBorder="1" applyAlignment="1">
      <alignment horizontal="center" vertical="center" wrapText="1"/>
    </xf>
    <xf numFmtId="0" fontId="3" fillId="0" borderId="70" xfId="0" applyFont="1" applyBorder="1" applyAlignment="1">
      <alignment horizontal="center" vertical="center" wrapText="1"/>
    </xf>
    <xf numFmtId="0" fontId="2" fillId="4" borderId="70" xfId="0" applyFont="1" applyFill="1" applyBorder="1" applyAlignment="1">
      <alignment horizontal="center" vertical="center"/>
    </xf>
    <xf numFmtId="9" fontId="2" fillId="4" borderId="71" xfId="0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165" fontId="11" fillId="0" borderId="0" xfId="0" applyNumberFormat="1" applyFont="1" applyAlignment="1">
      <alignment horizontal="left" vertical="top" wrapText="1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/>
    </xf>
    <xf numFmtId="0" fontId="0" fillId="7" borderId="16" xfId="0" applyFill="1" applyBorder="1"/>
    <xf numFmtId="0" fontId="2" fillId="0" borderId="16" xfId="0" applyFont="1" applyBorder="1" applyAlignment="1">
      <alignment horizontal="left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6" borderId="16" xfId="0" applyFill="1" applyBorder="1"/>
    <xf numFmtId="0" fontId="5" fillId="6" borderId="7" xfId="0" applyFont="1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/>
    </xf>
    <xf numFmtId="14" fontId="2" fillId="4" borderId="16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3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50A3-FF72-4FD0-9814-EF5C418541A7}">
  <sheetPr>
    <tabColor rgb="FFFFC000"/>
  </sheetPr>
  <dimension ref="A1:AB55"/>
  <sheetViews>
    <sheetView showGridLines="0" tabSelected="1" workbookViewId="0">
      <pane xSplit="4" ySplit="3" topLeftCell="F11" activePane="bottomRight" state="frozen"/>
      <selection pane="bottomRight" activeCell="N17" sqref="N17"/>
      <selection pane="bottomLeft"/>
      <selection pane="topRight"/>
    </sheetView>
  </sheetViews>
  <sheetFormatPr defaultColWidth="9.140625" defaultRowHeight="15.75" customHeight="1"/>
  <cols>
    <col min="1" max="1" width="3.140625" style="2" customWidth="1"/>
    <col min="2" max="2" width="6.85546875" style="29" customWidth="1"/>
    <col min="3" max="3" width="23.42578125" style="23" bestFit="1" customWidth="1"/>
    <col min="4" max="4" width="23.85546875" style="2" bestFit="1" customWidth="1"/>
    <col min="5" max="5" width="16.5703125" style="2" customWidth="1"/>
    <col min="6" max="6" width="1.28515625" style="2" customWidth="1"/>
    <col min="7" max="7" width="10.28515625" style="3" customWidth="1"/>
    <col min="8" max="8" width="9.5703125" style="3" customWidth="1"/>
    <col min="9" max="9" width="9.28515625" style="3" customWidth="1"/>
    <col min="10" max="10" width="10.7109375" style="3" customWidth="1"/>
    <col min="11" max="11" width="11.140625" style="3" customWidth="1"/>
    <col min="12" max="12" width="11.85546875" style="4" customWidth="1"/>
    <col min="13" max="13" width="1.85546875" style="4" customWidth="1"/>
    <col min="14" max="25" width="12.7109375" style="2" customWidth="1"/>
    <col min="26" max="26" width="1.28515625" style="2" customWidth="1"/>
    <col min="27" max="27" width="1" style="2" customWidth="1"/>
    <col min="28" max="16384" width="9.140625" style="2"/>
  </cols>
  <sheetData>
    <row r="1" spans="1:28">
      <c r="M1" s="2"/>
    </row>
    <row r="2" spans="1:28">
      <c r="B2" s="228" t="s">
        <v>0</v>
      </c>
      <c r="C2" s="229"/>
      <c r="D2" s="230"/>
      <c r="E2" s="176"/>
      <c r="G2" s="228" t="s">
        <v>1</v>
      </c>
      <c r="H2" s="229"/>
      <c r="I2" s="229"/>
      <c r="J2" s="232"/>
      <c r="K2" s="232"/>
      <c r="L2" s="230"/>
      <c r="M2" s="2"/>
      <c r="N2" s="231" t="s">
        <v>2</v>
      </c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3"/>
    </row>
    <row r="3" spans="1:28" s="1" customFormat="1" ht="54.75" customHeight="1">
      <c r="B3" s="28" t="s">
        <v>3</v>
      </c>
      <c r="C3" s="24" t="s">
        <v>4</v>
      </c>
      <c r="D3" s="7" t="s">
        <v>5</v>
      </c>
      <c r="E3" s="193" t="s">
        <v>6</v>
      </c>
      <c r="G3" s="18" t="s">
        <v>7</v>
      </c>
      <c r="H3" s="1" t="s">
        <v>8</v>
      </c>
      <c r="I3" s="5" t="s">
        <v>9</v>
      </c>
      <c r="J3" s="193" t="s">
        <v>10</v>
      </c>
      <c r="K3" s="185" t="s">
        <v>11</v>
      </c>
      <c r="L3" s="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17</v>
      </c>
      <c r="S3" s="16" t="s">
        <v>18</v>
      </c>
      <c r="T3" s="16" t="s">
        <v>19</v>
      </c>
      <c r="U3" s="16" t="s">
        <v>20</v>
      </c>
      <c r="V3" s="16" t="s">
        <v>21</v>
      </c>
      <c r="W3" s="16" t="s">
        <v>22</v>
      </c>
      <c r="X3" s="16" t="s">
        <v>23</v>
      </c>
      <c r="Y3" s="15" t="s">
        <v>24</v>
      </c>
    </row>
    <row r="4" spans="1:28">
      <c r="A4" s="2">
        <v>1</v>
      </c>
      <c r="B4" s="122" t="s">
        <v>25</v>
      </c>
      <c r="C4" s="123" t="s">
        <v>26</v>
      </c>
      <c r="D4" s="138" t="s">
        <v>27</v>
      </c>
      <c r="E4" s="227">
        <f>_xlfn.XLOOKUP(D4,'Contract Entitlement'!$D$4:$D$61,'Contract Entitlement'!$G$4:$G$61)</f>
        <v>0</v>
      </c>
      <c r="F4" s="8"/>
      <c r="G4" s="196">
        <v>25</v>
      </c>
      <c r="H4" s="197">
        <f t="shared" ref="H4:H8" si="0">IF(YEAR(E4)=2026,IF(DAY(E4)&lt;15,CEILING(G4 * (12 - MONTH(E4) + 1) / 12,1),FLOOR(G4 * (12 - MONTH(E4) + 1) / 12,1)),IF(YEAR(E4)&lt;2026,G4,0))</f>
        <v>25</v>
      </c>
      <c r="I4" s="198">
        <f t="shared" ref="I4:I41" si="1">SUM(N4:Y4)</f>
        <v>0</v>
      </c>
      <c r="J4" s="198">
        <f>COUNTIFS('2026 Time Off Request'!$A$2:$A$822,D4,'2026 Time Off Request'!$E$2:$E$822,"UNPAID")</f>
        <v>0</v>
      </c>
      <c r="K4" s="198">
        <f>H4-I4</f>
        <v>25</v>
      </c>
      <c r="L4" s="199"/>
      <c r="M4" s="8"/>
      <c r="N4" s="131">
        <f>_xlfn.XLOOKUP($D4,'Jan 2026'!$D:$D,'Jan 2026'!$E:$E)</f>
        <v>0</v>
      </c>
      <c r="O4" s="132">
        <f>_xlfn.XLOOKUP($D4,'Feb 2026'!$D:$D,'Feb 2026'!$E:$E)</f>
        <v>0</v>
      </c>
      <c r="P4" s="132">
        <f>_xlfn.XLOOKUP($D4,'Mar 2026'!$D:$D,'Mar 2026'!$E:$E)</f>
        <v>0</v>
      </c>
      <c r="Q4" s="132">
        <f>_xlfn.XLOOKUP($D4,'April 2026'!$D:$D,'April 2026'!$E:$E)</f>
        <v>0</v>
      </c>
      <c r="R4" s="132">
        <f>_xlfn.XLOOKUP($D4,'May 2026'!$D:$D,'May 2026'!$E:$E)</f>
        <v>0</v>
      </c>
      <c r="S4" s="132">
        <f>_xlfn.XLOOKUP($D4,'June 2026'!$D:$D,'June 2026'!$E:$E)</f>
        <v>0</v>
      </c>
      <c r="T4" s="132">
        <f>_xlfn.XLOOKUP($D4,'July 2026'!$D:$D,'July 2026'!$E:$E)</f>
        <v>0</v>
      </c>
      <c r="U4" s="132">
        <f>_xlfn.XLOOKUP($D4,'Aug 2026'!$D:$D,'Aug 2026'!$E:$E)</f>
        <v>0</v>
      </c>
      <c r="V4" s="132">
        <f>_xlfn.XLOOKUP($D4,'Sept 2026'!$D:$D,'Sept 2026'!$E:$E)</f>
        <v>0</v>
      </c>
      <c r="W4" s="132">
        <f>_xlfn.XLOOKUP($D4,'Oct 2026'!$D:$D,'Oct 2026'!$E:$E)</f>
        <v>0</v>
      </c>
      <c r="X4" s="132">
        <f>_xlfn.XLOOKUP($D4,'Nov 2026'!$D:$D,'Nov 2026'!$E:$E)</f>
        <v>0</v>
      </c>
      <c r="Y4" s="133">
        <f>_xlfn.XLOOKUP($D4,'Dec 2026'!$D:$D,'Dec 2026'!$E:$E)</f>
        <v>0</v>
      </c>
      <c r="Z4" s="8"/>
      <c r="AA4" s="8"/>
      <c r="AB4" s="8"/>
    </row>
    <row r="5" spans="1:28">
      <c r="A5" s="2">
        <v>2</v>
      </c>
      <c r="B5" s="124" t="s">
        <v>25</v>
      </c>
      <c r="C5" s="120" t="s">
        <v>28</v>
      </c>
      <c r="D5" s="139" t="s">
        <v>29</v>
      </c>
      <c r="E5" s="227">
        <f>_xlfn.XLOOKUP(D5,'Contract Entitlement'!$D$4:$D$61,'Contract Entitlement'!$G$4:$G$61)</f>
        <v>44243</v>
      </c>
      <c r="F5" s="8"/>
      <c r="G5" s="200">
        <f>_xlfn.XLOOKUP(D5,'Contract Entitlement'!$D$4:$D$61,'Contract Entitlement'!$F$4:$F$61)</f>
        <v>25</v>
      </c>
      <c r="H5" s="194">
        <f t="shared" si="0"/>
        <v>25</v>
      </c>
      <c r="I5" s="195">
        <f t="shared" si="1"/>
        <v>5</v>
      </c>
      <c r="J5" s="195">
        <f>COUNTIFS('2026 Time Off Request'!$A$2:$A$822,D5,'2026 Time Off Request'!$E$2:$E$822,"UNPAID")</f>
        <v>0</v>
      </c>
      <c r="K5" s="198">
        <f t="shared" ref="K5:K41" si="2">H5-I5</f>
        <v>20</v>
      </c>
      <c r="L5" s="201">
        <f>K5/G5</f>
        <v>0.8</v>
      </c>
      <c r="M5" s="8"/>
      <c r="N5" s="134">
        <f>_xlfn.XLOOKUP($D5,'Jan 2026'!$D:$D,'Jan 2026'!$E:$E)</f>
        <v>0</v>
      </c>
      <c r="O5" s="121">
        <f>_xlfn.XLOOKUP($D5,'Feb 2026'!$D:$D,'Feb 2026'!$E:$E)</f>
        <v>0</v>
      </c>
      <c r="P5" s="121">
        <f>_xlfn.XLOOKUP($D5,'Mar 2026'!$D:$D,'Mar 2026'!$E:$E)</f>
        <v>0</v>
      </c>
      <c r="Q5" s="121">
        <f>_xlfn.XLOOKUP($D5,'April 2026'!$D:$D,'April 2026'!$E:$E)</f>
        <v>5</v>
      </c>
      <c r="R5" s="121">
        <f>_xlfn.XLOOKUP($D5,'May 2026'!$D:$D,'May 2026'!$E:$E)</f>
        <v>0</v>
      </c>
      <c r="S5" s="121">
        <f>_xlfn.XLOOKUP($D5,'June 2026'!$D:$D,'June 2026'!$E:$E)</f>
        <v>0</v>
      </c>
      <c r="T5" s="121">
        <f>_xlfn.XLOOKUP($D5,'July 2026'!$D:$D,'July 2026'!$E:$E)</f>
        <v>0</v>
      </c>
      <c r="U5" s="121">
        <f>_xlfn.XLOOKUP($D5,'Aug 2026'!$D:$D,'Aug 2026'!$E:$E)</f>
        <v>0</v>
      </c>
      <c r="V5" s="121">
        <f>_xlfn.XLOOKUP($D5,'Sept 2026'!$D:$D,'Sept 2026'!$E:$E)</f>
        <v>0</v>
      </c>
      <c r="W5" s="121">
        <f>_xlfn.XLOOKUP($D5,'Oct 2026'!$D:$D,'Oct 2026'!$E:$E)</f>
        <v>0</v>
      </c>
      <c r="X5" s="121">
        <f>_xlfn.XLOOKUP($D5,'Nov 2026'!$D:$D,'Nov 2026'!$E:$E)</f>
        <v>0</v>
      </c>
      <c r="Y5" s="135">
        <f>_xlfn.XLOOKUP($D5,'Dec 2026'!$D:$D,'Dec 2026'!$E:$E)</f>
        <v>0</v>
      </c>
      <c r="Z5" s="8"/>
      <c r="AA5" s="8"/>
      <c r="AB5" s="8"/>
    </row>
    <row r="6" spans="1:28">
      <c r="A6" s="2">
        <v>3</v>
      </c>
      <c r="B6" s="124" t="s">
        <v>25</v>
      </c>
      <c r="C6" s="120" t="s">
        <v>30</v>
      </c>
      <c r="D6" s="139" t="s">
        <v>31</v>
      </c>
      <c r="E6" s="227">
        <f>_xlfn.XLOOKUP(D6,'Contract Entitlement'!$D$4:$D$61,'Contract Entitlement'!$G$4:$G$61)</f>
        <v>45231</v>
      </c>
      <c r="F6" s="8"/>
      <c r="G6" s="202">
        <f>_xlfn.XLOOKUP(D6,'Contract Entitlement'!$D$4:$D$61,'Contract Entitlement'!$F$4:$F$61)</f>
        <v>20</v>
      </c>
      <c r="H6" s="194">
        <f t="shared" si="0"/>
        <v>20</v>
      </c>
      <c r="I6" s="195">
        <f t="shared" si="1"/>
        <v>0</v>
      </c>
      <c r="J6" s="195">
        <f>COUNTIFS('2026 Time Off Request'!$A$2:$A$822,D6,'2026 Time Off Request'!$E$2:$E$822,"UNPAID")</f>
        <v>0</v>
      </c>
      <c r="K6" s="198">
        <f t="shared" si="2"/>
        <v>20</v>
      </c>
      <c r="L6" s="201">
        <f>K6/G6</f>
        <v>1</v>
      </c>
      <c r="M6" s="8"/>
      <c r="N6" s="134">
        <f>_xlfn.XLOOKUP($D6,'Jan 2026'!$D:$D,'Jan 2026'!$E:$E)</f>
        <v>0</v>
      </c>
      <c r="O6" s="121">
        <f>_xlfn.XLOOKUP($D6,'Feb 2026'!$D:$D,'Feb 2026'!$E:$E)</f>
        <v>0</v>
      </c>
      <c r="P6" s="121">
        <f>_xlfn.XLOOKUP($D6,'Mar 2026'!$D:$D,'Mar 2026'!$E:$E)</f>
        <v>0</v>
      </c>
      <c r="Q6" s="121">
        <f>_xlfn.XLOOKUP($D6,'April 2026'!$D:$D,'April 2026'!$E:$E)</f>
        <v>0</v>
      </c>
      <c r="R6" s="121">
        <f>_xlfn.XLOOKUP($D6,'May 2026'!$D:$D,'May 2026'!$E:$E)</f>
        <v>0</v>
      </c>
      <c r="S6" s="121">
        <f>_xlfn.XLOOKUP($D6,'June 2026'!$D:$D,'June 2026'!$E:$E)</f>
        <v>0</v>
      </c>
      <c r="T6" s="121">
        <f>_xlfn.XLOOKUP($D6,'July 2026'!$D:$D,'July 2026'!$E:$E)</f>
        <v>0</v>
      </c>
      <c r="U6" s="121">
        <f>_xlfn.XLOOKUP($D6,'Aug 2026'!$D:$D,'Aug 2026'!$E:$E)</f>
        <v>0</v>
      </c>
      <c r="V6" s="121">
        <f>_xlfn.XLOOKUP($D6,'Sept 2026'!$D:$D,'Sept 2026'!$E:$E)</f>
        <v>0</v>
      </c>
      <c r="W6" s="121">
        <f>_xlfn.XLOOKUP($D6,'Oct 2026'!$D:$D,'Oct 2026'!$E:$E)</f>
        <v>0</v>
      </c>
      <c r="X6" s="121">
        <f>_xlfn.XLOOKUP($D6,'Nov 2026'!$D:$D,'Nov 2026'!$E:$E)</f>
        <v>0</v>
      </c>
      <c r="Y6" s="135">
        <f>_xlfn.XLOOKUP($D6,'Dec 2026'!$D:$D,'Dec 2026'!$E:$E)</f>
        <v>0</v>
      </c>
      <c r="Z6" s="8"/>
      <c r="AA6" s="8"/>
      <c r="AB6" s="8"/>
    </row>
    <row r="7" spans="1:28">
      <c r="A7" s="2">
        <v>4</v>
      </c>
      <c r="B7" s="124" t="s">
        <v>25</v>
      </c>
      <c r="C7" s="120" t="s">
        <v>32</v>
      </c>
      <c r="D7" s="139" t="s">
        <v>33</v>
      </c>
      <c r="E7" s="227">
        <f>_xlfn.XLOOKUP(D7,'Contract Entitlement'!$D$4:$D$61,'Contract Entitlement'!$G$4:$G$61)</f>
        <v>44746</v>
      </c>
      <c r="F7" s="8"/>
      <c r="G7" s="202">
        <f>_xlfn.XLOOKUP(D7,'Contract Entitlement'!$D$4:$D$61,'Contract Entitlement'!$F$4:$F$61)</f>
        <v>20</v>
      </c>
      <c r="H7" s="194">
        <f t="shared" si="0"/>
        <v>20</v>
      </c>
      <c r="I7" s="195">
        <f>SUM(N7:Y7)</f>
        <v>5</v>
      </c>
      <c r="J7" s="195">
        <f>COUNTIFS('2026 Time Off Request'!$A$2:$A$822,D7,'2026 Time Off Request'!$E$2:$E$822,"UNPAID")</f>
        <v>0</v>
      </c>
      <c r="K7" s="198">
        <f t="shared" si="2"/>
        <v>15</v>
      </c>
      <c r="L7" s="201">
        <f>K7/G7</f>
        <v>0.75</v>
      </c>
      <c r="M7" s="8"/>
      <c r="N7" s="134">
        <f>_xlfn.XLOOKUP($D7,'Jan 2026'!$D:$D,'Jan 2026'!$E:$E)</f>
        <v>1</v>
      </c>
      <c r="O7" s="121">
        <f>_xlfn.XLOOKUP($D7,'Feb 2026'!$D:$D,'Feb 2026'!$E:$E)</f>
        <v>0</v>
      </c>
      <c r="P7" s="121">
        <f>_xlfn.XLOOKUP($D7,'Mar 2026'!$D:$D,'Mar 2026'!$E:$E)</f>
        <v>0</v>
      </c>
      <c r="Q7" s="121">
        <f>_xlfn.XLOOKUP($D7,'April 2026'!$D:$D,'April 2026'!$E:$E)</f>
        <v>0</v>
      </c>
      <c r="R7" s="121">
        <f>_xlfn.XLOOKUP($D7,'May 2026'!$D:$D,'May 2026'!$E:$E)</f>
        <v>4</v>
      </c>
      <c r="S7" s="121">
        <f>_xlfn.XLOOKUP($D7,'June 2026'!$D:$D,'June 2026'!$E:$E)</f>
        <v>0</v>
      </c>
      <c r="T7" s="121">
        <f>_xlfn.XLOOKUP($D7,'July 2026'!$D:$D,'July 2026'!$E:$E)</f>
        <v>0</v>
      </c>
      <c r="U7" s="121">
        <f>_xlfn.XLOOKUP($D7,'Aug 2026'!$D:$D,'Aug 2026'!$E:$E)</f>
        <v>0</v>
      </c>
      <c r="V7" s="121">
        <f>_xlfn.XLOOKUP($D7,'Sept 2026'!$D:$D,'Sept 2026'!$E:$E)</f>
        <v>0</v>
      </c>
      <c r="W7" s="121">
        <f>_xlfn.XLOOKUP($D7,'Oct 2026'!$D:$D,'Oct 2026'!$E:$E)</f>
        <v>0</v>
      </c>
      <c r="X7" s="121">
        <f>_xlfn.XLOOKUP($D7,'Nov 2026'!$D:$D,'Nov 2026'!$E:$E)</f>
        <v>0</v>
      </c>
      <c r="Y7" s="135">
        <f>_xlfn.XLOOKUP($D7,'Dec 2026'!$D:$D,'Dec 2026'!$E:$E)</f>
        <v>0</v>
      </c>
      <c r="Z7" s="8"/>
      <c r="AA7" s="8"/>
      <c r="AB7" s="8"/>
    </row>
    <row r="8" spans="1:28">
      <c r="A8" s="2">
        <v>5</v>
      </c>
      <c r="B8" s="124" t="s">
        <v>25</v>
      </c>
      <c r="C8" s="120" t="s">
        <v>34</v>
      </c>
      <c r="D8" s="139" t="s">
        <v>35</v>
      </c>
      <c r="E8" s="227">
        <f>_xlfn.XLOOKUP(D8,'Contract Entitlement'!$D$4:$D$61,'Contract Entitlement'!$G$4:$G$61)</f>
        <v>44270</v>
      </c>
      <c r="F8" s="8"/>
      <c r="G8" s="202">
        <f>_xlfn.XLOOKUP(D8,'Contract Entitlement'!$D$4:$D$61,'Contract Entitlement'!$F$4:$F$61)</f>
        <v>20</v>
      </c>
      <c r="H8" s="194">
        <f t="shared" si="0"/>
        <v>20</v>
      </c>
      <c r="I8" s="195">
        <f t="shared" si="1"/>
        <v>4</v>
      </c>
      <c r="J8" s="195">
        <f>COUNTIFS('2026 Time Off Request'!$A$2:$A$822,D8,'2026 Time Off Request'!$E$2:$E$822,"UNPAID")</f>
        <v>0</v>
      </c>
      <c r="K8" s="198">
        <f t="shared" si="2"/>
        <v>16</v>
      </c>
      <c r="L8" s="201">
        <f>K8/G8</f>
        <v>0.8</v>
      </c>
      <c r="M8" s="8"/>
      <c r="N8" s="134">
        <f>_xlfn.XLOOKUP($D8,'Jan 2026'!$D:$D,'Jan 2026'!$E:$E)</f>
        <v>0</v>
      </c>
      <c r="O8" s="121">
        <f>_xlfn.XLOOKUP($D8,'Feb 2026'!$D:$D,'Feb 2026'!$E:$E)</f>
        <v>0</v>
      </c>
      <c r="P8" s="121">
        <f>_xlfn.XLOOKUP($D8,'Mar 2026'!$D:$D,'Mar 2026'!$E:$E)</f>
        <v>4</v>
      </c>
      <c r="Q8" s="121">
        <f>_xlfn.XLOOKUP($D8,'April 2026'!$D:$D,'April 2026'!$E:$E)</f>
        <v>0</v>
      </c>
      <c r="R8" s="121">
        <f>_xlfn.XLOOKUP($D8,'May 2026'!$D:$D,'May 2026'!$E:$E)</f>
        <v>0</v>
      </c>
      <c r="S8" s="121">
        <f>_xlfn.XLOOKUP($D8,'June 2026'!$D:$D,'June 2026'!$E:$E)</f>
        <v>0</v>
      </c>
      <c r="T8" s="121">
        <f>_xlfn.XLOOKUP($D8,'July 2026'!$D:$D,'July 2026'!$E:$E)</f>
        <v>0</v>
      </c>
      <c r="U8" s="121">
        <f>_xlfn.XLOOKUP($D8,'Aug 2026'!$D:$D,'Aug 2026'!$E:$E)</f>
        <v>0</v>
      </c>
      <c r="V8" s="121">
        <f>_xlfn.XLOOKUP($D8,'Sept 2026'!$D:$D,'Sept 2026'!$E:$E)</f>
        <v>0</v>
      </c>
      <c r="W8" s="121">
        <f>_xlfn.XLOOKUP($D8,'Oct 2026'!$D:$D,'Oct 2026'!$E:$E)</f>
        <v>0</v>
      </c>
      <c r="X8" s="121">
        <f>_xlfn.XLOOKUP($D8,'Nov 2026'!$D:$D,'Nov 2026'!$E:$E)</f>
        <v>0</v>
      </c>
      <c r="Y8" s="135">
        <f>_xlfn.XLOOKUP($D8,'Dec 2026'!$D:$D,'Dec 2026'!$E:$E)</f>
        <v>0</v>
      </c>
      <c r="Z8" s="8"/>
      <c r="AA8" s="8"/>
      <c r="AB8" s="8"/>
    </row>
    <row r="9" spans="1:28">
      <c r="A9" s="2">
        <v>7</v>
      </c>
      <c r="B9" s="124" t="s">
        <v>36</v>
      </c>
      <c r="C9" s="120" t="s">
        <v>37</v>
      </c>
      <c r="D9" s="139" t="s">
        <v>38</v>
      </c>
      <c r="E9" s="227">
        <f>_xlfn.XLOOKUP(D9,'Contract Entitlement'!$D$4:$D$61,'Contract Entitlement'!$G$4:$G$61)</f>
        <v>42826</v>
      </c>
      <c r="F9" s="8"/>
      <c r="G9" s="202">
        <f>_xlfn.XLOOKUP(D9,'Contract Entitlement'!$D$4:$D$61,'Contract Entitlement'!$F$4:$F$61)</f>
        <v>15</v>
      </c>
      <c r="H9" s="194">
        <f t="shared" ref="H9:H41" si="3">IF(YEAR(E9)=2026,IF(DAY(E9)&lt;15,CEILING(G9 * (12 - MONTH(E9) + 1) / 12,1),FLOOR(G9 * (12 - MONTH(E9) + 1) / 12,1)),IF(YEAR(E9)&lt;2026,G9,0))</f>
        <v>15</v>
      </c>
      <c r="I9" s="195">
        <f t="shared" si="1"/>
        <v>0</v>
      </c>
      <c r="J9" s="195">
        <f>COUNTIFS('2026 Time Off Request'!$A$2:$A$822,D9,'2026 Time Off Request'!$E$2:$E$822,"UNPAID")</f>
        <v>0</v>
      </c>
      <c r="K9" s="198">
        <f t="shared" si="2"/>
        <v>15</v>
      </c>
      <c r="L9" s="201">
        <f>K9/G9</f>
        <v>1</v>
      </c>
      <c r="M9" s="8"/>
      <c r="N9" s="134">
        <f>_xlfn.XLOOKUP($D9,'Jan 2026'!$D:$D,'Jan 2026'!$E:$E)</f>
        <v>0</v>
      </c>
      <c r="O9" s="121">
        <f>_xlfn.XLOOKUP($D9,'Feb 2026'!$D:$D,'Feb 2026'!$E:$E)</f>
        <v>0</v>
      </c>
      <c r="P9" s="121">
        <f>_xlfn.XLOOKUP($D9,'Mar 2026'!$D:$D,'Mar 2026'!$E:$E)</f>
        <v>0</v>
      </c>
      <c r="Q9" s="121">
        <f>_xlfn.XLOOKUP($D9,'April 2026'!$D:$D,'April 2026'!$E:$E)</f>
        <v>0</v>
      </c>
      <c r="R9" s="121">
        <f>_xlfn.XLOOKUP($D9,'May 2026'!$D:$D,'May 2026'!$E:$E)</f>
        <v>0</v>
      </c>
      <c r="S9" s="121">
        <f>_xlfn.XLOOKUP($D9,'June 2026'!$D:$D,'June 2026'!$E:$E)</f>
        <v>0</v>
      </c>
      <c r="T9" s="121">
        <f>_xlfn.XLOOKUP($D9,'July 2026'!$D:$D,'July 2026'!$E:$E)</f>
        <v>0</v>
      </c>
      <c r="U9" s="121">
        <f>_xlfn.XLOOKUP($D9,'Aug 2026'!$D:$D,'Aug 2026'!$E:$E)</f>
        <v>0</v>
      </c>
      <c r="V9" s="121">
        <f>_xlfn.XLOOKUP($D9,'Sept 2026'!$D:$D,'Sept 2026'!$E:$E)</f>
        <v>0</v>
      </c>
      <c r="W9" s="121">
        <f>_xlfn.XLOOKUP($D9,'Oct 2026'!$D:$D,'Oct 2026'!$E:$E)</f>
        <v>0</v>
      </c>
      <c r="X9" s="121">
        <f>_xlfn.XLOOKUP($D9,'Nov 2026'!$D:$D,'Nov 2026'!$E:$E)</f>
        <v>0</v>
      </c>
      <c r="Y9" s="135">
        <f>_xlfn.XLOOKUP($D9,'Dec 2026'!$D:$D,'Dec 2026'!$E:$E)</f>
        <v>0</v>
      </c>
      <c r="Z9" s="8"/>
      <c r="AA9" s="8"/>
      <c r="AB9" s="8"/>
    </row>
    <row r="10" spans="1:28">
      <c r="A10" s="2">
        <v>8</v>
      </c>
      <c r="B10" s="124" t="s">
        <v>36</v>
      </c>
      <c r="C10" s="120" t="s">
        <v>37</v>
      </c>
      <c r="D10" s="139" t="s">
        <v>39</v>
      </c>
      <c r="E10" s="227">
        <f>_xlfn.XLOOKUP(D10,'Contract Entitlement'!$D$4:$D$61,'Contract Entitlement'!$G$4:$G$61)</f>
        <v>38596</v>
      </c>
      <c r="F10" s="8"/>
      <c r="G10" s="202">
        <f>_xlfn.XLOOKUP(D10,'Contract Entitlement'!$D$4:$D$61,'Contract Entitlement'!$F$4:$F$61)</f>
        <v>25</v>
      </c>
      <c r="H10" s="194">
        <f t="shared" si="3"/>
        <v>25</v>
      </c>
      <c r="I10" s="195">
        <f t="shared" si="1"/>
        <v>12</v>
      </c>
      <c r="J10" s="195">
        <f>COUNTIFS('2026 Time Off Request'!$A$2:$A$822,D10,'2026 Time Off Request'!$E$2:$E$822,"UNPAID")</f>
        <v>0</v>
      </c>
      <c r="K10" s="198">
        <f t="shared" si="2"/>
        <v>13</v>
      </c>
      <c r="L10" s="201">
        <f>K10/G10</f>
        <v>0.52</v>
      </c>
      <c r="M10" s="8"/>
      <c r="N10" s="134">
        <f>_xlfn.XLOOKUP($D10,'Jan 2026'!$D:$D,'Jan 2026'!$E:$E)</f>
        <v>4</v>
      </c>
      <c r="O10" s="121">
        <f>_xlfn.XLOOKUP($D10,'Feb 2026'!$D:$D,'Feb 2026'!$E:$E)</f>
        <v>0</v>
      </c>
      <c r="P10" s="121">
        <f>_xlfn.XLOOKUP($D10,'Mar 2026'!$D:$D,'Mar 2026'!$E:$E)</f>
        <v>0</v>
      </c>
      <c r="Q10" s="121">
        <f>_xlfn.XLOOKUP($D10,'April 2026'!$D:$D,'April 2026'!$E:$E)</f>
        <v>4</v>
      </c>
      <c r="R10" s="121">
        <f>_xlfn.XLOOKUP($D10,'May 2026'!$D:$D,'May 2026'!$E:$E)</f>
        <v>4</v>
      </c>
      <c r="S10" s="121">
        <f>_xlfn.XLOOKUP($D10,'June 2026'!$D:$D,'June 2026'!$E:$E)</f>
        <v>0</v>
      </c>
      <c r="T10" s="121">
        <f>_xlfn.XLOOKUP($D10,'July 2026'!$D:$D,'July 2026'!$E:$E)</f>
        <v>0</v>
      </c>
      <c r="U10" s="121">
        <f>_xlfn.XLOOKUP($D10,'Aug 2026'!$D:$D,'Aug 2026'!$E:$E)</f>
        <v>0</v>
      </c>
      <c r="V10" s="121">
        <f>_xlfn.XLOOKUP($D10,'Sept 2026'!$D:$D,'Sept 2026'!$E:$E)</f>
        <v>0</v>
      </c>
      <c r="W10" s="121">
        <f>_xlfn.XLOOKUP($D10,'Oct 2026'!$D:$D,'Oct 2026'!$E:$E)</f>
        <v>0</v>
      </c>
      <c r="X10" s="121">
        <f>_xlfn.XLOOKUP($D10,'Nov 2026'!$D:$D,'Nov 2026'!$E:$E)</f>
        <v>0</v>
      </c>
      <c r="Y10" s="135">
        <f>_xlfn.XLOOKUP($D10,'Dec 2026'!$D:$D,'Dec 2026'!$E:$E)</f>
        <v>0</v>
      </c>
      <c r="Z10" s="8"/>
      <c r="AA10" s="8"/>
      <c r="AB10" s="8"/>
    </row>
    <row r="11" spans="1:28">
      <c r="A11" s="2">
        <v>9</v>
      </c>
      <c r="B11" s="124" t="s">
        <v>36</v>
      </c>
      <c r="C11" s="120" t="s">
        <v>37</v>
      </c>
      <c r="D11" s="139" t="s">
        <v>40</v>
      </c>
      <c r="E11" s="227">
        <f>_xlfn.XLOOKUP(D11,'Contract Entitlement'!$D$4:$D$61,'Contract Entitlement'!$G$4:$G$61)</f>
        <v>44383</v>
      </c>
      <c r="F11" s="8"/>
      <c r="G11" s="202">
        <f>_xlfn.XLOOKUP(D11,'Contract Entitlement'!$D$4:$D$61,'Contract Entitlement'!$F$4:$F$61)</f>
        <v>15</v>
      </c>
      <c r="H11" s="194">
        <f t="shared" si="3"/>
        <v>15</v>
      </c>
      <c r="I11" s="195">
        <f t="shared" si="1"/>
        <v>16</v>
      </c>
      <c r="J11" s="195">
        <f>COUNTIFS('2026 Time Off Request'!$A$2:$A$822,D11,'2026 Time Off Request'!$E$2:$E$822,"UNPAID")</f>
        <v>0</v>
      </c>
      <c r="K11" s="198">
        <f t="shared" si="2"/>
        <v>-1</v>
      </c>
      <c r="L11" s="201">
        <f>K11/G11</f>
        <v>-6.6666666666666666E-2</v>
      </c>
      <c r="M11" s="8"/>
      <c r="N11" s="134">
        <f>_xlfn.XLOOKUP($D11,'Jan 2026'!$D:$D,'Jan 2026'!$E:$E)</f>
        <v>0</v>
      </c>
      <c r="O11" s="121">
        <f>_xlfn.XLOOKUP($D11,'Feb 2026'!$D:$D,'Feb 2026'!$E:$E)</f>
        <v>6</v>
      </c>
      <c r="P11" s="121">
        <f>_xlfn.XLOOKUP($D11,'Mar 2026'!$D:$D,'Mar 2026'!$E:$E)</f>
        <v>10</v>
      </c>
      <c r="Q11" s="121">
        <f>_xlfn.XLOOKUP($D11,'April 2026'!$D:$D,'April 2026'!$E:$E)</f>
        <v>0</v>
      </c>
      <c r="R11" s="121">
        <f>_xlfn.XLOOKUP($D11,'May 2026'!$D:$D,'May 2026'!$E:$E)</f>
        <v>0</v>
      </c>
      <c r="S11" s="121">
        <f>_xlfn.XLOOKUP($D11,'June 2026'!$D:$D,'June 2026'!$E:$E)</f>
        <v>0</v>
      </c>
      <c r="T11" s="121">
        <f>_xlfn.XLOOKUP($D11,'July 2026'!$D:$D,'July 2026'!$E:$E)</f>
        <v>0</v>
      </c>
      <c r="U11" s="121">
        <f>_xlfn.XLOOKUP($D11,'Aug 2026'!$D:$D,'Aug 2026'!$E:$E)</f>
        <v>0</v>
      </c>
      <c r="V11" s="121">
        <f>_xlfn.XLOOKUP($D11,'Sept 2026'!$D:$D,'Sept 2026'!$E:$E)</f>
        <v>0</v>
      </c>
      <c r="W11" s="121">
        <f>_xlfn.XLOOKUP($D11,'Oct 2026'!$D:$D,'Oct 2026'!$E:$E)</f>
        <v>0</v>
      </c>
      <c r="X11" s="121">
        <f>_xlfn.XLOOKUP($D11,'Nov 2026'!$D:$D,'Nov 2026'!$E:$E)</f>
        <v>0</v>
      </c>
      <c r="Y11" s="135">
        <f>_xlfn.XLOOKUP($D11,'Dec 2026'!$D:$D,'Dec 2026'!$E:$E)</f>
        <v>0</v>
      </c>
      <c r="Z11" s="8"/>
      <c r="AA11" s="8"/>
      <c r="AB11" s="8"/>
    </row>
    <row r="12" spans="1:28">
      <c r="A12" s="2">
        <v>10</v>
      </c>
      <c r="B12" s="124" t="s">
        <v>36</v>
      </c>
      <c r="C12" s="120" t="s">
        <v>37</v>
      </c>
      <c r="D12" s="139" t="s">
        <v>41</v>
      </c>
      <c r="E12" s="227">
        <f>_xlfn.XLOOKUP(D12,'Contract Entitlement'!$D$4:$D$61,'Contract Entitlement'!$G$4:$G$61)</f>
        <v>45789</v>
      </c>
      <c r="F12" s="8"/>
      <c r="G12" s="202">
        <f>_xlfn.XLOOKUP(D12,'Contract Entitlement'!$D$4:$D$61,'Contract Entitlement'!$F$4:$F$61)</f>
        <v>15</v>
      </c>
      <c r="H12" s="194">
        <f t="shared" si="3"/>
        <v>15</v>
      </c>
      <c r="I12" s="195">
        <f t="shared" si="1"/>
        <v>0</v>
      </c>
      <c r="J12" s="195">
        <f>COUNTIFS('2026 Time Off Request'!$A$2:$A$822,D12,'2026 Time Off Request'!$E$2:$E$822,"UNPAID")</f>
        <v>0</v>
      </c>
      <c r="K12" s="198">
        <f t="shared" si="2"/>
        <v>15</v>
      </c>
      <c r="L12" s="201">
        <f>K12/G12</f>
        <v>1</v>
      </c>
      <c r="M12" s="8"/>
      <c r="N12" s="134">
        <f>_xlfn.XLOOKUP($D12,'Jan 2026'!$D:$D,'Jan 2026'!$E:$E)</f>
        <v>0</v>
      </c>
      <c r="O12" s="121">
        <f>_xlfn.XLOOKUP($D12,'Feb 2026'!$D:$D,'Feb 2026'!$E:$E)</f>
        <v>0</v>
      </c>
      <c r="P12" s="121">
        <f>_xlfn.XLOOKUP($D12,'Mar 2026'!$D:$D,'Mar 2026'!$E:$E)</f>
        <v>0</v>
      </c>
      <c r="Q12" s="121">
        <f>_xlfn.XLOOKUP($D12,'April 2026'!$D:$D,'April 2026'!$E:$E)</f>
        <v>0</v>
      </c>
      <c r="R12" s="121">
        <f>_xlfn.XLOOKUP($D12,'May 2026'!$D:$D,'May 2026'!$E:$E)</f>
        <v>0</v>
      </c>
      <c r="S12" s="121">
        <f>_xlfn.XLOOKUP($D12,'June 2026'!$D:$D,'June 2026'!$E:$E)</f>
        <v>0</v>
      </c>
      <c r="T12" s="121">
        <f>_xlfn.XLOOKUP($D12,'July 2026'!$D:$D,'July 2026'!$E:$E)</f>
        <v>0</v>
      </c>
      <c r="U12" s="121">
        <f>_xlfn.XLOOKUP($D12,'Aug 2026'!$D:$D,'Aug 2026'!$E:$E)</f>
        <v>0</v>
      </c>
      <c r="V12" s="121">
        <f>_xlfn.XLOOKUP($D12,'Sept 2026'!$D:$D,'Sept 2026'!$E:$E)</f>
        <v>0</v>
      </c>
      <c r="W12" s="121">
        <f>_xlfn.XLOOKUP($D12,'Oct 2026'!$D:$D,'Oct 2026'!$E:$E)</f>
        <v>0</v>
      </c>
      <c r="X12" s="121">
        <f>_xlfn.XLOOKUP($D12,'Nov 2026'!$D:$D,'Nov 2026'!$E:$E)</f>
        <v>0</v>
      </c>
      <c r="Y12" s="135">
        <f>_xlfn.XLOOKUP($D12,'Dec 2026'!$D:$D,'Dec 2026'!$E:$E)</f>
        <v>0</v>
      </c>
      <c r="Z12" s="8"/>
      <c r="AA12" s="8"/>
      <c r="AB12" s="8"/>
    </row>
    <row r="13" spans="1:28">
      <c r="A13" s="2">
        <v>11</v>
      </c>
      <c r="B13" s="124" t="s">
        <v>36</v>
      </c>
      <c r="C13" s="120" t="s">
        <v>37</v>
      </c>
      <c r="D13" s="139" t="s">
        <v>42</v>
      </c>
      <c r="E13" s="227">
        <f>_xlfn.XLOOKUP(D13,'Contract Entitlement'!$D$4:$D$61,'Contract Entitlement'!$G$4:$G$61)</f>
        <v>45880</v>
      </c>
      <c r="F13" s="8"/>
      <c r="G13" s="202">
        <f>_xlfn.XLOOKUP(D13,'Contract Entitlement'!$D$4:$D$61,'Contract Entitlement'!$F$4:$F$61)</f>
        <v>15</v>
      </c>
      <c r="H13" s="194">
        <f t="shared" si="3"/>
        <v>15</v>
      </c>
      <c r="I13" s="195">
        <f t="shared" si="1"/>
        <v>1</v>
      </c>
      <c r="J13" s="195">
        <f>COUNTIFS('2026 Time Off Request'!$A$2:$A$822,D13,'2026 Time Off Request'!$E$2:$E$822,"UNPAID")</f>
        <v>0</v>
      </c>
      <c r="K13" s="198">
        <f t="shared" si="2"/>
        <v>14</v>
      </c>
      <c r="L13" s="201">
        <f>K13/G13</f>
        <v>0.93333333333333335</v>
      </c>
      <c r="M13" s="8"/>
      <c r="N13" s="134">
        <f>_xlfn.XLOOKUP($D13,'Jan 2026'!$D:$D,'Jan 2026'!$E:$E)</f>
        <v>1</v>
      </c>
      <c r="O13" s="121">
        <f>_xlfn.XLOOKUP($D13,'Feb 2026'!$D:$D,'Feb 2026'!$E:$E)</f>
        <v>0</v>
      </c>
      <c r="P13" s="121">
        <f>_xlfn.XLOOKUP($D13,'Mar 2026'!$D:$D,'Mar 2026'!$E:$E)</f>
        <v>0</v>
      </c>
      <c r="Q13" s="121">
        <f>_xlfn.XLOOKUP($D13,'April 2026'!$D:$D,'April 2026'!$E:$E)</f>
        <v>0</v>
      </c>
      <c r="R13" s="121">
        <f>_xlfn.XLOOKUP($D13,'May 2026'!$D:$D,'May 2026'!$E:$E)</f>
        <v>0</v>
      </c>
      <c r="S13" s="121">
        <f>_xlfn.XLOOKUP($D13,'June 2026'!$D:$D,'June 2026'!$E:$E)</f>
        <v>0</v>
      </c>
      <c r="T13" s="121">
        <f>_xlfn.XLOOKUP($D13,'July 2026'!$D:$D,'July 2026'!$E:$E)</f>
        <v>0</v>
      </c>
      <c r="U13" s="121">
        <f>_xlfn.XLOOKUP($D13,'Aug 2026'!$D:$D,'Aug 2026'!$E:$E)</f>
        <v>0</v>
      </c>
      <c r="V13" s="121">
        <f>_xlfn.XLOOKUP($D13,'Sept 2026'!$D:$D,'Sept 2026'!$E:$E)</f>
        <v>0</v>
      </c>
      <c r="W13" s="121">
        <f>_xlfn.XLOOKUP($D13,'Oct 2026'!$D:$D,'Oct 2026'!$E:$E)</f>
        <v>0</v>
      </c>
      <c r="X13" s="121">
        <f>_xlfn.XLOOKUP($D13,'Nov 2026'!$D:$D,'Nov 2026'!$E:$E)</f>
        <v>0</v>
      </c>
      <c r="Y13" s="135">
        <f>_xlfn.XLOOKUP($D13,'Dec 2026'!$D:$D,'Dec 2026'!$E:$E)</f>
        <v>0</v>
      </c>
      <c r="Z13" s="8"/>
      <c r="AA13" s="8"/>
      <c r="AB13" s="8"/>
    </row>
    <row r="14" spans="1:28">
      <c r="A14" s="2">
        <v>12</v>
      </c>
      <c r="B14" s="124" t="s">
        <v>36</v>
      </c>
      <c r="C14" s="120" t="s">
        <v>37</v>
      </c>
      <c r="D14" s="139" t="s">
        <v>43</v>
      </c>
      <c r="E14" s="227">
        <f>_xlfn.XLOOKUP(D14,'Contract Entitlement'!$D$4:$D$61,'Contract Entitlement'!$G$4:$G$61)</f>
        <v>44811</v>
      </c>
      <c r="F14" s="8"/>
      <c r="G14" s="202">
        <f>_xlfn.XLOOKUP(D14,'Contract Entitlement'!$D$4:$D$61,'Contract Entitlement'!$F$4:$F$61)</f>
        <v>15</v>
      </c>
      <c r="H14" s="194">
        <f t="shared" si="3"/>
        <v>15</v>
      </c>
      <c r="I14" s="195">
        <f t="shared" si="1"/>
        <v>6</v>
      </c>
      <c r="J14" s="195">
        <f>COUNTIFS('2026 Time Off Request'!$A$2:$A$822,D14,'2026 Time Off Request'!$E$2:$E$822,"UNPAID")</f>
        <v>0</v>
      </c>
      <c r="K14" s="198">
        <f t="shared" si="2"/>
        <v>9</v>
      </c>
      <c r="L14" s="201">
        <f>K14/G14</f>
        <v>0.6</v>
      </c>
      <c r="M14" s="8"/>
      <c r="N14" s="134">
        <f>_xlfn.XLOOKUP($D14,'Jan 2026'!$D:$D,'Jan 2026'!$E:$E)</f>
        <v>1</v>
      </c>
      <c r="O14" s="121">
        <f>_xlfn.XLOOKUP($D14,'Feb 2026'!$D:$D,'Feb 2026'!$E:$E)</f>
        <v>2</v>
      </c>
      <c r="P14" s="121">
        <f>_xlfn.XLOOKUP($D14,'Mar 2026'!$D:$D,'Mar 2026'!$E:$E)</f>
        <v>1</v>
      </c>
      <c r="Q14" s="121">
        <f>_xlfn.XLOOKUP($D14,'April 2026'!$D:$D,'April 2026'!$E:$E)</f>
        <v>0</v>
      </c>
      <c r="R14" s="121">
        <f>_xlfn.XLOOKUP($D14,'May 2026'!$D:$D,'May 2026'!$E:$E)</f>
        <v>0</v>
      </c>
      <c r="S14" s="121">
        <f>_xlfn.XLOOKUP($D14,'June 2026'!$D:$D,'June 2026'!$E:$E)</f>
        <v>0</v>
      </c>
      <c r="T14" s="121">
        <f>_xlfn.XLOOKUP($D14,'July 2026'!$D:$D,'July 2026'!$E:$E)</f>
        <v>0</v>
      </c>
      <c r="U14" s="121">
        <f>_xlfn.XLOOKUP($D14,'Aug 2026'!$D:$D,'Aug 2026'!$E:$E)</f>
        <v>2</v>
      </c>
      <c r="V14" s="121">
        <f>_xlfn.XLOOKUP($D14,'Sept 2026'!$D:$D,'Sept 2026'!$E:$E)</f>
        <v>0</v>
      </c>
      <c r="W14" s="121">
        <f>_xlfn.XLOOKUP($D14,'Oct 2026'!$D:$D,'Oct 2026'!$E:$E)</f>
        <v>0</v>
      </c>
      <c r="X14" s="121">
        <f>_xlfn.XLOOKUP($D14,'Nov 2026'!$D:$D,'Nov 2026'!$E:$E)</f>
        <v>0</v>
      </c>
      <c r="Y14" s="135">
        <f>_xlfn.XLOOKUP($D14,'Dec 2026'!$D:$D,'Dec 2026'!$E:$E)</f>
        <v>0</v>
      </c>
      <c r="Z14" s="8"/>
      <c r="AA14" s="8"/>
      <c r="AB14" s="8"/>
    </row>
    <row r="15" spans="1:28">
      <c r="A15" s="2">
        <v>13</v>
      </c>
      <c r="B15" s="124" t="s">
        <v>36</v>
      </c>
      <c r="C15" s="120" t="s">
        <v>37</v>
      </c>
      <c r="D15" s="139" t="s">
        <v>44</v>
      </c>
      <c r="E15" s="227">
        <f>_xlfn.XLOOKUP(D15,'Contract Entitlement'!$D$4:$D$61,'Contract Entitlement'!$G$4:$G$61)</f>
        <v>45964</v>
      </c>
      <c r="F15" s="8"/>
      <c r="G15" s="202">
        <f>_xlfn.XLOOKUP(D15,'Contract Entitlement'!$D$4:$D$61,'Contract Entitlement'!$F$4:$F$61)</f>
        <v>15</v>
      </c>
      <c r="H15" s="194">
        <f t="shared" si="3"/>
        <v>15</v>
      </c>
      <c r="I15" s="195">
        <f t="shared" si="1"/>
        <v>0</v>
      </c>
      <c r="J15" s="195">
        <f>COUNTIFS('2026 Time Off Request'!$A$2:$A$822,D15,'2026 Time Off Request'!$E$2:$E$822,"UNPAID")</f>
        <v>0</v>
      </c>
      <c r="K15" s="198">
        <f t="shared" si="2"/>
        <v>15</v>
      </c>
      <c r="L15" s="201">
        <f>K15/G15</f>
        <v>1</v>
      </c>
      <c r="M15" s="8"/>
      <c r="N15" s="134">
        <f>_xlfn.XLOOKUP($D15,'Jan 2026'!$D:$D,'Jan 2026'!$E:$E)</f>
        <v>0</v>
      </c>
      <c r="O15" s="121">
        <f>_xlfn.XLOOKUP($D15,'Feb 2026'!$D:$D,'Feb 2026'!$E:$E)</f>
        <v>0</v>
      </c>
      <c r="P15" s="121">
        <f>_xlfn.XLOOKUP($D15,'Mar 2026'!$D:$D,'Mar 2026'!$E:$E)</f>
        <v>0</v>
      </c>
      <c r="Q15" s="121">
        <f>_xlfn.XLOOKUP($D15,'April 2026'!$D:$D,'April 2026'!$E:$E)</f>
        <v>0</v>
      </c>
      <c r="R15" s="121">
        <f>_xlfn.XLOOKUP($D15,'May 2026'!$D:$D,'May 2026'!$E:$E)</f>
        <v>0</v>
      </c>
      <c r="S15" s="121">
        <f>_xlfn.XLOOKUP($D15,'June 2026'!$D:$D,'June 2026'!$E:$E)</f>
        <v>0</v>
      </c>
      <c r="T15" s="121">
        <f>_xlfn.XLOOKUP($D15,'July 2026'!$D:$D,'July 2026'!$E:$E)</f>
        <v>0</v>
      </c>
      <c r="U15" s="121">
        <f>_xlfn.XLOOKUP($D15,'Aug 2026'!$D:$D,'Aug 2026'!$E:$E)</f>
        <v>0</v>
      </c>
      <c r="V15" s="121">
        <f>_xlfn.XLOOKUP($D15,'Sept 2026'!$D:$D,'Sept 2026'!$E:$E)</f>
        <v>0</v>
      </c>
      <c r="W15" s="121">
        <f>_xlfn.XLOOKUP($D15,'Oct 2026'!$D:$D,'Oct 2026'!$E:$E)</f>
        <v>0</v>
      </c>
      <c r="X15" s="121">
        <f>_xlfn.XLOOKUP($D15,'Nov 2026'!$D:$D,'Nov 2026'!$E:$E)</f>
        <v>0</v>
      </c>
      <c r="Y15" s="135">
        <f>_xlfn.XLOOKUP($D15,'Dec 2026'!$D:$D,'Dec 2026'!$E:$E)</f>
        <v>0</v>
      </c>
      <c r="Z15" s="8"/>
      <c r="AA15" s="8"/>
      <c r="AB15" s="8"/>
    </row>
    <row r="16" spans="1:28">
      <c r="A16" s="2">
        <v>14</v>
      </c>
      <c r="B16" s="124" t="s">
        <v>45</v>
      </c>
      <c r="C16" s="120" t="s">
        <v>37</v>
      </c>
      <c r="D16" s="139" t="s">
        <v>46</v>
      </c>
      <c r="E16" s="227">
        <f>_xlfn.XLOOKUP(D16,'Contract Entitlement'!$D$4:$D$61,'Contract Entitlement'!$G$4:$G$61)</f>
        <v>45826</v>
      </c>
      <c r="F16" s="8"/>
      <c r="G16" s="202">
        <f>_xlfn.XLOOKUP(D16,'Contract Entitlement'!$D$4:$D$61,'Contract Entitlement'!$F$4:$F$61)</f>
        <v>10</v>
      </c>
      <c r="H16" s="194">
        <f t="shared" si="3"/>
        <v>10</v>
      </c>
      <c r="I16" s="195">
        <f t="shared" si="1"/>
        <v>0</v>
      </c>
      <c r="J16" s="195">
        <f>COUNTIFS('2026 Time Off Request'!$A$2:$A$822,D16,'2026 Time Off Request'!$E$2:$E$822,"UNPAID")</f>
        <v>0</v>
      </c>
      <c r="K16" s="198">
        <f t="shared" si="2"/>
        <v>10</v>
      </c>
      <c r="L16" s="201">
        <f>K16/G16</f>
        <v>1</v>
      </c>
      <c r="M16" s="8"/>
      <c r="N16" s="134">
        <f>_xlfn.XLOOKUP($D16,'Jan 2026'!$D:$D,'Jan 2026'!$E:$E)</f>
        <v>0</v>
      </c>
      <c r="O16" s="121">
        <f>_xlfn.XLOOKUP($D16,'Feb 2026'!$D:$D,'Feb 2026'!$E:$E)</f>
        <v>0</v>
      </c>
      <c r="P16" s="121">
        <f>_xlfn.XLOOKUP($D16,'Mar 2026'!$D:$D,'Mar 2026'!$E:$E)</f>
        <v>0</v>
      </c>
      <c r="Q16" s="121">
        <f>_xlfn.XLOOKUP($D16,'April 2026'!$D:$D,'April 2026'!$E:$E)</f>
        <v>0</v>
      </c>
      <c r="R16" s="121">
        <f>_xlfn.XLOOKUP($D16,'May 2026'!$D:$D,'May 2026'!$E:$E)</f>
        <v>0</v>
      </c>
      <c r="S16" s="121">
        <f>_xlfn.XLOOKUP($D16,'June 2026'!$D:$D,'June 2026'!$E:$E)</f>
        <v>0</v>
      </c>
      <c r="T16" s="121">
        <f>_xlfn.XLOOKUP($D16,'July 2026'!$D:$D,'July 2026'!$E:$E)</f>
        <v>0</v>
      </c>
      <c r="U16" s="121">
        <f>_xlfn.XLOOKUP($D16,'Aug 2026'!$D:$D,'Aug 2026'!$E:$E)</f>
        <v>0</v>
      </c>
      <c r="V16" s="121">
        <f>_xlfn.XLOOKUP($D16,'Sept 2026'!$D:$D,'Sept 2026'!$E:$E)</f>
        <v>0</v>
      </c>
      <c r="W16" s="121">
        <f>_xlfn.XLOOKUP($D16,'Oct 2026'!$D:$D,'Oct 2026'!$E:$E)</f>
        <v>0</v>
      </c>
      <c r="X16" s="121">
        <f>_xlfn.XLOOKUP($D16,'Nov 2026'!$D:$D,'Nov 2026'!$E:$E)</f>
        <v>0</v>
      </c>
      <c r="Y16" s="135">
        <f>_xlfn.XLOOKUP($D16,'Dec 2026'!$D:$D,'Dec 2026'!$E:$E)</f>
        <v>0</v>
      </c>
      <c r="Z16" s="8"/>
      <c r="AA16" s="8"/>
      <c r="AB16" s="8"/>
    </row>
    <row r="17" spans="1:28">
      <c r="A17" s="2">
        <v>15</v>
      </c>
      <c r="B17" s="124" t="s">
        <v>45</v>
      </c>
      <c r="C17" s="120" t="s">
        <v>47</v>
      </c>
      <c r="D17" s="139" t="s">
        <v>48</v>
      </c>
      <c r="E17" s="227">
        <f>_xlfn.XLOOKUP(D17,'Contract Entitlement'!$D$4:$D$61,'Contract Entitlement'!$G$4:$G$61)</f>
        <v>45558</v>
      </c>
      <c r="F17" s="8"/>
      <c r="G17" s="202">
        <f>_xlfn.XLOOKUP(D17,'Contract Entitlement'!$D$4:$D$61,'Contract Entitlement'!$F$4:$F$61)</f>
        <v>15</v>
      </c>
      <c r="H17" s="194">
        <f t="shared" si="3"/>
        <v>15</v>
      </c>
      <c r="I17" s="195">
        <f t="shared" si="1"/>
        <v>1</v>
      </c>
      <c r="J17" s="195">
        <f>COUNTIFS('2026 Time Off Request'!$A$2:$A$822,D17,'2026 Time Off Request'!$E$2:$E$822,"UNPAID")</f>
        <v>0</v>
      </c>
      <c r="K17" s="198">
        <f t="shared" si="2"/>
        <v>14</v>
      </c>
      <c r="L17" s="201">
        <f>K17/G17</f>
        <v>0.93333333333333335</v>
      </c>
      <c r="M17" s="8"/>
      <c r="N17" s="134">
        <f>_xlfn.XLOOKUP($D17,'Jan 2026'!$D:$D,'Jan 2026'!$E:$E)</f>
        <v>0</v>
      </c>
      <c r="O17" s="121">
        <f>_xlfn.XLOOKUP($D17,'Feb 2026'!$D:$D,'Feb 2026'!$E:$E)</f>
        <v>0</v>
      </c>
      <c r="P17" s="121">
        <f>_xlfn.XLOOKUP($D17,'Mar 2026'!$D:$D,'Mar 2026'!$E:$E)</f>
        <v>1</v>
      </c>
      <c r="Q17" s="121">
        <f>_xlfn.XLOOKUP($D17,'April 2026'!$D:$D,'April 2026'!$E:$E)</f>
        <v>0</v>
      </c>
      <c r="R17" s="121">
        <f>_xlfn.XLOOKUP($D17,'May 2026'!$D:$D,'May 2026'!$E:$E)</f>
        <v>0</v>
      </c>
      <c r="S17" s="121">
        <f>_xlfn.XLOOKUP($D17,'June 2026'!$D:$D,'June 2026'!$E:$E)</f>
        <v>0</v>
      </c>
      <c r="T17" s="121">
        <f>_xlfn.XLOOKUP($D17,'July 2026'!$D:$D,'July 2026'!$E:$E)</f>
        <v>0</v>
      </c>
      <c r="U17" s="121">
        <f>_xlfn.XLOOKUP($D17,'Aug 2026'!$D:$D,'Aug 2026'!$E:$E)</f>
        <v>0</v>
      </c>
      <c r="V17" s="121">
        <f>_xlfn.XLOOKUP($D17,'Sept 2026'!$D:$D,'Sept 2026'!$E:$E)</f>
        <v>0</v>
      </c>
      <c r="W17" s="121">
        <f>_xlfn.XLOOKUP($D17,'Oct 2026'!$D:$D,'Oct 2026'!$E:$E)</f>
        <v>0</v>
      </c>
      <c r="X17" s="121">
        <f>_xlfn.XLOOKUP($D17,'Nov 2026'!$D:$D,'Nov 2026'!$E:$E)</f>
        <v>0</v>
      </c>
      <c r="Y17" s="135">
        <f>_xlfn.XLOOKUP($D17,'Dec 2026'!$D:$D,'Dec 2026'!$E:$E)</f>
        <v>0</v>
      </c>
      <c r="Z17" s="8"/>
      <c r="AA17" s="8"/>
      <c r="AB17" s="8"/>
    </row>
    <row r="18" spans="1:28">
      <c r="A18" s="2">
        <v>16</v>
      </c>
      <c r="B18" s="124" t="s">
        <v>49</v>
      </c>
      <c r="C18" s="120" t="s">
        <v>50</v>
      </c>
      <c r="D18" s="139" t="s">
        <v>51</v>
      </c>
      <c r="E18" s="227">
        <f>_xlfn.XLOOKUP(D18,'Contract Entitlement'!$D$4:$D$61,'Contract Entitlement'!$G$4:$G$61)</f>
        <v>45797</v>
      </c>
      <c r="F18" s="8"/>
      <c r="G18" s="202">
        <f>_xlfn.XLOOKUP(D18,'Contract Entitlement'!$D$4:$D$61,'Contract Entitlement'!$F$4:$F$61)</f>
        <v>20</v>
      </c>
      <c r="H18" s="194">
        <f t="shared" si="3"/>
        <v>20</v>
      </c>
      <c r="I18" s="195">
        <f t="shared" si="1"/>
        <v>4</v>
      </c>
      <c r="J18" s="195">
        <f>COUNTIFS('2026 Time Off Request'!$A$2:$A$822,D18,'2026 Time Off Request'!$E$2:$E$822,"UNPAID")</f>
        <v>0</v>
      </c>
      <c r="K18" s="198">
        <f t="shared" si="2"/>
        <v>16</v>
      </c>
      <c r="L18" s="201">
        <f>K18/G18</f>
        <v>0.8</v>
      </c>
      <c r="M18" s="8"/>
      <c r="N18" s="134">
        <f>_xlfn.XLOOKUP($D18,'Jan 2026'!$D:$D,'Jan 2026'!$E:$E)</f>
        <v>4</v>
      </c>
      <c r="O18" s="121">
        <f>_xlfn.XLOOKUP($D18,'Feb 2026'!$D:$D,'Feb 2026'!$E:$E)</f>
        <v>0</v>
      </c>
      <c r="P18" s="121">
        <f>_xlfn.XLOOKUP($D18,'Mar 2026'!$D:$D,'Mar 2026'!$E:$E)</f>
        <v>0</v>
      </c>
      <c r="Q18" s="121">
        <f>_xlfn.XLOOKUP($D18,'April 2026'!$D:$D,'April 2026'!$E:$E)</f>
        <v>0</v>
      </c>
      <c r="R18" s="121">
        <f>_xlfn.XLOOKUP($D18,'May 2026'!$D:$D,'May 2026'!$E:$E)</f>
        <v>0</v>
      </c>
      <c r="S18" s="121">
        <f>_xlfn.XLOOKUP($D18,'June 2026'!$D:$D,'June 2026'!$E:$E)</f>
        <v>0</v>
      </c>
      <c r="T18" s="121">
        <f>_xlfn.XLOOKUP($D18,'July 2026'!$D:$D,'July 2026'!$E:$E)</f>
        <v>0</v>
      </c>
      <c r="U18" s="121">
        <f>_xlfn.XLOOKUP($D18,'Aug 2026'!$D:$D,'Aug 2026'!$E:$E)</f>
        <v>0</v>
      </c>
      <c r="V18" s="121">
        <f>_xlfn.XLOOKUP($D18,'Sept 2026'!$D:$D,'Sept 2026'!$E:$E)</f>
        <v>0</v>
      </c>
      <c r="W18" s="121">
        <f>_xlfn.XLOOKUP($D18,'Oct 2026'!$D:$D,'Oct 2026'!$E:$E)</f>
        <v>0</v>
      </c>
      <c r="X18" s="121">
        <f>_xlfn.XLOOKUP($D18,'Nov 2026'!$D:$D,'Nov 2026'!$E:$E)</f>
        <v>0</v>
      </c>
      <c r="Y18" s="135">
        <f>_xlfn.XLOOKUP($D18,'Dec 2026'!$D:$D,'Dec 2026'!$E:$E)</f>
        <v>0</v>
      </c>
      <c r="Z18" s="8"/>
      <c r="AA18" s="8"/>
      <c r="AB18" s="8"/>
    </row>
    <row r="19" spans="1:28">
      <c r="A19" s="2">
        <v>17</v>
      </c>
      <c r="B19" s="124" t="s">
        <v>45</v>
      </c>
      <c r="C19" s="120" t="s">
        <v>52</v>
      </c>
      <c r="D19" s="139" t="s">
        <v>53</v>
      </c>
      <c r="E19" s="227">
        <f>_xlfn.XLOOKUP(D19,'Contract Entitlement'!$D$4:$D$61,'Contract Entitlement'!$G$4:$G$61)</f>
        <v>45882</v>
      </c>
      <c r="F19" s="8"/>
      <c r="G19" s="202">
        <f>_xlfn.XLOOKUP(D19,'Contract Entitlement'!$D$4:$D$61,'Contract Entitlement'!$F$4:$F$61)</f>
        <v>15</v>
      </c>
      <c r="H19" s="194">
        <f t="shared" si="3"/>
        <v>15</v>
      </c>
      <c r="I19" s="195">
        <f t="shared" si="1"/>
        <v>0</v>
      </c>
      <c r="J19" s="195">
        <f>COUNTIFS('2026 Time Off Request'!$A$2:$A$822,D19,'2026 Time Off Request'!$E$2:$E$822,"UNPAID")</f>
        <v>0</v>
      </c>
      <c r="K19" s="198">
        <f t="shared" si="2"/>
        <v>15</v>
      </c>
      <c r="L19" s="201">
        <f>K19/G19</f>
        <v>1</v>
      </c>
      <c r="M19" s="8"/>
      <c r="N19" s="134">
        <f>_xlfn.XLOOKUP($D19,'Jan 2026'!$D:$D,'Jan 2026'!$E:$E)</f>
        <v>0</v>
      </c>
      <c r="O19" s="121">
        <f>_xlfn.XLOOKUP($D19,'Feb 2026'!$D:$D,'Feb 2026'!$E:$E)</f>
        <v>0</v>
      </c>
      <c r="P19" s="121">
        <f>_xlfn.XLOOKUP($D19,'Mar 2026'!$D:$D,'Mar 2026'!$E:$E)</f>
        <v>0</v>
      </c>
      <c r="Q19" s="121">
        <f>_xlfn.XLOOKUP($D19,'April 2026'!$D:$D,'April 2026'!$E:$E)</f>
        <v>0</v>
      </c>
      <c r="R19" s="121">
        <f>_xlfn.XLOOKUP($D19,'May 2026'!$D:$D,'May 2026'!$E:$E)</f>
        <v>0</v>
      </c>
      <c r="S19" s="121">
        <f>_xlfn.XLOOKUP($D19,'June 2026'!$D:$D,'June 2026'!$E:$E)</f>
        <v>0</v>
      </c>
      <c r="T19" s="121">
        <f>_xlfn.XLOOKUP($D19,'July 2026'!$D:$D,'July 2026'!$E:$E)</f>
        <v>0</v>
      </c>
      <c r="U19" s="121">
        <f>_xlfn.XLOOKUP($D19,'Aug 2026'!$D:$D,'Aug 2026'!$E:$E)</f>
        <v>0</v>
      </c>
      <c r="V19" s="121">
        <f>_xlfn.XLOOKUP($D19,'Sept 2026'!$D:$D,'Sept 2026'!$E:$E)</f>
        <v>0</v>
      </c>
      <c r="W19" s="121">
        <f>_xlfn.XLOOKUP($D19,'Oct 2026'!$D:$D,'Oct 2026'!$E:$E)</f>
        <v>0</v>
      </c>
      <c r="X19" s="121">
        <f>_xlfn.XLOOKUP($D19,'Nov 2026'!$D:$D,'Nov 2026'!$E:$E)</f>
        <v>0</v>
      </c>
      <c r="Y19" s="135">
        <f>_xlfn.XLOOKUP($D19,'Dec 2026'!$D:$D,'Dec 2026'!$E:$E)</f>
        <v>0</v>
      </c>
      <c r="Z19" s="8"/>
      <c r="AA19" s="8"/>
      <c r="AB19" s="8"/>
    </row>
    <row r="20" spans="1:28">
      <c r="B20" s="124" t="s">
        <v>45</v>
      </c>
      <c r="C20" s="120" t="s">
        <v>52</v>
      </c>
      <c r="D20" s="139" t="s">
        <v>54</v>
      </c>
      <c r="E20" s="227">
        <f>_xlfn.XLOOKUP(D20,'Contract Entitlement'!$D$4:$D$61,'Contract Entitlement'!$G$4:$G$61)</f>
        <v>46076</v>
      </c>
      <c r="F20" s="8"/>
      <c r="G20" s="202">
        <f>_xlfn.XLOOKUP(D20,'Contract Entitlement'!$D$4:$D$61,'Contract Entitlement'!$F$4:$F$61)</f>
        <v>15</v>
      </c>
      <c r="H20" s="194">
        <f t="shared" ref="H20:H25" si="4">IF(YEAR(E20)=2026,IF(DAY(E20)&lt;15,CEILING(G20 * (12 - MONTH(E20) + 1) / 12,1),FLOOR(G20 * (12 - MONTH(E20) + 1) / 12,1)),IF(YEAR(E20)&lt;2026,G20,0))</f>
        <v>13</v>
      </c>
      <c r="I20" s="195">
        <f>SUM(O20:Y20)</f>
        <v>0</v>
      </c>
      <c r="J20" s="195">
        <f>COUNTIFS('2026 Time Off Request'!$A$2:$A$822,D20,'2026 Time Off Request'!$E$2:$E$822,"UNPAID")</f>
        <v>0</v>
      </c>
      <c r="K20" s="198">
        <f t="shared" ref="K20:K25" si="5">H20-I20</f>
        <v>13</v>
      </c>
      <c r="L20" s="201">
        <f t="shared" ref="L20:L25" si="6">K20/G20</f>
        <v>0.8666666666666667</v>
      </c>
      <c r="M20" s="8"/>
      <c r="N20" s="134" t="e">
        <f>_xlfn.XLOOKUP($D20,'Jan 2026'!$D:$D,'Jan 2026'!$E:$E)</f>
        <v>#N/A</v>
      </c>
      <c r="O20" s="121">
        <f>_xlfn.XLOOKUP($D20,'Feb 2026'!$D:$D,'Feb 2026'!$E:$E)</f>
        <v>0</v>
      </c>
      <c r="P20" s="121">
        <f>_xlfn.XLOOKUP($D20,'Mar 2026'!$D:$D,'Mar 2026'!$E:$E)</f>
        <v>0</v>
      </c>
      <c r="Q20" s="121">
        <f>_xlfn.XLOOKUP($D20,'April 2026'!$D:$D,'April 2026'!$E:$E)</f>
        <v>0</v>
      </c>
      <c r="R20" s="121">
        <f>_xlfn.XLOOKUP($D20,'May 2026'!$D:$D,'May 2026'!$E:$E)</f>
        <v>0</v>
      </c>
      <c r="S20" s="121">
        <f>_xlfn.XLOOKUP($D20,'June 2026'!$D:$D,'June 2026'!$E:$E)</f>
        <v>0</v>
      </c>
      <c r="T20" s="121">
        <f>_xlfn.XLOOKUP($D20,'July 2026'!$D:$D,'July 2026'!$E:$E)</f>
        <v>0</v>
      </c>
      <c r="U20" s="121">
        <f>_xlfn.XLOOKUP($D20,'Aug 2026'!$D:$D,'Aug 2026'!$E:$E)</f>
        <v>0</v>
      </c>
      <c r="V20" s="121">
        <f>_xlfn.XLOOKUP($D20,'Sept 2026'!$D:$D,'Sept 2026'!$E:$E)</f>
        <v>0</v>
      </c>
      <c r="W20" s="121">
        <f>_xlfn.XLOOKUP($D20,'Oct 2026'!$D:$D,'Oct 2026'!$E:$E)</f>
        <v>0</v>
      </c>
      <c r="X20" s="121">
        <f>_xlfn.XLOOKUP($D20,'Nov 2026'!$D:$D,'Nov 2026'!$E:$E)</f>
        <v>0</v>
      </c>
      <c r="Y20" s="135">
        <f>_xlfn.XLOOKUP($D20,'Dec 2026'!$D:$D,'Dec 2026'!$E:$E)</f>
        <v>0</v>
      </c>
      <c r="Z20" s="8"/>
      <c r="AA20" s="8"/>
      <c r="AB20" s="8"/>
    </row>
    <row r="21" spans="1:28">
      <c r="A21" s="2">
        <v>18</v>
      </c>
      <c r="B21" s="124" t="s">
        <v>45</v>
      </c>
      <c r="C21" s="120" t="s">
        <v>55</v>
      </c>
      <c r="D21" s="139" t="s">
        <v>56</v>
      </c>
      <c r="E21" s="227">
        <f>_xlfn.XLOOKUP(D21,'Contract Entitlement'!$D$4:$D$61,'Contract Entitlement'!$G$4:$G$61)</f>
        <v>45538</v>
      </c>
      <c r="F21" s="8"/>
      <c r="G21" s="202">
        <f>_xlfn.XLOOKUP(D21,'Contract Entitlement'!$D$4:$D$61,'Contract Entitlement'!$F$4:$F$61)</f>
        <v>15</v>
      </c>
      <c r="H21" s="194">
        <f t="shared" si="4"/>
        <v>15</v>
      </c>
      <c r="I21" s="195">
        <f t="shared" ref="I20:I25" si="7">SUM(N21:Y21)</f>
        <v>5</v>
      </c>
      <c r="J21" s="195">
        <f>COUNTIFS('2026 Time Off Request'!$A$2:$A$822,D21,'2026 Time Off Request'!$E$2:$E$822,"UNPAID")</f>
        <v>0</v>
      </c>
      <c r="K21" s="198">
        <f t="shared" si="5"/>
        <v>10</v>
      </c>
      <c r="L21" s="201">
        <f t="shared" si="6"/>
        <v>0.66666666666666663</v>
      </c>
      <c r="M21" s="8"/>
      <c r="N21" s="134">
        <f>_xlfn.XLOOKUP($D21,'Jan 2026'!$D:$D,'Jan 2026'!$E:$E)</f>
        <v>3</v>
      </c>
      <c r="O21" s="121">
        <f>_xlfn.XLOOKUP($D21,'Feb 2026'!$D:$D,'Feb 2026'!$E:$E)</f>
        <v>2</v>
      </c>
      <c r="P21" s="121">
        <f>_xlfn.XLOOKUP($D21,'Mar 2026'!$D:$D,'Mar 2026'!$E:$E)</f>
        <v>0</v>
      </c>
      <c r="Q21" s="121">
        <f>_xlfn.XLOOKUP($D21,'April 2026'!$D:$D,'April 2026'!$E:$E)</f>
        <v>0</v>
      </c>
      <c r="R21" s="121">
        <f>_xlfn.XLOOKUP($D21,'May 2026'!$D:$D,'May 2026'!$E:$E)</f>
        <v>0</v>
      </c>
      <c r="S21" s="121">
        <f>_xlfn.XLOOKUP($D21,'June 2026'!$D:$D,'June 2026'!$E:$E)</f>
        <v>0</v>
      </c>
      <c r="T21" s="121">
        <f>_xlfn.XLOOKUP($D21,'July 2026'!$D:$D,'July 2026'!$E:$E)</f>
        <v>0</v>
      </c>
      <c r="U21" s="121">
        <f>_xlfn.XLOOKUP($D21,'Aug 2026'!$D:$D,'Aug 2026'!$E:$E)</f>
        <v>0</v>
      </c>
      <c r="V21" s="121">
        <f>_xlfn.XLOOKUP($D21,'Sept 2026'!$D:$D,'Sept 2026'!$E:$E)</f>
        <v>0</v>
      </c>
      <c r="W21" s="121">
        <f>_xlfn.XLOOKUP($D21,'Oct 2026'!$D:$D,'Oct 2026'!$E:$E)</f>
        <v>0</v>
      </c>
      <c r="X21" s="121">
        <f>_xlfn.XLOOKUP($D21,'Nov 2026'!$D:$D,'Nov 2026'!$E:$E)</f>
        <v>0</v>
      </c>
      <c r="Y21" s="135">
        <f>_xlfn.XLOOKUP($D21,'Dec 2026'!$D:$D,'Dec 2026'!$E:$E)</f>
        <v>0</v>
      </c>
      <c r="Z21" s="8"/>
      <c r="AA21" s="8"/>
      <c r="AB21" s="8"/>
    </row>
    <row r="22" spans="1:28">
      <c r="B22" s="124" t="s">
        <v>45</v>
      </c>
      <c r="C22" s="120" t="s">
        <v>55</v>
      </c>
      <c r="D22" s="139" t="s">
        <v>57</v>
      </c>
      <c r="E22" s="227">
        <f>_xlfn.XLOOKUP(D22,'Contract Entitlement'!$D$4:$D$61,'Contract Entitlement'!$G$4:$G$61)</f>
        <v>46076</v>
      </c>
      <c r="F22" s="8"/>
      <c r="G22" s="202">
        <f>_xlfn.XLOOKUP(D22,'Contract Entitlement'!$D$4:$D$61,'Contract Entitlement'!$F$4:$F$61)</f>
        <v>10</v>
      </c>
      <c r="H22" s="194">
        <f t="shared" si="4"/>
        <v>9</v>
      </c>
      <c r="I22" s="195">
        <f>SUM(O22:Y22)</f>
        <v>0</v>
      </c>
      <c r="J22" s="195">
        <f>COUNTIFS('2026 Time Off Request'!$A$2:$A$822,D22,'2026 Time Off Request'!$E$2:$E$822,"UNPAID")</f>
        <v>0</v>
      </c>
      <c r="K22" s="198">
        <f t="shared" si="5"/>
        <v>9</v>
      </c>
      <c r="L22" s="201">
        <f t="shared" si="6"/>
        <v>0.9</v>
      </c>
      <c r="M22" s="8"/>
      <c r="N22" s="134" t="e">
        <f>_xlfn.XLOOKUP($D22,'Jan 2026'!$D:$D,'Jan 2026'!$E:$E)</f>
        <v>#N/A</v>
      </c>
      <c r="O22" s="121">
        <f>_xlfn.XLOOKUP($D22,'Feb 2026'!$D:$D,'Feb 2026'!$E:$E)</f>
        <v>0</v>
      </c>
      <c r="P22" s="121">
        <f>_xlfn.XLOOKUP($D22,'Mar 2026'!$D:$D,'Mar 2026'!$E:$E)</f>
        <v>0</v>
      </c>
      <c r="Q22" s="121">
        <f>_xlfn.XLOOKUP($D22,'April 2026'!$D:$D,'April 2026'!$E:$E)</f>
        <v>0</v>
      </c>
      <c r="R22" s="121">
        <f>_xlfn.XLOOKUP($D22,'May 2026'!$D:$D,'May 2026'!$E:$E)</f>
        <v>0</v>
      </c>
      <c r="S22" s="121">
        <f>_xlfn.XLOOKUP($D22,'June 2026'!$D:$D,'June 2026'!$E:$E)</f>
        <v>0</v>
      </c>
      <c r="T22" s="121">
        <f>_xlfn.XLOOKUP($D22,'July 2026'!$D:$D,'July 2026'!$E:$E)</f>
        <v>0</v>
      </c>
      <c r="U22" s="121">
        <f>_xlfn.XLOOKUP($D22,'Aug 2026'!$D:$D,'Aug 2026'!$E:$E)</f>
        <v>0</v>
      </c>
      <c r="V22" s="121">
        <f>_xlfn.XLOOKUP($D22,'Sept 2026'!$D:$D,'Sept 2026'!$E:$E)</f>
        <v>0</v>
      </c>
      <c r="W22" s="121">
        <f>_xlfn.XLOOKUP($D22,'Oct 2026'!$D:$D,'Oct 2026'!$E:$E)</f>
        <v>0</v>
      </c>
      <c r="X22" s="121">
        <f>_xlfn.XLOOKUP($D22,'Nov 2026'!$D:$D,'Nov 2026'!$E:$E)</f>
        <v>0</v>
      </c>
      <c r="Y22" s="135">
        <f>_xlfn.XLOOKUP($D22,'Dec 2026'!$D:$D,'Dec 2026'!$E:$E)</f>
        <v>0</v>
      </c>
      <c r="Z22" s="8"/>
      <c r="AA22" s="8"/>
      <c r="AB22" s="8"/>
    </row>
    <row r="23" spans="1:28">
      <c r="A23" s="2">
        <v>19</v>
      </c>
      <c r="B23" s="124" t="s">
        <v>45</v>
      </c>
      <c r="C23" s="120" t="s">
        <v>58</v>
      </c>
      <c r="D23" s="139" t="s">
        <v>59</v>
      </c>
      <c r="E23" s="227">
        <f>_xlfn.XLOOKUP(D23,'Contract Entitlement'!$D$4:$D$61,'Contract Entitlement'!$G$4:$G$61)</f>
        <v>44522</v>
      </c>
      <c r="F23" s="8"/>
      <c r="G23" s="202">
        <f>_xlfn.XLOOKUP(D23,'Contract Entitlement'!$D$4:$D$61,'Contract Entitlement'!$F$4:$F$61)</f>
        <v>15</v>
      </c>
      <c r="H23" s="194">
        <f t="shared" si="4"/>
        <v>15</v>
      </c>
      <c r="I23" s="195">
        <f t="shared" si="7"/>
        <v>1</v>
      </c>
      <c r="J23" s="195">
        <f>COUNTIFS('2026 Time Off Request'!$A$2:$A$822,D23,'2026 Time Off Request'!$E$2:$E$822,"UNPAID")</f>
        <v>0</v>
      </c>
      <c r="K23" s="198">
        <f t="shared" si="5"/>
        <v>14</v>
      </c>
      <c r="L23" s="201">
        <f t="shared" si="6"/>
        <v>0.93333333333333335</v>
      </c>
      <c r="M23" s="8"/>
      <c r="N23" s="134">
        <f>_xlfn.XLOOKUP($D23,'Jan 2026'!$D:$D,'Jan 2026'!$E:$E)</f>
        <v>0</v>
      </c>
      <c r="O23" s="121">
        <f>_xlfn.XLOOKUP($D23,'Feb 2026'!$D:$D,'Feb 2026'!$E:$E)</f>
        <v>0</v>
      </c>
      <c r="P23" s="121">
        <f>_xlfn.XLOOKUP($D23,'Mar 2026'!$D:$D,'Mar 2026'!$E:$E)</f>
        <v>1</v>
      </c>
      <c r="Q23" s="121">
        <f>_xlfn.XLOOKUP($D23,'April 2026'!$D:$D,'April 2026'!$E:$E)</f>
        <v>0</v>
      </c>
      <c r="R23" s="121">
        <f>_xlfn.XLOOKUP($D23,'May 2026'!$D:$D,'May 2026'!$E:$E)</f>
        <v>0</v>
      </c>
      <c r="S23" s="121">
        <f>_xlfn.XLOOKUP($D23,'June 2026'!$D:$D,'June 2026'!$E:$E)</f>
        <v>0</v>
      </c>
      <c r="T23" s="121">
        <f>_xlfn.XLOOKUP($D23,'July 2026'!$D:$D,'July 2026'!$E:$E)</f>
        <v>0</v>
      </c>
      <c r="U23" s="121">
        <f>_xlfn.XLOOKUP($D23,'Aug 2026'!$D:$D,'Aug 2026'!$E:$E)</f>
        <v>0</v>
      </c>
      <c r="V23" s="121">
        <f>_xlfn.XLOOKUP($D23,'Sept 2026'!$D:$D,'Sept 2026'!$E:$E)</f>
        <v>0</v>
      </c>
      <c r="W23" s="121">
        <f>_xlfn.XLOOKUP($D23,'Oct 2026'!$D:$D,'Oct 2026'!$E:$E)</f>
        <v>0</v>
      </c>
      <c r="X23" s="121">
        <f>_xlfn.XLOOKUP($D23,'Nov 2026'!$D:$D,'Nov 2026'!$E:$E)</f>
        <v>0</v>
      </c>
      <c r="Y23" s="135">
        <f>_xlfn.XLOOKUP($D23,'Dec 2026'!$D:$D,'Dec 2026'!$E:$E)</f>
        <v>0</v>
      </c>
      <c r="Z23" s="8"/>
      <c r="AA23" s="8"/>
      <c r="AB23" s="8"/>
    </row>
    <row r="24" spans="1:28">
      <c r="A24" s="2">
        <v>20</v>
      </c>
      <c r="B24" s="124" t="s">
        <v>45</v>
      </c>
      <c r="C24" s="120" t="s">
        <v>60</v>
      </c>
      <c r="D24" s="139" t="s">
        <v>61</v>
      </c>
      <c r="E24" s="227">
        <f>_xlfn.XLOOKUP(D24,'Contract Entitlement'!$D$4:$D$61,'Contract Entitlement'!$G$4:$G$61)</f>
        <v>45831</v>
      </c>
      <c r="F24" s="8"/>
      <c r="G24" s="202">
        <f>_xlfn.XLOOKUP(D24,'Contract Entitlement'!$D$4:$D$61,'Contract Entitlement'!$F$4:$F$61)</f>
        <v>10</v>
      </c>
      <c r="H24" s="194">
        <f t="shared" si="4"/>
        <v>10</v>
      </c>
      <c r="I24" s="195">
        <f t="shared" si="7"/>
        <v>0</v>
      </c>
      <c r="J24" s="195">
        <f>COUNTIFS('2026 Time Off Request'!$A$2:$A$822,D24,'2026 Time Off Request'!$E$2:$E$822,"UNPAID")</f>
        <v>0</v>
      </c>
      <c r="K24" s="198">
        <f t="shared" si="5"/>
        <v>10</v>
      </c>
      <c r="L24" s="201">
        <f t="shared" si="6"/>
        <v>1</v>
      </c>
      <c r="M24" s="8"/>
      <c r="N24" s="134">
        <f>_xlfn.XLOOKUP($D24,'Jan 2026'!$D:$D,'Jan 2026'!$E:$E)</f>
        <v>0</v>
      </c>
      <c r="O24" s="121">
        <f>_xlfn.XLOOKUP($D24,'Feb 2026'!$D:$D,'Feb 2026'!$E:$E)</f>
        <v>0</v>
      </c>
      <c r="P24" s="121">
        <f>_xlfn.XLOOKUP($D24,'Mar 2026'!$D:$D,'Mar 2026'!$E:$E)</f>
        <v>0</v>
      </c>
      <c r="Q24" s="121">
        <f>_xlfn.XLOOKUP($D24,'April 2026'!$D:$D,'April 2026'!$E:$E)</f>
        <v>0</v>
      </c>
      <c r="R24" s="121">
        <f>_xlfn.XLOOKUP($D24,'May 2026'!$D:$D,'May 2026'!$E:$E)</f>
        <v>0</v>
      </c>
      <c r="S24" s="121">
        <f>_xlfn.XLOOKUP($D24,'June 2026'!$D:$D,'June 2026'!$E:$E)</f>
        <v>0</v>
      </c>
      <c r="T24" s="121">
        <f>_xlfn.XLOOKUP($D24,'July 2026'!$D:$D,'July 2026'!$E:$E)</f>
        <v>0</v>
      </c>
      <c r="U24" s="121">
        <f>_xlfn.XLOOKUP($D24,'Aug 2026'!$D:$D,'Aug 2026'!$E:$E)</f>
        <v>0</v>
      </c>
      <c r="V24" s="121">
        <f>_xlfn.XLOOKUP($D24,'Sept 2026'!$D:$D,'Sept 2026'!$E:$E)</f>
        <v>0</v>
      </c>
      <c r="W24" s="121">
        <f>_xlfn.XLOOKUP($D24,'Oct 2026'!$D:$D,'Oct 2026'!$E:$E)</f>
        <v>0</v>
      </c>
      <c r="X24" s="121">
        <f>_xlfn.XLOOKUP($D24,'Nov 2026'!$D:$D,'Nov 2026'!$E:$E)</f>
        <v>0</v>
      </c>
      <c r="Y24" s="135">
        <f>_xlfn.XLOOKUP($D24,'Dec 2026'!$D:$D,'Dec 2026'!$E:$E)</f>
        <v>0</v>
      </c>
      <c r="Z24" s="8"/>
      <c r="AA24" s="8"/>
      <c r="AB24" s="8"/>
    </row>
    <row r="25" spans="1:28">
      <c r="B25" s="124" t="s">
        <v>45</v>
      </c>
      <c r="C25" s="120" t="s">
        <v>62</v>
      </c>
      <c r="D25" s="139" t="s">
        <v>63</v>
      </c>
      <c r="E25" s="227">
        <f>_xlfn.XLOOKUP(D25,'Contract Entitlement'!$D$4:$D$61,'Contract Entitlement'!$G$4:$G$61)</f>
        <v>46078</v>
      </c>
      <c r="F25" s="8"/>
      <c r="G25" s="202">
        <f>_xlfn.XLOOKUP(D25,'Contract Entitlement'!$D$4:$D$61,'Contract Entitlement'!$F$4:$F$61)</f>
        <v>10</v>
      </c>
      <c r="H25" s="194">
        <f t="shared" si="4"/>
        <v>9</v>
      </c>
      <c r="I25" s="195">
        <f>SUM(O25:Y25)</f>
        <v>0</v>
      </c>
      <c r="J25" s="195">
        <f>COUNTIFS('2026 Time Off Request'!$A$2:$A$822,D25,'2026 Time Off Request'!$E$2:$E$822,"UNPAID")</f>
        <v>0</v>
      </c>
      <c r="K25" s="198">
        <f t="shared" si="5"/>
        <v>9</v>
      </c>
      <c r="L25" s="201">
        <f t="shared" si="6"/>
        <v>0.9</v>
      </c>
      <c r="M25" s="8"/>
      <c r="N25" s="134" t="e">
        <f>_xlfn.XLOOKUP($D25,'Jan 2026'!$D:$D,'Jan 2026'!$E:$E)</f>
        <v>#N/A</v>
      </c>
      <c r="O25" s="121">
        <f>_xlfn.XLOOKUP($D25,'Feb 2026'!$D:$D,'Feb 2026'!$E:$E)</f>
        <v>0</v>
      </c>
      <c r="P25" s="121">
        <f>_xlfn.XLOOKUP($D25,'Mar 2026'!$D:$D,'Mar 2026'!$E:$E)</f>
        <v>0</v>
      </c>
      <c r="Q25" s="121">
        <f>_xlfn.XLOOKUP($D25,'April 2026'!$D:$D,'April 2026'!$E:$E)</f>
        <v>0</v>
      </c>
      <c r="R25" s="121">
        <f>_xlfn.XLOOKUP($D25,'May 2026'!$D:$D,'May 2026'!$E:$E)</f>
        <v>0</v>
      </c>
      <c r="S25" s="121">
        <f>_xlfn.XLOOKUP($D25,'June 2026'!$D:$D,'June 2026'!$E:$E)</f>
        <v>0</v>
      </c>
      <c r="T25" s="121">
        <f>_xlfn.XLOOKUP($D25,'July 2026'!$D:$D,'July 2026'!$E:$E)</f>
        <v>0</v>
      </c>
      <c r="U25" s="121">
        <f>_xlfn.XLOOKUP($D25,'Aug 2026'!$D:$D,'Aug 2026'!$E:$E)</f>
        <v>0</v>
      </c>
      <c r="V25" s="121">
        <f>_xlfn.XLOOKUP($D25,'Sept 2026'!$D:$D,'Sept 2026'!$E:$E)</f>
        <v>0</v>
      </c>
      <c r="W25" s="121">
        <f>_xlfn.XLOOKUP($D25,'Oct 2026'!$D:$D,'Oct 2026'!$E:$E)</f>
        <v>0</v>
      </c>
      <c r="X25" s="121">
        <f>_xlfn.XLOOKUP($D25,'Nov 2026'!$D:$D,'Nov 2026'!$E:$E)</f>
        <v>0</v>
      </c>
      <c r="Y25" s="135">
        <f>_xlfn.XLOOKUP($D25,'Dec 2026'!$D:$D,'Dec 2026'!$E:$E)</f>
        <v>0</v>
      </c>
      <c r="Z25" s="8"/>
      <c r="AA25" s="8"/>
      <c r="AB25" s="8"/>
    </row>
    <row r="26" spans="1:28">
      <c r="A26" s="2">
        <v>21</v>
      </c>
      <c r="B26" s="124" t="s">
        <v>49</v>
      </c>
      <c r="C26" s="120" t="s">
        <v>64</v>
      </c>
      <c r="D26" s="139" t="s">
        <v>65</v>
      </c>
      <c r="E26" s="227">
        <f>_xlfn.XLOOKUP(D26,'Contract Entitlement'!$D$4:$D$61,'Contract Entitlement'!$G$4:$G$61)</f>
        <v>45152</v>
      </c>
      <c r="F26" s="8"/>
      <c r="G26" s="202">
        <f>_xlfn.XLOOKUP(D26,'Contract Entitlement'!$D$4:$D$61,'Contract Entitlement'!$F$4:$F$61)</f>
        <v>20</v>
      </c>
      <c r="H26" s="194">
        <f t="shared" si="3"/>
        <v>20</v>
      </c>
      <c r="I26" s="195">
        <f t="shared" si="1"/>
        <v>1</v>
      </c>
      <c r="J26" s="195">
        <f>COUNTIFS('2026 Time Off Request'!$A$2:$A$822,D26,'2026 Time Off Request'!$E$2:$E$822,"UNPAID")</f>
        <v>0</v>
      </c>
      <c r="K26" s="198">
        <f t="shared" si="2"/>
        <v>19</v>
      </c>
      <c r="L26" s="201">
        <f>K26/G26</f>
        <v>0.95</v>
      </c>
      <c r="M26" s="8"/>
      <c r="N26" s="134">
        <f>_xlfn.XLOOKUP($D26,'Jan 2026'!$D:$D,'Jan 2026'!$E:$E)</f>
        <v>0</v>
      </c>
      <c r="O26" s="121">
        <f>_xlfn.XLOOKUP($D26,'Feb 2026'!$D:$D,'Feb 2026'!$E:$E)</f>
        <v>0</v>
      </c>
      <c r="P26" s="121">
        <f>_xlfn.XLOOKUP($D26,'Mar 2026'!$D:$D,'Mar 2026'!$E:$E)</f>
        <v>1</v>
      </c>
      <c r="Q26" s="121">
        <f>_xlfn.XLOOKUP($D26,'April 2026'!$D:$D,'April 2026'!$E:$E)</f>
        <v>0</v>
      </c>
      <c r="R26" s="121">
        <f>_xlfn.XLOOKUP($D26,'May 2026'!$D:$D,'May 2026'!$E:$E)</f>
        <v>0</v>
      </c>
      <c r="S26" s="121">
        <f>_xlfn.XLOOKUP($D26,'June 2026'!$D:$D,'June 2026'!$E:$E)</f>
        <v>0</v>
      </c>
      <c r="T26" s="121">
        <f>_xlfn.XLOOKUP($D26,'July 2026'!$D:$D,'July 2026'!$E:$E)</f>
        <v>0</v>
      </c>
      <c r="U26" s="121">
        <f>_xlfn.XLOOKUP($D26,'Aug 2026'!$D:$D,'Aug 2026'!$E:$E)</f>
        <v>0</v>
      </c>
      <c r="V26" s="121">
        <f>_xlfn.XLOOKUP($D26,'Sept 2026'!$D:$D,'Sept 2026'!$E:$E)</f>
        <v>0</v>
      </c>
      <c r="W26" s="121">
        <f>_xlfn.XLOOKUP($D26,'Oct 2026'!$D:$D,'Oct 2026'!$E:$E)</f>
        <v>0</v>
      </c>
      <c r="X26" s="121">
        <f>_xlfn.XLOOKUP($D26,'Nov 2026'!$D:$D,'Nov 2026'!$E:$E)</f>
        <v>0</v>
      </c>
      <c r="Y26" s="135">
        <f>_xlfn.XLOOKUP($D26,'Dec 2026'!$D:$D,'Dec 2026'!$E:$E)</f>
        <v>0</v>
      </c>
      <c r="Z26" s="8"/>
      <c r="AA26" s="8"/>
      <c r="AB26" s="8"/>
    </row>
    <row r="27" spans="1:28">
      <c r="A27" s="2">
        <v>22</v>
      </c>
      <c r="B27" s="124" t="s">
        <v>49</v>
      </c>
      <c r="C27" s="120" t="s">
        <v>66</v>
      </c>
      <c r="D27" s="139" t="s">
        <v>67</v>
      </c>
      <c r="E27" s="227">
        <f>_xlfn.XLOOKUP(D27,'Contract Entitlement'!$D$4:$D$61,'Contract Entitlement'!$G$4:$G$61)</f>
        <v>45964</v>
      </c>
      <c r="F27" s="8"/>
      <c r="G27" s="202">
        <f>_xlfn.XLOOKUP(D27,'Contract Entitlement'!$D$4:$D$61,'Contract Entitlement'!$F$4:$F$61)</f>
        <v>15</v>
      </c>
      <c r="H27" s="194">
        <f t="shared" si="3"/>
        <v>15</v>
      </c>
      <c r="I27" s="195">
        <f t="shared" si="1"/>
        <v>2</v>
      </c>
      <c r="J27" s="195">
        <f>COUNTIFS('2026 Time Off Request'!$A$2:$A$822,D27,'2026 Time Off Request'!$E$2:$E$822,"UNPAID")</f>
        <v>0</v>
      </c>
      <c r="K27" s="198">
        <f t="shared" si="2"/>
        <v>13</v>
      </c>
      <c r="L27" s="201">
        <f>K27/G27</f>
        <v>0.8666666666666667</v>
      </c>
      <c r="M27" s="8"/>
      <c r="N27" s="134">
        <f>_xlfn.XLOOKUP($D27,'Jan 2026'!$D:$D,'Jan 2026'!$E:$E)</f>
        <v>0</v>
      </c>
      <c r="O27" s="121">
        <f>_xlfn.XLOOKUP($D27,'Feb 2026'!$D:$D,'Feb 2026'!$E:$E)</f>
        <v>1</v>
      </c>
      <c r="P27" s="121">
        <f>_xlfn.XLOOKUP($D27,'Mar 2026'!$D:$D,'Mar 2026'!$E:$E)</f>
        <v>1</v>
      </c>
      <c r="Q27" s="121">
        <f>_xlfn.XLOOKUP($D27,'April 2026'!$D:$D,'April 2026'!$E:$E)</f>
        <v>0</v>
      </c>
      <c r="R27" s="121">
        <f>_xlfn.XLOOKUP($D27,'May 2026'!$D:$D,'May 2026'!$E:$E)</f>
        <v>0</v>
      </c>
      <c r="S27" s="121">
        <f>_xlfn.XLOOKUP($D27,'June 2026'!$D:$D,'June 2026'!$E:$E)</f>
        <v>0</v>
      </c>
      <c r="T27" s="121">
        <f>_xlfn.XLOOKUP($D27,'July 2026'!$D:$D,'July 2026'!$E:$E)</f>
        <v>0</v>
      </c>
      <c r="U27" s="121">
        <f>_xlfn.XLOOKUP($D27,'Aug 2026'!$D:$D,'Aug 2026'!$E:$E)</f>
        <v>0</v>
      </c>
      <c r="V27" s="121">
        <f>_xlfn.XLOOKUP($D27,'Sept 2026'!$D:$D,'Sept 2026'!$E:$E)</f>
        <v>0</v>
      </c>
      <c r="W27" s="121">
        <f>_xlfn.XLOOKUP($D27,'Oct 2026'!$D:$D,'Oct 2026'!$E:$E)</f>
        <v>0</v>
      </c>
      <c r="X27" s="121">
        <f>_xlfn.XLOOKUP($D27,'Nov 2026'!$D:$D,'Nov 2026'!$E:$E)</f>
        <v>0</v>
      </c>
      <c r="Y27" s="135">
        <f>_xlfn.XLOOKUP($D27,'Dec 2026'!$D:$D,'Dec 2026'!$E:$E)</f>
        <v>0</v>
      </c>
      <c r="Z27" s="8"/>
      <c r="AA27" s="8"/>
      <c r="AB27" s="8"/>
    </row>
    <row r="28" spans="1:28">
      <c r="A28" s="2">
        <v>23</v>
      </c>
      <c r="B28" s="124" t="s">
        <v>45</v>
      </c>
      <c r="C28" s="120" t="s">
        <v>68</v>
      </c>
      <c r="D28" s="139" t="s">
        <v>69</v>
      </c>
      <c r="E28" s="227">
        <f>_xlfn.XLOOKUP(D28,'Contract Entitlement'!$D$4:$D$61,'Contract Entitlement'!$G$4:$G$61)</f>
        <v>45712</v>
      </c>
      <c r="F28" s="8"/>
      <c r="G28" s="202">
        <f>_xlfn.XLOOKUP(D28,'Contract Entitlement'!$D$4:$D$61,'Contract Entitlement'!$F$4:$F$61)</f>
        <v>10</v>
      </c>
      <c r="H28" s="194">
        <f t="shared" si="3"/>
        <v>10</v>
      </c>
      <c r="I28" s="195">
        <f t="shared" si="1"/>
        <v>4</v>
      </c>
      <c r="J28" s="195">
        <f>COUNTIFS('2026 Time Off Request'!$A$2:$A$822,D28,'2026 Time Off Request'!$E$2:$E$822,"UNPAID")</f>
        <v>0</v>
      </c>
      <c r="K28" s="198">
        <f t="shared" si="2"/>
        <v>6</v>
      </c>
      <c r="L28" s="201">
        <f>K28/G28</f>
        <v>0.6</v>
      </c>
      <c r="M28" s="8"/>
      <c r="N28" s="134">
        <f>_xlfn.XLOOKUP($D28,'Jan 2026'!$D:$D,'Jan 2026'!$E:$E)</f>
        <v>3</v>
      </c>
      <c r="O28" s="121">
        <f>_xlfn.XLOOKUP($D28,'Feb 2026'!$D:$D,'Feb 2026'!$E:$E)</f>
        <v>0</v>
      </c>
      <c r="P28" s="121">
        <f>_xlfn.XLOOKUP($D28,'Mar 2026'!$D:$D,'Mar 2026'!$E:$E)</f>
        <v>1</v>
      </c>
      <c r="Q28" s="121">
        <f>_xlfn.XLOOKUP($D28,'April 2026'!$D:$D,'April 2026'!$E:$E)</f>
        <v>0</v>
      </c>
      <c r="R28" s="121">
        <f>_xlfn.XLOOKUP($D28,'May 2026'!$D:$D,'May 2026'!$E:$E)</f>
        <v>0</v>
      </c>
      <c r="S28" s="121">
        <f>_xlfn.XLOOKUP($D28,'June 2026'!$D:$D,'June 2026'!$E:$E)</f>
        <v>0</v>
      </c>
      <c r="T28" s="121">
        <f>_xlfn.XLOOKUP($D28,'July 2026'!$D:$D,'July 2026'!$E:$E)</f>
        <v>0</v>
      </c>
      <c r="U28" s="121">
        <f>_xlfn.XLOOKUP($D28,'Aug 2026'!$D:$D,'Aug 2026'!$E:$E)</f>
        <v>0</v>
      </c>
      <c r="V28" s="121">
        <f>_xlfn.XLOOKUP($D28,'Sept 2026'!$D:$D,'Sept 2026'!$E:$E)</f>
        <v>0</v>
      </c>
      <c r="W28" s="121">
        <f>_xlfn.XLOOKUP($D28,'Oct 2026'!$D:$D,'Oct 2026'!$E:$E)</f>
        <v>0</v>
      </c>
      <c r="X28" s="121">
        <f>_xlfn.XLOOKUP($D28,'Nov 2026'!$D:$D,'Nov 2026'!$E:$E)</f>
        <v>0</v>
      </c>
      <c r="Y28" s="135">
        <f>_xlfn.XLOOKUP($D28,'Dec 2026'!$D:$D,'Dec 2026'!$E:$E)</f>
        <v>0</v>
      </c>
      <c r="Z28" s="8"/>
      <c r="AA28" s="8"/>
      <c r="AB28" s="8"/>
    </row>
    <row r="29" spans="1:28">
      <c r="A29" s="2">
        <v>24</v>
      </c>
      <c r="B29" s="124" t="s">
        <v>45</v>
      </c>
      <c r="C29" s="120" t="s">
        <v>70</v>
      </c>
      <c r="D29" s="139" t="s">
        <v>71</v>
      </c>
      <c r="E29" s="227">
        <f>_xlfn.XLOOKUP(D29,'Contract Entitlement'!$D$4:$D$61,'Contract Entitlement'!$G$4:$G$61)</f>
        <v>45264</v>
      </c>
      <c r="F29" s="8"/>
      <c r="G29" s="202">
        <f>_xlfn.XLOOKUP(D29,'Contract Entitlement'!$D$4:$D$61,'Contract Entitlement'!$F$4:$F$61)</f>
        <v>10</v>
      </c>
      <c r="H29" s="194">
        <f t="shared" si="3"/>
        <v>10</v>
      </c>
      <c r="I29" s="195">
        <f t="shared" si="1"/>
        <v>0</v>
      </c>
      <c r="J29" s="195">
        <f>COUNTIFS('2026 Time Off Request'!$A$2:$A$822,D29,'2026 Time Off Request'!$E$2:$E$822,"UNPAID")</f>
        <v>0</v>
      </c>
      <c r="K29" s="198">
        <f t="shared" si="2"/>
        <v>10</v>
      </c>
      <c r="L29" s="201">
        <f>K29/G29</f>
        <v>1</v>
      </c>
      <c r="M29" s="8"/>
      <c r="N29" s="134">
        <f>_xlfn.XLOOKUP($D29,'Jan 2026'!$D:$D,'Jan 2026'!$E:$E)</f>
        <v>0</v>
      </c>
      <c r="O29" s="121">
        <f>_xlfn.XLOOKUP($D29,'Feb 2026'!$D:$D,'Feb 2026'!$E:$E)</f>
        <v>0</v>
      </c>
      <c r="P29" s="121">
        <f>_xlfn.XLOOKUP($D29,'Mar 2026'!$D:$D,'Mar 2026'!$E:$E)</f>
        <v>0</v>
      </c>
      <c r="Q29" s="121">
        <f>_xlfn.XLOOKUP($D29,'April 2026'!$D:$D,'April 2026'!$E:$E)</f>
        <v>0</v>
      </c>
      <c r="R29" s="121">
        <f>_xlfn.XLOOKUP($D29,'May 2026'!$D:$D,'May 2026'!$E:$E)</f>
        <v>0</v>
      </c>
      <c r="S29" s="121">
        <f>_xlfn.XLOOKUP($D29,'June 2026'!$D:$D,'June 2026'!$E:$E)</f>
        <v>0</v>
      </c>
      <c r="T29" s="121">
        <f>_xlfn.XLOOKUP($D29,'July 2026'!$D:$D,'July 2026'!$E:$E)</f>
        <v>0</v>
      </c>
      <c r="U29" s="121">
        <f>_xlfn.XLOOKUP($D29,'Aug 2026'!$D:$D,'Aug 2026'!$E:$E)</f>
        <v>0</v>
      </c>
      <c r="V29" s="121">
        <f>_xlfn.XLOOKUP($D29,'Sept 2026'!$D:$D,'Sept 2026'!$E:$E)</f>
        <v>0</v>
      </c>
      <c r="W29" s="121">
        <f>_xlfn.XLOOKUP($D29,'Oct 2026'!$D:$D,'Oct 2026'!$E:$E)</f>
        <v>0</v>
      </c>
      <c r="X29" s="121">
        <f>_xlfn.XLOOKUP($D29,'Nov 2026'!$D:$D,'Nov 2026'!$E:$E)</f>
        <v>0</v>
      </c>
      <c r="Y29" s="135">
        <f>_xlfn.XLOOKUP($D29,'Dec 2026'!$D:$D,'Dec 2026'!$E:$E)</f>
        <v>0</v>
      </c>
      <c r="Z29" s="8"/>
      <c r="AA29" s="8"/>
      <c r="AB29" s="8"/>
    </row>
    <row r="30" spans="1:28">
      <c r="A30" s="2">
        <v>25</v>
      </c>
      <c r="B30" s="124" t="s">
        <v>45</v>
      </c>
      <c r="C30" s="120" t="s">
        <v>70</v>
      </c>
      <c r="D30" s="139" t="s">
        <v>72</v>
      </c>
      <c r="E30" s="227">
        <f>_xlfn.XLOOKUP(D30,'Contract Entitlement'!$D$4:$D$61,'Contract Entitlement'!$G$4:$G$61)</f>
        <v>45275</v>
      </c>
      <c r="F30" s="8"/>
      <c r="G30" s="202">
        <f>_xlfn.XLOOKUP(D30,'Contract Entitlement'!$D$4:$D$61,'Contract Entitlement'!$F$4:$F$61)</f>
        <v>10</v>
      </c>
      <c r="H30" s="194">
        <f t="shared" si="3"/>
        <v>10</v>
      </c>
      <c r="I30" s="195">
        <f t="shared" si="1"/>
        <v>5</v>
      </c>
      <c r="J30" s="195">
        <f>COUNTIFS('2026 Time Off Request'!$A$2:$A$822,D30,'2026 Time Off Request'!$E$2:$E$822,"UNPAID")</f>
        <v>0</v>
      </c>
      <c r="K30" s="198">
        <f t="shared" si="2"/>
        <v>5</v>
      </c>
      <c r="L30" s="201">
        <f>K30/G30</f>
        <v>0.5</v>
      </c>
      <c r="M30" s="8"/>
      <c r="N30" s="134">
        <f>_xlfn.XLOOKUP($D30,'Jan 2026'!$D:$D,'Jan 2026'!$E:$E)</f>
        <v>0</v>
      </c>
      <c r="O30" s="121">
        <f>_xlfn.XLOOKUP($D30,'Feb 2026'!$D:$D,'Feb 2026'!$E:$E)</f>
        <v>1</v>
      </c>
      <c r="P30" s="121">
        <f>_xlfn.XLOOKUP($D30,'Mar 2026'!$D:$D,'Mar 2026'!$E:$E)</f>
        <v>0</v>
      </c>
      <c r="Q30" s="121">
        <f>_xlfn.XLOOKUP($D30,'April 2026'!$D:$D,'April 2026'!$E:$E)</f>
        <v>0</v>
      </c>
      <c r="R30" s="121">
        <f>_xlfn.XLOOKUP($D30,'May 2026'!$D:$D,'May 2026'!$E:$E)</f>
        <v>0</v>
      </c>
      <c r="S30" s="121">
        <f>_xlfn.XLOOKUP($D30,'June 2026'!$D:$D,'June 2026'!$E:$E)</f>
        <v>0</v>
      </c>
      <c r="T30" s="121">
        <f>_xlfn.XLOOKUP($D30,'July 2026'!$D:$D,'July 2026'!$E:$E)</f>
        <v>4</v>
      </c>
      <c r="U30" s="121">
        <f>_xlfn.XLOOKUP($D30,'Aug 2026'!$D:$D,'Aug 2026'!$E:$E)</f>
        <v>0</v>
      </c>
      <c r="V30" s="121">
        <f>_xlfn.XLOOKUP($D30,'Sept 2026'!$D:$D,'Sept 2026'!$E:$E)</f>
        <v>0</v>
      </c>
      <c r="W30" s="121">
        <f>_xlfn.XLOOKUP($D30,'Oct 2026'!$D:$D,'Oct 2026'!$E:$E)</f>
        <v>0</v>
      </c>
      <c r="X30" s="121">
        <f>_xlfn.XLOOKUP($D30,'Nov 2026'!$D:$D,'Nov 2026'!$E:$E)</f>
        <v>0</v>
      </c>
      <c r="Y30" s="135">
        <f>_xlfn.XLOOKUP($D30,'Dec 2026'!$D:$D,'Dec 2026'!$E:$E)</f>
        <v>0</v>
      </c>
      <c r="Z30" s="8"/>
      <c r="AA30" s="8"/>
      <c r="AB30" s="8"/>
    </row>
    <row r="31" spans="1:28">
      <c r="A31" s="2">
        <v>26</v>
      </c>
      <c r="B31" s="124" t="s">
        <v>45</v>
      </c>
      <c r="C31" s="120" t="s">
        <v>73</v>
      </c>
      <c r="D31" s="139" t="s">
        <v>74</v>
      </c>
      <c r="E31" s="227">
        <f>_xlfn.XLOOKUP(D31,'Contract Entitlement'!$D$4:$D$61,'Contract Entitlement'!$G$4:$G$61)</f>
        <v>46050</v>
      </c>
      <c r="F31" s="8"/>
      <c r="G31" s="202">
        <f>_xlfn.XLOOKUP(D31,'Contract Entitlement'!$D$4:$D$61,'Contract Entitlement'!$F$4:$F$61)</f>
        <v>10</v>
      </c>
      <c r="H31" s="194">
        <f t="shared" ref="H31" si="8">IF(YEAR(E31)=2026,IF(DAY(E31)&lt;15,CEILING(G31 * (12 - MONTH(E31) + 1) / 12,1),FLOOR(G31 * (12 - MONTH(E31) + 1) / 12,1)),IF(YEAR(E31)&lt;2026,G31,0))</f>
        <v>10</v>
      </c>
      <c r="I31" s="195">
        <f t="shared" ref="I31" si="9">SUM(N31:Y31)</f>
        <v>0</v>
      </c>
      <c r="J31" s="195">
        <f>COUNTIFS('2026 Time Off Request'!$A$2:$A$822,D31,'2026 Time Off Request'!$E$2:$E$822,"UNPAID")</f>
        <v>0</v>
      </c>
      <c r="K31" s="198">
        <f t="shared" ref="K31" si="10">H31-I31</f>
        <v>10</v>
      </c>
      <c r="L31" s="201">
        <f>K31/G31</f>
        <v>1</v>
      </c>
      <c r="M31" s="8"/>
      <c r="N31" s="134">
        <f>_xlfn.XLOOKUP($D31,'Jan 2026'!$D:$D,'Jan 2026'!$E:$E)</f>
        <v>0</v>
      </c>
      <c r="O31" s="121">
        <f>_xlfn.XLOOKUP($D31,'Feb 2026'!$D:$D,'Feb 2026'!$E:$E)</f>
        <v>0</v>
      </c>
      <c r="P31" s="121">
        <f>_xlfn.XLOOKUP($D31,'Mar 2026'!$D:$D,'Mar 2026'!$E:$E)</f>
        <v>0</v>
      </c>
      <c r="Q31" s="121">
        <f>_xlfn.XLOOKUP($D31,'April 2026'!$D:$D,'April 2026'!$E:$E)</f>
        <v>0</v>
      </c>
      <c r="R31" s="121">
        <f>_xlfn.XLOOKUP($D31,'May 2026'!$D:$D,'May 2026'!$E:$E)</f>
        <v>0</v>
      </c>
      <c r="S31" s="121">
        <f>_xlfn.XLOOKUP($D31,'June 2026'!$D:$D,'June 2026'!$E:$E)</f>
        <v>0</v>
      </c>
      <c r="T31" s="121">
        <f>_xlfn.XLOOKUP($D31,'July 2026'!$D:$D,'July 2026'!$E:$E)</f>
        <v>0</v>
      </c>
      <c r="U31" s="121">
        <f>_xlfn.XLOOKUP($D31,'Aug 2026'!$D:$D,'Aug 2026'!$E:$E)</f>
        <v>0</v>
      </c>
      <c r="V31" s="121">
        <f>_xlfn.XLOOKUP($D31,'Sept 2026'!$D:$D,'Sept 2026'!$E:$E)</f>
        <v>0</v>
      </c>
      <c r="W31" s="121">
        <f>_xlfn.XLOOKUP($D31,'Oct 2026'!$D:$D,'Oct 2026'!$E:$E)</f>
        <v>0</v>
      </c>
      <c r="X31" s="121">
        <f>_xlfn.XLOOKUP($D31,'Nov 2026'!$D:$D,'Nov 2026'!$E:$E)</f>
        <v>0</v>
      </c>
      <c r="Y31" s="135">
        <f>_xlfn.XLOOKUP($D31,'Dec 2026'!$D:$D,'Dec 2026'!$E:$E)</f>
        <v>0</v>
      </c>
      <c r="Z31" s="8"/>
      <c r="AA31" s="8"/>
      <c r="AB31" s="8"/>
    </row>
    <row r="32" spans="1:28">
      <c r="A32" s="2">
        <v>27</v>
      </c>
      <c r="B32" s="124" t="s">
        <v>49</v>
      </c>
      <c r="C32" s="120" t="s">
        <v>75</v>
      </c>
      <c r="D32" s="139" t="s">
        <v>76</v>
      </c>
      <c r="E32" s="227">
        <f>_xlfn.XLOOKUP(D32,'Contract Entitlement'!$D$4:$D$61,'Contract Entitlement'!$G$4:$G$61)</f>
        <v>45817</v>
      </c>
      <c r="F32" s="8"/>
      <c r="G32" s="202">
        <f>_xlfn.XLOOKUP(D32,'Contract Entitlement'!$D$4:$D$61,'Contract Entitlement'!$F$4:$F$61)</f>
        <v>15</v>
      </c>
      <c r="H32" s="194">
        <f t="shared" si="3"/>
        <v>15</v>
      </c>
      <c r="I32" s="195">
        <f t="shared" si="1"/>
        <v>5</v>
      </c>
      <c r="J32" s="195">
        <f>COUNTIFS('2026 Time Off Request'!$A$2:$A$822,D32,'2026 Time Off Request'!$E$2:$E$822,"UNPAID")</f>
        <v>0</v>
      </c>
      <c r="K32" s="198">
        <f t="shared" si="2"/>
        <v>10</v>
      </c>
      <c r="L32" s="201">
        <f>K32/G32</f>
        <v>0.66666666666666663</v>
      </c>
      <c r="M32" s="8"/>
      <c r="N32" s="134">
        <f>_xlfn.XLOOKUP($D32,'Jan 2026'!$D:$D,'Jan 2026'!$E:$E)</f>
        <v>0</v>
      </c>
      <c r="O32" s="121">
        <f>_xlfn.XLOOKUP($D32,'Feb 2026'!$D:$D,'Feb 2026'!$E:$E)</f>
        <v>5</v>
      </c>
      <c r="P32" s="121">
        <f>_xlfn.XLOOKUP($D32,'Mar 2026'!$D:$D,'Mar 2026'!$E:$E)</f>
        <v>0</v>
      </c>
      <c r="Q32" s="121">
        <f>_xlfn.XLOOKUP($D32,'April 2026'!$D:$D,'April 2026'!$E:$E)</f>
        <v>0</v>
      </c>
      <c r="R32" s="121">
        <f>_xlfn.XLOOKUP($D32,'May 2026'!$D:$D,'May 2026'!$E:$E)</f>
        <v>0</v>
      </c>
      <c r="S32" s="121">
        <f>_xlfn.XLOOKUP($D32,'June 2026'!$D:$D,'June 2026'!$E:$E)</f>
        <v>0</v>
      </c>
      <c r="T32" s="121">
        <f>_xlfn.XLOOKUP($D32,'July 2026'!$D:$D,'July 2026'!$E:$E)</f>
        <v>0</v>
      </c>
      <c r="U32" s="121">
        <f>_xlfn.XLOOKUP($D32,'Aug 2026'!$D:$D,'Aug 2026'!$E:$E)</f>
        <v>0</v>
      </c>
      <c r="V32" s="121">
        <f>_xlfn.XLOOKUP($D32,'Sept 2026'!$D:$D,'Sept 2026'!$E:$E)</f>
        <v>0</v>
      </c>
      <c r="W32" s="121">
        <f>_xlfn.XLOOKUP($D32,'Oct 2026'!$D:$D,'Oct 2026'!$E:$E)</f>
        <v>0</v>
      </c>
      <c r="X32" s="121">
        <f>_xlfn.XLOOKUP($D32,'Nov 2026'!$D:$D,'Nov 2026'!$E:$E)</f>
        <v>0</v>
      </c>
      <c r="Y32" s="135">
        <f>_xlfn.XLOOKUP($D32,'Dec 2026'!$D:$D,'Dec 2026'!$E:$E)</f>
        <v>0</v>
      </c>
      <c r="Z32" s="8"/>
      <c r="AA32" s="8"/>
      <c r="AB32" s="8"/>
    </row>
    <row r="33" spans="1:28">
      <c r="A33" s="2">
        <v>28</v>
      </c>
      <c r="B33" s="124" t="s">
        <v>45</v>
      </c>
      <c r="C33" s="120" t="s">
        <v>77</v>
      </c>
      <c r="D33" s="139" t="s">
        <v>78</v>
      </c>
      <c r="E33" s="227">
        <f>_xlfn.XLOOKUP(D33,'Contract Entitlement'!$D$4:$D$61,'Contract Entitlement'!$G$4:$G$61)</f>
        <v>45833</v>
      </c>
      <c r="F33" s="8"/>
      <c r="G33" s="202">
        <f>_xlfn.XLOOKUP(D33,'Contract Entitlement'!$D$4:$D$61,'Contract Entitlement'!$F$4:$F$61)</f>
        <v>10</v>
      </c>
      <c r="H33" s="194">
        <f t="shared" si="3"/>
        <v>10</v>
      </c>
      <c r="I33" s="195">
        <f t="shared" si="1"/>
        <v>5</v>
      </c>
      <c r="J33" s="195">
        <f>COUNTIFS('2026 Time Off Request'!$A$2:$A$822,D33,'2026 Time Off Request'!$E$2:$E$822,"UNPAID")</f>
        <v>5</v>
      </c>
      <c r="K33" s="198">
        <f t="shared" si="2"/>
        <v>5</v>
      </c>
      <c r="L33" s="201">
        <f>K33/G33</f>
        <v>0.5</v>
      </c>
      <c r="M33" s="8"/>
      <c r="N33" s="134">
        <f>_xlfn.XLOOKUP($D33,'Jan 2026'!$D:$D,'Jan 2026'!$E:$E)</f>
        <v>0</v>
      </c>
      <c r="O33" s="121">
        <f>_xlfn.XLOOKUP($D33,'Feb 2026'!$D:$D,'Feb 2026'!$E:$E)</f>
        <v>0</v>
      </c>
      <c r="P33" s="121">
        <f>_xlfn.XLOOKUP($D33,'Mar 2026'!$D:$D,'Mar 2026'!$E:$E)</f>
        <v>0</v>
      </c>
      <c r="Q33" s="121">
        <f>_xlfn.XLOOKUP($D33,'April 2026'!$D:$D,'April 2026'!$E:$E)</f>
        <v>0</v>
      </c>
      <c r="R33" s="121">
        <f>_xlfn.XLOOKUP($D33,'May 2026'!$D:$D,'May 2026'!$E:$E)</f>
        <v>0</v>
      </c>
      <c r="S33" s="121">
        <f>_xlfn.XLOOKUP($D33,'June 2026'!$D:$D,'June 2026'!$E:$E)</f>
        <v>5</v>
      </c>
      <c r="T33" s="121">
        <f>_xlfn.XLOOKUP($D33,'July 2026'!$D:$D,'July 2026'!$E:$E)</f>
        <v>0</v>
      </c>
      <c r="U33" s="121">
        <f>_xlfn.XLOOKUP($D33,'Aug 2026'!$D:$D,'Aug 2026'!$E:$E)</f>
        <v>0</v>
      </c>
      <c r="V33" s="121">
        <f>_xlfn.XLOOKUP($D33,'Sept 2026'!$D:$D,'Sept 2026'!$E:$E)</f>
        <v>0</v>
      </c>
      <c r="W33" s="121">
        <f>_xlfn.XLOOKUP($D33,'Oct 2026'!$D:$D,'Oct 2026'!$E:$E)</f>
        <v>0</v>
      </c>
      <c r="X33" s="121">
        <f>_xlfn.XLOOKUP($D33,'Nov 2026'!$D:$D,'Nov 2026'!$E:$E)</f>
        <v>0</v>
      </c>
      <c r="Y33" s="135">
        <f>_xlfn.XLOOKUP($D33,'Dec 2026'!$D:$D,'Dec 2026'!$E:$E)</f>
        <v>0</v>
      </c>
      <c r="Z33" s="8"/>
      <c r="AA33" s="8"/>
      <c r="AB33" s="8"/>
    </row>
    <row r="34" spans="1:28">
      <c r="A34" s="2">
        <v>29</v>
      </c>
      <c r="B34" s="124" t="s">
        <v>45</v>
      </c>
      <c r="C34" s="120" t="s">
        <v>77</v>
      </c>
      <c r="D34" s="139" t="s">
        <v>79</v>
      </c>
      <c r="E34" s="227">
        <f>_xlfn.XLOOKUP(D34,'Contract Entitlement'!$D$4:$D$61,'Contract Entitlement'!$G$4:$G$61)</f>
        <v>45855</v>
      </c>
      <c r="F34" s="8"/>
      <c r="G34" s="202">
        <f>_xlfn.XLOOKUP(D34,'Contract Entitlement'!$D$4:$D$61,'Contract Entitlement'!$F$4:$F$61)</f>
        <v>10</v>
      </c>
      <c r="H34" s="194">
        <f t="shared" si="3"/>
        <v>10</v>
      </c>
      <c r="I34" s="195">
        <f t="shared" si="1"/>
        <v>8</v>
      </c>
      <c r="J34" s="195">
        <f>COUNTIFS('2026 Time Off Request'!$A$2:$A$822,D34,'2026 Time Off Request'!$E$2:$E$822,"UNPAID")</f>
        <v>8</v>
      </c>
      <c r="K34" s="198">
        <f t="shared" si="2"/>
        <v>2</v>
      </c>
      <c r="L34" s="201">
        <f>K34/G34</f>
        <v>0.2</v>
      </c>
      <c r="M34" s="8"/>
      <c r="N34" s="134">
        <f>_xlfn.XLOOKUP($D34,'Jan 2026'!$D:$D,'Jan 2026'!$E:$E)</f>
        <v>8</v>
      </c>
      <c r="O34" s="121">
        <f>_xlfn.XLOOKUP($D34,'Feb 2026'!$D:$D,'Feb 2026'!$E:$E)</f>
        <v>0</v>
      </c>
      <c r="P34" s="121">
        <f>_xlfn.XLOOKUP($D34,'Mar 2026'!$D:$D,'Mar 2026'!$E:$E)</f>
        <v>0</v>
      </c>
      <c r="Q34" s="121">
        <f>_xlfn.XLOOKUP($D34,'April 2026'!$D:$D,'April 2026'!$E:$E)</f>
        <v>0</v>
      </c>
      <c r="R34" s="121">
        <f>_xlfn.XLOOKUP($D34,'May 2026'!$D:$D,'May 2026'!$E:$E)</f>
        <v>0</v>
      </c>
      <c r="S34" s="121">
        <f>_xlfn.XLOOKUP($D34,'June 2026'!$D:$D,'June 2026'!$E:$E)</f>
        <v>0</v>
      </c>
      <c r="T34" s="121">
        <f>_xlfn.XLOOKUP($D34,'July 2026'!$D:$D,'July 2026'!$E:$E)</f>
        <v>0</v>
      </c>
      <c r="U34" s="121">
        <f>_xlfn.XLOOKUP($D34,'Aug 2026'!$D:$D,'Aug 2026'!$E:$E)</f>
        <v>0</v>
      </c>
      <c r="V34" s="121">
        <f>_xlfn.XLOOKUP($D34,'Sept 2026'!$D:$D,'Sept 2026'!$E:$E)</f>
        <v>0</v>
      </c>
      <c r="W34" s="121">
        <f>_xlfn.XLOOKUP($D34,'Oct 2026'!$D:$D,'Oct 2026'!$E:$E)</f>
        <v>0</v>
      </c>
      <c r="X34" s="121">
        <f>_xlfn.XLOOKUP($D34,'Nov 2026'!$D:$D,'Nov 2026'!$E:$E)</f>
        <v>0</v>
      </c>
      <c r="Y34" s="135">
        <f>_xlfn.XLOOKUP($D34,'Dec 2026'!$D:$D,'Dec 2026'!$E:$E)</f>
        <v>0</v>
      </c>
      <c r="Z34" s="8"/>
      <c r="AA34" s="8"/>
      <c r="AB34" s="8"/>
    </row>
    <row r="35" spans="1:28">
      <c r="A35" s="2">
        <v>30</v>
      </c>
      <c r="B35" s="124" t="s">
        <v>45</v>
      </c>
      <c r="C35" s="120" t="s">
        <v>77</v>
      </c>
      <c r="D35" s="139" t="s">
        <v>80</v>
      </c>
      <c r="E35" s="227">
        <f>_xlfn.XLOOKUP(D35,'Contract Entitlement'!$D$4:$D$61,'Contract Entitlement'!$G$4:$G$61)</f>
        <v>45413</v>
      </c>
      <c r="F35" s="8"/>
      <c r="G35" s="202">
        <f>_xlfn.XLOOKUP(D35,'Contract Entitlement'!$D$4:$D$61,'Contract Entitlement'!$F$4:$F$61)</f>
        <v>10</v>
      </c>
      <c r="H35" s="194">
        <f t="shared" si="3"/>
        <v>10</v>
      </c>
      <c r="I35" s="195">
        <f t="shared" si="1"/>
        <v>5</v>
      </c>
      <c r="J35" s="195">
        <f>COUNTIFS('2026 Time Off Request'!$A$2:$A$822,D35,'2026 Time Off Request'!$E$2:$E$822,"UNPAID")</f>
        <v>0</v>
      </c>
      <c r="K35" s="198">
        <f t="shared" si="2"/>
        <v>5</v>
      </c>
      <c r="L35" s="201">
        <f>K35/G35</f>
        <v>0.5</v>
      </c>
      <c r="M35" s="8"/>
      <c r="N35" s="134">
        <f>_xlfn.XLOOKUP($D35,'Jan 2026'!$D:$D,'Jan 2026'!$E:$E)</f>
        <v>0</v>
      </c>
      <c r="O35" s="121">
        <f>_xlfn.XLOOKUP($D35,'Feb 2026'!$D:$D,'Feb 2026'!$E:$E)</f>
        <v>0</v>
      </c>
      <c r="P35" s="121">
        <f>_xlfn.XLOOKUP($D35,'Mar 2026'!$D:$D,'Mar 2026'!$E:$E)</f>
        <v>5</v>
      </c>
      <c r="Q35" s="121">
        <f>_xlfn.XLOOKUP($D35,'April 2026'!$D:$D,'April 2026'!$E:$E)</f>
        <v>0</v>
      </c>
      <c r="R35" s="121">
        <f>_xlfn.XLOOKUP($D35,'May 2026'!$D:$D,'May 2026'!$E:$E)</f>
        <v>0</v>
      </c>
      <c r="S35" s="121">
        <f>_xlfn.XLOOKUP($D35,'June 2026'!$D:$D,'June 2026'!$E:$E)</f>
        <v>0</v>
      </c>
      <c r="T35" s="121">
        <f>_xlfn.XLOOKUP($D35,'July 2026'!$D:$D,'July 2026'!$E:$E)</f>
        <v>0</v>
      </c>
      <c r="U35" s="121">
        <f>_xlfn.XLOOKUP($D35,'Aug 2026'!$D:$D,'Aug 2026'!$E:$E)</f>
        <v>0</v>
      </c>
      <c r="V35" s="121">
        <f>_xlfn.XLOOKUP($D35,'Sept 2026'!$D:$D,'Sept 2026'!$E:$E)</f>
        <v>0</v>
      </c>
      <c r="W35" s="121">
        <f>_xlfn.XLOOKUP($D35,'Oct 2026'!$D:$D,'Oct 2026'!$E:$E)</f>
        <v>0</v>
      </c>
      <c r="X35" s="121">
        <f>_xlfn.XLOOKUP($D35,'Nov 2026'!$D:$D,'Nov 2026'!$E:$E)</f>
        <v>0</v>
      </c>
      <c r="Y35" s="135">
        <f>_xlfn.XLOOKUP($D35,'Dec 2026'!$D:$D,'Dec 2026'!$E:$E)</f>
        <v>0</v>
      </c>
      <c r="Z35" s="8"/>
      <c r="AA35" s="8"/>
      <c r="AB35" s="8"/>
    </row>
    <row r="36" spans="1:28">
      <c r="A36" s="2">
        <v>31</v>
      </c>
      <c r="B36" s="124" t="s">
        <v>49</v>
      </c>
      <c r="C36" s="120" t="s">
        <v>81</v>
      </c>
      <c r="D36" s="139" t="s">
        <v>82</v>
      </c>
      <c r="E36" s="227">
        <f>_xlfn.XLOOKUP(D36,'Contract Entitlement'!$D$4:$D$61,'Contract Entitlement'!$G$4:$G$61)</f>
        <v>42795</v>
      </c>
      <c r="F36" s="8"/>
      <c r="G36" s="202">
        <f>_xlfn.XLOOKUP(D36,'Contract Entitlement'!$D$4:$D$61,'Contract Entitlement'!$F$4:$F$61)</f>
        <v>20</v>
      </c>
      <c r="H36" s="194">
        <f t="shared" si="3"/>
        <v>20</v>
      </c>
      <c r="I36" s="195">
        <f t="shared" si="1"/>
        <v>0</v>
      </c>
      <c r="J36" s="195">
        <f>COUNTIFS('2026 Time Off Request'!$A$2:$A$822,D36,'2026 Time Off Request'!$E$2:$E$822,"UNPAID")</f>
        <v>0</v>
      </c>
      <c r="K36" s="198">
        <f t="shared" si="2"/>
        <v>20</v>
      </c>
      <c r="L36" s="201">
        <f>K36/G36</f>
        <v>1</v>
      </c>
      <c r="M36" s="8"/>
      <c r="N36" s="134">
        <f>_xlfn.XLOOKUP($D36,'Jan 2026'!$D:$D,'Jan 2026'!$E:$E)</f>
        <v>0</v>
      </c>
      <c r="O36" s="121">
        <f>_xlfn.XLOOKUP($D36,'Feb 2026'!$D:$D,'Feb 2026'!$E:$E)</f>
        <v>0</v>
      </c>
      <c r="P36" s="121">
        <f>_xlfn.XLOOKUP($D36,'Mar 2026'!$D:$D,'Mar 2026'!$E:$E)</f>
        <v>0</v>
      </c>
      <c r="Q36" s="121">
        <f>_xlfn.XLOOKUP($D36,'April 2026'!$D:$D,'April 2026'!$E:$E)</f>
        <v>0</v>
      </c>
      <c r="R36" s="121">
        <f>_xlfn.XLOOKUP($D36,'May 2026'!$D:$D,'May 2026'!$E:$E)</f>
        <v>0</v>
      </c>
      <c r="S36" s="121">
        <f>_xlfn.XLOOKUP($D36,'June 2026'!$D:$D,'June 2026'!$E:$E)</f>
        <v>0</v>
      </c>
      <c r="T36" s="121">
        <f>_xlfn.XLOOKUP($D36,'July 2026'!$D:$D,'July 2026'!$E:$E)</f>
        <v>0</v>
      </c>
      <c r="U36" s="121">
        <f>_xlfn.XLOOKUP($D36,'Aug 2026'!$D:$D,'Aug 2026'!$E:$E)</f>
        <v>0</v>
      </c>
      <c r="V36" s="121">
        <f>_xlfn.XLOOKUP($D36,'Sept 2026'!$D:$D,'Sept 2026'!$E:$E)</f>
        <v>0</v>
      </c>
      <c r="W36" s="121">
        <f>_xlfn.XLOOKUP($D36,'Oct 2026'!$D:$D,'Oct 2026'!$E:$E)</f>
        <v>0</v>
      </c>
      <c r="X36" s="121">
        <f>_xlfn.XLOOKUP($D36,'Nov 2026'!$D:$D,'Nov 2026'!$E:$E)</f>
        <v>0</v>
      </c>
      <c r="Y36" s="135">
        <f>_xlfn.XLOOKUP($D36,'Dec 2026'!$D:$D,'Dec 2026'!$E:$E)</f>
        <v>0</v>
      </c>
      <c r="Z36" s="8"/>
      <c r="AA36" s="8"/>
      <c r="AB36" s="8"/>
    </row>
    <row r="37" spans="1:28">
      <c r="A37" s="2">
        <v>32</v>
      </c>
      <c r="B37" s="124" t="s">
        <v>45</v>
      </c>
      <c r="C37" s="120" t="s">
        <v>83</v>
      </c>
      <c r="D37" s="139" t="s">
        <v>84</v>
      </c>
      <c r="E37" s="227">
        <f>_xlfn.XLOOKUP(D37,'Contract Entitlement'!$D$4:$D$61,'Contract Entitlement'!$G$4:$G$61)</f>
        <v>44963</v>
      </c>
      <c r="F37" s="8"/>
      <c r="G37" s="202">
        <f>_xlfn.XLOOKUP(D37,'Contract Entitlement'!$D$4:$D$61,'Contract Entitlement'!$F$4:$F$61)</f>
        <v>15</v>
      </c>
      <c r="H37" s="194">
        <f t="shared" si="3"/>
        <v>15</v>
      </c>
      <c r="I37" s="195">
        <f t="shared" si="1"/>
        <v>0</v>
      </c>
      <c r="J37" s="195">
        <f>COUNTIFS('2026 Time Off Request'!$A$2:$A$822,D37,'2026 Time Off Request'!$E$2:$E$822,"UNPAID")</f>
        <v>0</v>
      </c>
      <c r="K37" s="198">
        <f t="shared" si="2"/>
        <v>15</v>
      </c>
      <c r="L37" s="201">
        <f>K37/G37</f>
        <v>1</v>
      </c>
      <c r="M37" s="8"/>
      <c r="N37" s="134">
        <f>_xlfn.XLOOKUP($D37,'Jan 2026'!$D:$D,'Jan 2026'!$E:$E)</f>
        <v>0</v>
      </c>
      <c r="O37" s="121">
        <f>_xlfn.XLOOKUP($D37,'Feb 2026'!$D:$D,'Feb 2026'!$E:$E)</f>
        <v>0</v>
      </c>
      <c r="P37" s="121">
        <f>_xlfn.XLOOKUP($D37,'Mar 2026'!$D:$D,'Mar 2026'!$E:$E)</f>
        <v>0</v>
      </c>
      <c r="Q37" s="121">
        <f>_xlfn.XLOOKUP($D37,'April 2026'!$D:$D,'April 2026'!$E:$E)</f>
        <v>0</v>
      </c>
      <c r="R37" s="121">
        <f>_xlfn.XLOOKUP($D37,'May 2026'!$D:$D,'May 2026'!$E:$E)</f>
        <v>0</v>
      </c>
      <c r="S37" s="121">
        <f>_xlfn.XLOOKUP($D37,'June 2026'!$D:$D,'June 2026'!$E:$E)</f>
        <v>0</v>
      </c>
      <c r="T37" s="121">
        <f>_xlfn.XLOOKUP($D37,'July 2026'!$D:$D,'July 2026'!$E:$E)</f>
        <v>0</v>
      </c>
      <c r="U37" s="121">
        <f>_xlfn.XLOOKUP($D37,'Aug 2026'!$D:$D,'Aug 2026'!$E:$E)</f>
        <v>0</v>
      </c>
      <c r="V37" s="121">
        <f>_xlfn.XLOOKUP($D37,'Sept 2026'!$D:$D,'Sept 2026'!$E:$E)</f>
        <v>0</v>
      </c>
      <c r="W37" s="121">
        <f>_xlfn.XLOOKUP($D37,'Oct 2026'!$D:$D,'Oct 2026'!$E:$E)</f>
        <v>0</v>
      </c>
      <c r="X37" s="121">
        <f>_xlfn.XLOOKUP($D37,'Nov 2026'!$D:$D,'Nov 2026'!$E:$E)</f>
        <v>0</v>
      </c>
      <c r="Y37" s="135">
        <f>_xlfn.XLOOKUP($D37,'Dec 2026'!$D:$D,'Dec 2026'!$E:$E)</f>
        <v>0</v>
      </c>
      <c r="Z37" s="8"/>
      <c r="AA37" s="8"/>
      <c r="AB37" s="8"/>
    </row>
    <row r="38" spans="1:28">
      <c r="A38" s="2">
        <v>33</v>
      </c>
      <c r="B38" s="124" t="s">
        <v>45</v>
      </c>
      <c r="C38" s="120" t="s">
        <v>85</v>
      </c>
      <c r="D38" s="139" t="s">
        <v>86</v>
      </c>
      <c r="E38" s="227">
        <f>_xlfn.XLOOKUP(D38,'Contract Entitlement'!$D$4:$D$61,'Contract Entitlement'!$G$4:$G$61)</f>
        <v>43759</v>
      </c>
      <c r="F38" s="8"/>
      <c r="G38" s="202">
        <f>_xlfn.XLOOKUP(D38,'Contract Entitlement'!$D$4:$D$61,'Contract Entitlement'!$F$4:$F$61)</f>
        <v>15</v>
      </c>
      <c r="H38" s="194">
        <f t="shared" si="3"/>
        <v>15</v>
      </c>
      <c r="I38" s="195">
        <f t="shared" si="1"/>
        <v>0</v>
      </c>
      <c r="J38" s="195">
        <f>COUNTIFS('2026 Time Off Request'!$A$2:$A$822,D38,'2026 Time Off Request'!$E$2:$E$822,"UNPAID")</f>
        <v>0</v>
      </c>
      <c r="K38" s="198">
        <f t="shared" si="2"/>
        <v>15</v>
      </c>
      <c r="L38" s="201">
        <f>K38/G38</f>
        <v>1</v>
      </c>
      <c r="M38" s="8"/>
      <c r="N38" s="134">
        <f>_xlfn.XLOOKUP($D38,'Jan 2026'!$D:$D,'Jan 2026'!$E:$E)</f>
        <v>0</v>
      </c>
      <c r="O38" s="121">
        <f>_xlfn.XLOOKUP($D38,'Feb 2026'!$D:$D,'Feb 2026'!$E:$E)</f>
        <v>0</v>
      </c>
      <c r="P38" s="121">
        <f>_xlfn.XLOOKUP($D38,'Mar 2026'!$D:$D,'Mar 2026'!$E:$E)</f>
        <v>0</v>
      </c>
      <c r="Q38" s="121">
        <f>_xlfn.XLOOKUP($D38,'April 2026'!$D:$D,'April 2026'!$E:$E)</f>
        <v>0</v>
      </c>
      <c r="R38" s="121">
        <f>_xlfn.XLOOKUP($D38,'May 2026'!$D:$D,'May 2026'!$E:$E)</f>
        <v>0</v>
      </c>
      <c r="S38" s="121">
        <f>_xlfn.XLOOKUP($D38,'June 2026'!$D:$D,'June 2026'!$E:$E)</f>
        <v>0</v>
      </c>
      <c r="T38" s="121">
        <f>_xlfn.XLOOKUP($D38,'July 2026'!$D:$D,'July 2026'!$E:$E)</f>
        <v>0</v>
      </c>
      <c r="U38" s="121">
        <f>_xlfn.XLOOKUP($D38,'Aug 2026'!$D:$D,'Aug 2026'!$E:$E)</f>
        <v>0</v>
      </c>
      <c r="V38" s="121">
        <f>_xlfn.XLOOKUP($D38,'Sept 2026'!$D:$D,'Sept 2026'!$E:$E)</f>
        <v>0</v>
      </c>
      <c r="W38" s="121">
        <f>_xlfn.XLOOKUP($D38,'Oct 2026'!$D:$D,'Oct 2026'!$E:$E)</f>
        <v>0</v>
      </c>
      <c r="X38" s="121">
        <f>_xlfn.XLOOKUP($D38,'Nov 2026'!$D:$D,'Nov 2026'!$E:$E)</f>
        <v>0</v>
      </c>
      <c r="Y38" s="135">
        <f>_xlfn.XLOOKUP($D38,'Dec 2026'!$D:$D,'Dec 2026'!$E:$E)</f>
        <v>0</v>
      </c>
      <c r="Z38" s="8"/>
      <c r="AA38" s="8"/>
      <c r="AB38" s="8"/>
    </row>
    <row r="39" spans="1:28">
      <c r="A39" s="2">
        <v>34</v>
      </c>
      <c r="B39" s="124" t="s">
        <v>45</v>
      </c>
      <c r="C39" s="120" t="s">
        <v>87</v>
      </c>
      <c r="D39" s="139" t="s">
        <v>88</v>
      </c>
      <c r="E39" s="227">
        <f>_xlfn.XLOOKUP(D39,'Contract Entitlement'!$D$4:$D$61,'Contract Entitlement'!$G$4:$G$61)</f>
        <v>44963</v>
      </c>
      <c r="F39" s="8"/>
      <c r="G39" s="202">
        <f>_xlfn.XLOOKUP(D39,'Contract Entitlement'!$D$4:$D$61,'Contract Entitlement'!$F$4:$F$61)</f>
        <v>10</v>
      </c>
      <c r="H39" s="194">
        <f t="shared" si="3"/>
        <v>10</v>
      </c>
      <c r="I39" s="195">
        <f t="shared" si="1"/>
        <v>1</v>
      </c>
      <c r="J39" s="195">
        <f>COUNTIFS('2026 Time Off Request'!$A$2:$A$822,D39,'2026 Time Off Request'!$E$2:$E$822,"UNPAID")</f>
        <v>0</v>
      </c>
      <c r="K39" s="198">
        <f t="shared" si="2"/>
        <v>9</v>
      </c>
      <c r="L39" s="201">
        <f>K39/G39</f>
        <v>0.9</v>
      </c>
      <c r="M39" s="8"/>
      <c r="N39" s="134">
        <f>_xlfn.XLOOKUP($D39,'Jan 2026'!$D:$D,'Jan 2026'!$E:$E)</f>
        <v>1</v>
      </c>
      <c r="O39" s="121">
        <f>_xlfn.XLOOKUP($D39,'Feb 2026'!$D:$D,'Feb 2026'!$E:$E)</f>
        <v>0</v>
      </c>
      <c r="P39" s="121">
        <f>_xlfn.XLOOKUP($D39,'Mar 2026'!$D:$D,'Mar 2026'!$E:$E)</f>
        <v>0</v>
      </c>
      <c r="Q39" s="121">
        <f>_xlfn.XLOOKUP($D39,'April 2026'!$D:$D,'April 2026'!$E:$E)</f>
        <v>0</v>
      </c>
      <c r="R39" s="121">
        <f>_xlfn.XLOOKUP($D39,'May 2026'!$D:$D,'May 2026'!$E:$E)</f>
        <v>0</v>
      </c>
      <c r="S39" s="121">
        <f>_xlfn.XLOOKUP($D39,'June 2026'!$D:$D,'June 2026'!$E:$E)</f>
        <v>0</v>
      </c>
      <c r="T39" s="121">
        <f>_xlfn.XLOOKUP($D39,'July 2026'!$D:$D,'July 2026'!$E:$E)</f>
        <v>0</v>
      </c>
      <c r="U39" s="121">
        <f>_xlfn.XLOOKUP($D39,'Aug 2026'!$D:$D,'Aug 2026'!$E:$E)</f>
        <v>0</v>
      </c>
      <c r="V39" s="121">
        <f>_xlfn.XLOOKUP($D39,'Sept 2026'!$D:$D,'Sept 2026'!$E:$E)</f>
        <v>0</v>
      </c>
      <c r="W39" s="121">
        <f>_xlfn.XLOOKUP($D39,'Oct 2026'!$D:$D,'Oct 2026'!$E:$E)</f>
        <v>0</v>
      </c>
      <c r="X39" s="121">
        <f>_xlfn.XLOOKUP($D39,'Nov 2026'!$D:$D,'Nov 2026'!$E:$E)</f>
        <v>0</v>
      </c>
      <c r="Y39" s="135">
        <f>_xlfn.XLOOKUP($D39,'Dec 2026'!$D:$D,'Dec 2026'!$E:$E)</f>
        <v>0</v>
      </c>
      <c r="Z39" s="8"/>
      <c r="AA39" s="8"/>
      <c r="AB39" s="8"/>
    </row>
    <row r="40" spans="1:28">
      <c r="A40" s="2">
        <v>35</v>
      </c>
      <c r="B40" s="124" t="s">
        <v>45</v>
      </c>
      <c r="C40" s="120" t="s">
        <v>89</v>
      </c>
      <c r="D40" s="139" t="s">
        <v>90</v>
      </c>
      <c r="E40" s="227">
        <f>_xlfn.XLOOKUP(D40,'Contract Entitlement'!$D$4:$D$61,'Contract Entitlement'!$G$4:$G$61)</f>
        <v>44587</v>
      </c>
      <c r="F40" s="8"/>
      <c r="G40" s="202">
        <f>_xlfn.XLOOKUP(D40,'Contract Entitlement'!$D$4:$D$61,'Contract Entitlement'!$F$4:$F$61)</f>
        <v>15</v>
      </c>
      <c r="H40" s="194">
        <f t="shared" si="3"/>
        <v>15</v>
      </c>
      <c r="I40" s="195">
        <f t="shared" si="1"/>
        <v>3</v>
      </c>
      <c r="J40" s="195">
        <f>COUNTIFS('2026 Time Off Request'!$A$2:$A$822,D40,'2026 Time Off Request'!$E$2:$E$822,"UNPAID")</f>
        <v>0</v>
      </c>
      <c r="K40" s="198">
        <f t="shared" si="2"/>
        <v>12</v>
      </c>
      <c r="L40" s="201">
        <f>K40/G40</f>
        <v>0.8</v>
      </c>
      <c r="M40" s="8"/>
      <c r="N40" s="134">
        <f>_xlfn.XLOOKUP($D40,'Jan 2026'!$D:$D,'Jan 2026'!$E:$E)</f>
        <v>2</v>
      </c>
      <c r="O40" s="121">
        <f>_xlfn.XLOOKUP($D40,'Feb 2026'!$D:$D,'Feb 2026'!$E:$E)</f>
        <v>0</v>
      </c>
      <c r="P40" s="121">
        <f>_xlfn.XLOOKUP($D40,'Mar 2026'!$D:$D,'Mar 2026'!$E:$E)</f>
        <v>1</v>
      </c>
      <c r="Q40" s="121">
        <f>_xlfn.XLOOKUP($D40,'April 2026'!$D:$D,'April 2026'!$E:$E)</f>
        <v>0</v>
      </c>
      <c r="R40" s="121">
        <f>_xlfn.XLOOKUP($D40,'May 2026'!$D:$D,'May 2026'!$E:$E)</f>
        <v>0</v>
      </c>
      <c r="S40" s="121">
        <f>_xlfn.XLOOKUP($D40,'June 2026'!$D:$D,'June 2026'!$E:$E)</f>
        <v>0</v>
      </c>
      <c r="T40" s="121">
        <f>_xlfn.XLOOKUP($D40,'July 2026'!$D:$D,'July 2026'!$E:$E)</f>
        <v>0</v>
      </c>
      <c r="U40" s="121">
        <f>_xlfn.XLOOKUP($D40,'Aug 2026'!$D:$D,'Aug 2026'!$E:$E)</f>
        <v>0</v>
      </c>
      <c r="V40" s="121">
        <f>_xlfn.XLOOKUP($D40,'Sept 2026'!$D:$D,'Sept 2026'!$E:$E)</f>
        <v>0</v>
      </c>
      <c r="W40" s="121">
        <f>_xlfn.XLOOKUP($D40,'Oct 2026'!$D:$D,'Oct 2026'!$E:$E)</f>
        <v>0</v>
      </c>
      <c r="X40" s="121">
        <f>_xlfn.XLOOKUP($D40,'Nov 2026'!$D:$D,'Nov 2026'!$E:$E)</f>
        <v>0</v>
      </c>
      <c r="Y40" s="135">
        <f>_xlfn.XLOOKUP($D40,'Dec 2026'!$D:$D,'Dec 2026'!$E:$E)</f>
        <v>0</v>
      </c>
      <c r="Z40" s="8"/>
      <c r="AA40" s="8"/>
      <c r="AB40" s="8"/>
    </row>
    <row r="41" spans="1:28">
      <c r="A41" s="2">
        <v>36</v>
      </c>
      <c r="B41" s="126" t="s">
        <v>45</v>
      </c>
      <c r="C41" s="127" t="s">
        <v>89</v>
      </c>
      <c r="D41" s="158" t="s">
        <v>91</v>
      </c>
      <c r="E41" s="227">
        <f>_xlfn.XLOOKUP(D41,'Contract Entitlement'!$D$4:$D$61,'Contract Entitlement'!$G$4:$G$61)</f>
        <v>44956</v>
      </c>
      <c r="F41" s="8"/>
      <c r="G41" s="203">
        <f>_xlfn.XLOOKUP(D41,'Contract Entitlement'!$D$4:$D$61,'Contract Entitlement'!$F$4:$F$61)</f>
        <v>15</v>
      </c>
      <c r="H41" s="204">
        <f t="shared" si="3"/>
        <v>15</v>
      </c>
      <c r="I41" s="205">
        <f t="shared" si="1"/>
        <v>0</v>
      </c>
      <c r="J41" s="205">
        <f>COUNTIFS('2026 Time Off Request'!$A$2:$A$822,D41,'2026 Time Off Request'!$E$2:$E$822,"UNPAID")</f>
        <v>0</v>
      </c>
      <c r="K41" s="198">
        <f t="shared" si="2"/>
        <v>15</v>
      </c>
      <c r="L41" s="206">
        <f>K41/G41</f>
        <v>1</v>
      </c>
      <c r="M41" s="8"/>
      <c r="N41" s="136">
        <f>_xlfn.XLOOKUP($D41,'Jan 2026'!$D:$D,'Jan 2026'!$E:$E)</f>
        <v>0</v>
      </c>
      <c r="O41" s="130">
        <f>_xlfn.XLOOKUP($D41,'Feb 2026'!$D:$D,'Feb 2026'!$E:$E)</f>
        <v>0</v>
      </c>
      <c r="P41" s="130">
        <f>_xlfn.XLOOKUP($D41,'Mar 2026'!$D:$D,'Mar 2026'!$E:$E)</f>
        <v>0</v>
      </c>
      <c r="Q41" s="130">
        <f>_xlfn.XLOOKUP($D41,'April 2026'!$D:$D,'April 2026'!$E:$E)</f>
        <v>0</v>
      </c>
      <c r="R41" s="130">
        <f>_xlfn.XLOOKUP($D41,'May 2026'!$D:$D,'May 2026'!$E:$E)</f>
        <v>0</v>
      </c>
      <c r="S41" s="130">
        <f>_xlfn.XLOOKUP($D41,'June 2026'!$D:$D,'June 2026'!$E:$E)</f>
        <v>0</v>
      </c>
      <c r="T41" s="130">
        <f>_xlfn.XLOOKUP($D41,'July 2026'!$D:$D,'July 2026'!$E:$E)</f>
        <v>0</v>
      </c>
      <c r="U41" s="130">
        <f>_xlfn.XLOOKUP($D41,'Aug 2026'!$D:$D,'Aug 2026'!$E:$E)</f>
        <v>0</v>
      </c>
      <c r="V41" s="130">
        <f>_xlfn.XLOOKUP($D41,'Sept 2026'!$D:$D,'Sept 2026'!$E:$E)</f>
        <v>0</v>
      </c>
      <c r="W41" s="130">
        <f>_xlfn.XLOOKUP($D41,'Oct 2026'!$D:$D,'Oct 2026'!$E:$E)</f>
        <v>0</v>
      </c>
      <c r="X41" s="130">
        <f>_xlfn.XLOOKUP($D41,'Nov 2026'!$D:$D,'Nov 2026'!$E:$E)</f>
        <v>0</v>
      </c>
      <c r="Y41" s="137">
        <f>_xlfn.XLOOKUP($D41,'Dec 2026'!$D:$D,'Dec 2026'!$E:$E)</f>
        <v>0</v>
      </c>
      <c r="Z41" s="8"/>
      <c r="AA41" s="8"/>
      <c r="AB41" s="8"/>
    </row>
    <row r="42" spans="1:28">
      <c r="B42" s="32"/>
      <c r="C42" s="26"/>
      <c r="D42" s="8"/>
      <c r="E42" s="8"/>
      <c r="F42" s="8"/>
      <c r="G42" s="11"/>
      <c r="I42" s="11"/>
      <c r="J42" s="11"/>
      <c r="K42" s="11"/>
      <c r="L42" s="12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>
      <c r="A43" s="2">
        <f>+COUNT(A4:A41)</f>
        <v>35</v>
      </c>
      <c r="B43" s="124"/>
      <c r="C43" s="120" t="s">
        <v>92</v>
      </c>
      <c r="D43" s="125"/>
      <c r="E43" s="8"/>
      <c r="F43" s="8"/>
      <c r="G43" s="128">
        <f t="shared" ref="G43:J43" si="11">+SUM(G4:G41)</f>
        <v>570</v>
      </c>
      <c r="H43" s="184">
        <f t="shared" si="11"/>
        <v>566</v>
      </c>
      <c r="I43" s="121">
        <f t="shared" si="11"/>
        <v>99</v>
      </c>
      <c r="J43" s="121">
        <f t="shared" si="11"/>
        <v>13</v>
      </c>
      <c r="K43" s="121">
        <f>+SUM(K4:K41)</f>
        <v>467</v>
      </c>
      <c r="L43" s="129">
        <f>K43/G43</f>
        <v>0.81929824561403508</v>
      </c>
      <c r="M43" s="8"/>
      <c r="N43" s="134" cm="1">
        <f t="array" ref="N43">SUM(IFERROR(N4:N41,0))</f>
        <v>28</v>
      </c>
      <c r="O43" s="134" cm="1">
        <f t="array" ref="O43">SUM(IFERROR(O4:O41,0))</f>
        <v>17</v>
      </c>
      <c r="P43" s="134" cm="1">
        <f t="array" ref="P43">SUM(IFERROR(P4:P41,0))</f>
        <v>26</v>
      </c>
      <c r="Q43" s="134" cm="1">
        <f t="array" ref="Q43">SUM(IFERROR(Q4:Q41,0))</f>
        <v>9</v>
      </c>
      <c r="R43" s="134" cm="1">
        <f t="array" ref="R43">SUM(IFERROR(R4:R41,0))</f>
        <v>8</v>
      </c>
      <c r="S43" s="134" cm="1">
        <f t="array" ref="S43">SUM(IFERROR(S4:S41,0))</f>
        <v>5</v>
      </c>
      <c r="T43" s="134" cm="1">
        <f t="array" ref="T43">SUM(IFERROR(T4:T41,0))</f>
        <v>4</v>
      </c>
      <c r="U43" s="134" cm="1">
        <f t="array" ref="U43">SUM(IFERROR(U4:U41,0))</f>
        <v>2</v>
      </c>
      <c r="V43" s="134" cm="1">
        <f t="array" ref="V43">SUM(IFERROR(V4:V41,0))</f>
        <v>0</v>
      </c>
      <c r="W43" s="134" cm="1">
        <f t="array" ref="W43">SUM(IFERROR(W4:W41,0))</f>
        <v>0</v>
      </c>
      <c r="X43" s="134" cm="1">
        <f t="array" ref="X43">SUM(IFERROR(X4:X41,0))</f>
        <v>0</v>
      </c>
      <c r="Y43" s="134" cm="1">
        <f t="array" ref="Y43">SUM(IFERROR(Y4:Y41,0))</f>
        <v>0</v>
      </c>
      <c r="Z43" s="8"/>
      <c r="AA43" s="8"/>
      <c r="AB43" s="8"/>
    </row>
    <row r="44" spans="1:28">
      <c r="B44" s="32"/>
      <c r="C44" s="26"/>
      <c r="D44" s="8"/>
      <c r="E44" s="8"/>
      <c r="F44" s="8"/>
      <c r="G44" s="11"/>
      <c r="I44" s="11"/>
      <c r="J44" s="11"/>
      <c r="K44" s="11"/>
      <c r="L44" s="12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>
      <c r="B45" s="32"/>
      <c r="C45" s="27"/>
      <c r="D45" s="8"/>
      <c r="E45" s="8"/>
      <c r="F45" s="8"/>
      <c r="G45" s="11"/>
      <c r="I45" s="11"/>
      <c r="J45" s="11"/>
      <c r="K45" s="11"/>
      <c r="L45" s="12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>
      <c r="B46" s="32"/>
      <c r="C46" s="207"/>
      <c r="D46" s="8"/>
      <c r="E46" s="8"/>
      <c r="F46" s="8"/>
      <c r="G46" s="11"/>
      <c r="I46" s="11"/>
      <c r="J46" s="11"/>
      <c r="K46" s="11"/>
      <c r="L46" s="12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>
      <c r="B47" s="32"/>
      <c r="C47" s="26"/>
      <c r="D47" s="8"/>
      <c r="E47" s="8"/>
      <c r="F47" s="8"/>
      <c r="G47" s="11"/>
      <c r="I47" s="11"/>
      <c r="J47" s="11"/>
      <c r="K47" s="11"/>
      <c r="L47" s="12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>
      <c r="B48" s="32"/>
      <c r="C48" s="26"/>
      <c r="D48" s="8"/>
      <c r="E48" s="8"/>
      <c r="F48" s="8"/>
      <c r="G48" s="11"/>
      <c r="I48" s="11"/>
      <c r="J48" s="11"/>
      <c r="K48" s="11"/>
      <c r="L48" s="12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2:28">
      <c r="B49" s="32"/>
      <c r="C49" s="26"/>
      <c r="D49" s="8"/>
      <c r="E49" s="8"/>
      <c r="F49" s="8"/>
      <c r="G49" s="11"/>
      <c r="I49" s="11"/>
      <c r="J49" s="11"/>
      <c r="K49" s="11"/>
      <c r="L49" s="12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2:28">
      <c r="B50" s="32"/>
      <c r="C50" s="26"/>
      <c r="D50" s="8"/>
      <c r="E50" s="8"/>
      <c r="F50" s="8"/>
      <c r="G50" s="11"/>
      <c r="I50" s="11"/>
      <c r="J50" s="11"/>
      <c r="K50" s="11"/>
      <c r="L50" s="12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2:28">
      <c r="B51" s="32"/>
      <c r="C51" s="26"/>
      <c r="D51" s="8"/>
      <c r="E51" s="8"/>
      <c r="F51" s="8"/>
      <c r="G51" s="11"/>
      <c r="I51" s="11"/>
      <c r="J51" s="11"/>
      <c r="K51" s="11"/>
      <c r="L51" s="12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2:28">
      <c r="B52" s="32"/>
      <c r="C52" s="26"/>
      <c r="D52" s="8"/>
      <c r="E52" s="8"/>
      <c r="F52" s="8"/>
      <c r="G52" s="11"/>
      <c r="I52" s="11"/>
      <c r="J52" s="11"/>
      <c r="K52" s="11"/>
      <c r="L52" s="12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2:28">
      <c r="B53" s="32"/>
      <c r="C53" s="26"/>
      <c r="D53" s="8"/>
      <c r="E53" s="8"/>
      <c r="F53" s="8"/>
      <c r="G53" s="11"/>
      <c r="I53" s="11"/>
      <c r="J53" s="11"/>
      <c r="K53" s="11"/>
      <c r="L53" s="12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2:28">
      <c r="B54" s="32"/>
      <c r="C54" s="26"/>
      <c r="D54" s="8"/>
      <c r="E54" s="8"/>
      <c r="F54" s="8"/>
      <c r="G54" s="11"/>
      <c r="I54" s="11"/>
      <c r="J54" s="11"/>
      <c r="K54" s="11"/>
      <c r="L54" s="12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2:28">
      <c r="B55" s="32"/>
      <c r="C55" s="26"/>
      <c r="D55" s="8"/>
      <c r="E55" s="8"/>
      <c r="F55" s="8"/>
      <c r="G55" s="11"/>
      <c r="I55" s="11"/>
      <c r="J55" s="11"/>
      <c r="K55" s="11"/>
      <c r="L55" s="12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</sheetData>
  <autoFilter ref="A3:AL3" xr:uid="{CD5450A3-FF72-4FD0-9814-EF5C418541A7}">
    <sortState xmlns:xlrd2="http://schemas.microsoft.com/office/spreadsheetml/2017/richdata2" ref="A4:AL39">
      <sortCondition ref="A3"/>
    </sortState>
  </autoFilter>
  <mergeCells count="3">
    <mergeCell ref="B2:D2"/>
    <mergeCell ref="N2:Y2"/>
    <mergeCell ref="G2:L2"/>
  </mergeCells>
  <conditionalFormatting sqref="L4:L41">
    <cfRule type="cellIs" dxfId="29" priority="9" operator="between">
      <formula>0.51</formula>
      <formula>0.99</formula>
    </cfRule>
    <cfRule type="cellIs" dxfId="28" priority="11" operator="lessThanOrEqual">
      <formula>50%</formula>
    </cfRule>
    <cfRule type="cellIs" dxfId="27" priority="12" operator="greaterThanOrEqual">
      <formula>100%</formula>
    </cfRule>
  </conditionalFormatting>
  <conditionalFormatting sqref="L43">
    <cfRule type="cellIs" dxfId="26" priority="2" operator="between">
      <formula>0.51</formula>
      <formula>0.99</formula>
    </cfRule>
    <cfRule type="cellIs" dxfId="25" priority="3" operator="lessThanOrEqual">
      <formula>50%</formula>
    </cfRule>
    <cfRule type="cellIs" dxfId="24" priority="4" operator="equal">
      <formula>100%</formula>
    </cfRule>
  </conditionalFormatting>
  <conditionalFormatting sqref="M56:M1048576">
    <cfRule type="cellIs" dxfId="23" priority="15" operator="greaterThan">
      <formula>0.9</formula>
    </cfRule>
  </conditionalFormatting>
  <conditionalFormatting sqref="N4:Y41">
    <cfRule type="cellIs" dxfId="22" priority="8" operator="greaterThan">
      <formula>0</formula>
    </cfRule>
  </conditionalFormatting>
  <conditionalFormatting sqref="N43:Y43">
    <cfRule type="cellIs" dxfId="21" priority="1" operator="greaterThan">
      <formula>0</formula>
    </cfRule>
  </conditionalFormatting>
  <dataValidations count="1">
    <dataValidation allowBlank="1" showInputMessage="1" showErrorMessage="1" sqref="O1:Y1 K1:L1 K44:K1048576 L3:L1048576 Z1:AA1048576 F1:F1048576 A1:A1048576 K3:K42 M1:N1048576 O3:Y1048576" xr:uid="{76E5E249-58F9-4431-A5CC-D561B9337E28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91FF-A34F-42A8-BCCB-498E34F54A12}">
  <sheetPr>
    <tabColor rgb="FFC00000"/>
  </sheetPr>
  <dimension ref="A1:AB51"/>
  <sheetViews>
    <sheetView showGridLines="0" workbookViewId="0">
      <selection activeCell="G12" sqref="G12"/>
    </sheetView>
  </sheetViews>
  <sheetFormatPr defaultColWidth="9.140625" defaultRowHeight="15.6"/>
  <cols>
    <col min="1" max="1" width="3.140625" style="2" customWidth="1"/>
    <col min="2" max="2" width="6.85546875" style="29" customWidth="1"/>
    <col min="3" max="3" width="23.42578125" style="23" bestFit="1" customWidth="1"/>
    <col min="4" max="4" width="23.85546875" style="2" bestFit="1" customWidth="1"/>
    <col min="5" max="5" width="16.5703125" style="2" customWidth="1"/>
    <col min="6" max="6" width="1.28515625" style="2" customWidth="1"/>
    <col min="7" max="7" width="10.28515625" style="3" customWidth="1"/>
    <col min="8" max="8" width="9.5703125" style="3" customWidth="1"/>
    <col min="9" max="10" width="9.28515625" style="3" customWidth="1"/>
    <col min="11" max="11" width="12.28515625" style="3" customWidth="1"/>
    <col min="12" max="12" width="11.85546875" style="4" customWidth="1"/>
    <col min="13" max="13" width="1.85546875" style="4" customWidth="1"/>
    <col min="14" max="25" width="12.7109375" style="2" customWidth="1"/>
    <col min="26" max="26" width="1.28515625" style="2" customWidth="1"/>
    <col min="27" max="27" width="1" style="2" customWidth="1"/>
    <col min="28" max="16384" width="9.140625" style="2"/>
  </cols>
  <sheetData>
    <row r="1" spans="2:28" ht="16.149999999999999" thickBot="1">
      <c r="M1" s="2"/>
      <c r="N1" s="175">
        <v>1</v>
      </c>
      <c r="O1" s="175">
        <v>2</v>
      </c>
      <c r="P1" s="175">
        <v>3</v>
      </c>
      <c r="Q1" s="175">
        <v>4</v>
      </c>
      <c r="R1" s="175">
        <v>5</v>
      </c>
      <c r="S1" s="175">
        <v>6</v>
      </c>
      <c r="T1" s="175">
        <v>7</v>
      </c>
      <c r="U1" s="175">
        <v>8</v>
      </c>
      <c r="V1" s="175">
        <v>9</v>
      </c>
      <c r="W1" s="175">
        <v>10</v>
      </c>
      <c r="X1" s="175">
        <v>11</v>
      </c>
      <c r="Y1" s="175">
        <v>12</v>
      </c>
    </row>
    <row r="2" spans="2:28" ht="16.149999999999999" thickBot="1">
      <c r="B2" s="240" t="s">
        <v>0</v>
      </c>
      <c r="C2" s="241"/>
      <c r="D2" s="241"/>
      <c r="E2" s="242"/>
      <c r="G2" s="234" t="s">
        <v>93</v>
      </c>
      <c r="H2" s="235"/>
      <c r="I2" s="235"/>
      <c r="J2" s="236"/>
      <c r="K2" s="236"/>
      <c r="L2" s="237"/>
      <c r="M2" s="2"/>
      <c r="N2" s="238" t="s">
        <v>94</v>
      </c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9"/>
    </row>
    <row r="3" spans="2:28" s="1" customFormat="1" ht="54.75" customHeight="1" thickBot="1">
      <c r="B3" s="190" t="s">
        <v>3</v>
      </c>
      <c r="C3" s="192" t="s">
        <v>4</v>
      </c>
      <c r="D3" s="191" t="s">
        <v>5</v>
      </c>
      <c r="E3" s="186" t="s">
        <v>6</v>
      </c>
      <c r="G3" s="178" t="s">
        <v>7</v>
      </c>
      <c r="H3" s="1" t="s">
        <v>8</v>
      </c>
      <c r="I3" s="5" t="s">
        <v>9</v>
      </c>
      <c r="J3" s="186" t="s">
        <v>10</v>
      </c>
      <c r="K3" s="185" t="s">
        <v>11</v>
      </c>
      <c r="L3" s="164" t="s">
        <v>12</v>
      </c>
      <c r="N3" s="169" t="s">
        <v>13</v>
      </c>
      <c r="O3" s="16" t="s">
        <v>14</v>
      </c>
      <c r="P3" s="16" t="s">
        <v>15</v>
      </c>
      <c r="Q3" s="16" t="s">
        <v>16</v>
      </c>
      <c r="R3" s="16" t="s">
        <v>17</v>
      </c>
      <c r="S3" s="16" t="s">
        <v>18</v>
      </c>
      <c r="T3" s="16" t="s">
        <v>19</v>
      </c>
      <c r="U3" s="16" t="s">
        <v>20</v>
      </c>
      <c r="V3" s="16" t="s">
        <v>21</v>
      </c>
      <c r="W3" s="16" t="s">
        <v>22</v>
      </c>
      <c r="X3" s="16" t="s">
        <v>23</v>
      </c>
      <c r="Y3" s="170" t="s">
        <v>24</v>
      </c>
    </row>
    <row r="4" spans="2:28" ht="15.75">
      <c r="B4" s="162" t="s">
        <v>45</v>
      </c>
      <c r="C4" s="26" t="s">
        <v>87</v>
      </c>
      <c r="D4" s="8" t="s">
        <v>88</v>
      </c>
      <c r="E4" s="187">
        <f>_xlfn.XLOOKUP(D4,'Contract Entitlement'!$D$4:$D$61,'Contract Entitlement'!$G$4:$G$61)</f>
        <v>44963</v>
      </c>
      <c r="F4" s="8"/>
      <c r="G4" s="179">
        <f>_xlfn.XLOOKUP(D4,'Contract Entitlement'!$D$4:$D$61,'Contract Entitlement'!$F$4:$F$61)</f>
        <v>10</v>
      </c>
      <c r="H4" s="179">
        <f>IF(YEAR(E4)=2025,IF(DAY(E4)&lt;15,CEILING(G4 * (12 - MONTH(E4) + 1) / 12,1),FLOOR(G4 * (12 - MONTH(E4) + 1) / 12,1)),IF(YEAR(E4)&lt;2025,G4,0))</f>
        <v>10</v>
      </c>
      <c r="I4" s="9">
        <f>SUM(N4:Y4)</f>
        <v>11</v>
      </c>
      <c r="J4" s="10">
        <f>COUNTIFS('2025 Time Off Request'!$A$2:$A$422,D4,'2025 Time Off Request'!$E$2:$E$422,"UNPAID")</f>
        <v>0</v>
      </c>
      <c r="K4" s="21">
        <f>H4-I4</f>
        <v>-1</v>
      </c>
      <c r="L4" s="165">
        <f>K4/G4</f>
        <v>-0.1</v>
      </c>
      <c r="M4" s="8"/>
      <c r="N4" s="171">
        <f>COUNTIFS('2025 Time Off Request'!$N$2:$N$422,N$1,'2025 Time Off Request'!$A$2:$A$422,$D4)</f>
        <v>0</v>
      </c>
      <c r="O4" s="10">
        <f>COUNTIFS('2025 Time Off Request'!$N$2:$N$422,O$1,'2025 Time Off Request'!$A$2:$A$422,$D4)</f>
        <v>3</v>
      </c>
      <c r="P4" s="10">
        <f>COUNTIFS('2025 Time Off Request'!$N$2:$N$422,P$1,'2025 Time Off Request'!$A$2:$A$422,$D4)</f>
        <v>0</v>
      </c>
      <c r="Q4" s="10">
        <f>COUNTIFS('2025 Time Off Request'!$N$2:$N$422,Q$1,'2025 Time Off Request'!$A$2:$A$422,$D4)</f>
        <v>0</v>
      </c>
      <c r="R4" s="10">
        <f>COUNTIFS('2025 Time Off Request'!$N$2:$N$422,R$1,'2025 Time Off Request'!$A$2:$A$422,$D4)</f>
        <v>4</v>
      </c>
      <c r="S4" s="10">
        <f>COUNTIFS('2025 Time Off Request'!$N$2:$N$422,S$1,'2025 Time Off Request'!$A$2:$A$422,$D4)</f>
        <v>2</v>
      </c>
      <c r="T4" s="10">
        <f>COUNTIFS('2025 Time Off Request'!$N$2:$N$422,T$1,'2025 Time Off Request'!$A$2:$A$422,$D4)</f>
        <v>0</v>
      </c>
      <c r="U4" s="10">
        <f>COUNTIFS('2025 Time Off Request'!$N$2:$N$422,U$1,'2025 Time Off Request'!$A$2:$A$422,$D4)</f>
        <v>0</v>
      </c>
      <c r="V4" s="10">
        <f>COUNTIFS('2025 Time Off Request'!$N$2:$N$422,V$1,'2025 Time Off Request'!$A$2:$A$422,$D4)</f>
        <v>1</v>
      </c>
      <c r="W4" s="10">
        <f>COUNTIFS('2025 Time Off Request'!$N$2:$N$422,W$1,'2025 Time Off Request'!$A$2:$A$422,$D4)</f>
        <v>1</v>
      </c>
      <c r="X4" s="10">
        <f>COUNTIFS('2025 Time Off Request'!$N$2:$N$422,X$1,'2025 Time Off Request'!$A$2:$A$422,$D4)</f>
        <v>0</v>
      </c>
      <c r="Y4" s="172">
        <f>COUNTIFS('2025 Time Off Request'!$N$2:$N$422,Y$1,'2025 Time Off Request'!$A$2:$A$422,$D4)</f>
        <v>0</v>
      </c>
      <c r="Z4" s="8"/>
      <c r="AA4" s="8"/>
      <c r="AB4" s="8"/>
    </row>
    <row r="5" spans="2:28" ht="15.75">
      <c r="B5" s="162" t="s">
        <v>45</v>
      </c>
      <c r="C5" s="26" t="s">
        <v>89</v>
      </c>
      <c r="D5" s="8" t="s">
        <v>90</v>
      </c>
      <c r="E5" s="187">
        <f>_xlfn.XLOOKUP(D5,'Contract Entitlement'!$D$4:$D$61,'Contract Entitlement'!$G$4:$G$61)</f>
        <v>44587</v>
      </c>
      <c r="F5" s="8"/>
      <c r="G5" s="180">
        <f>_xlfn.XLOOKUP(D5,'Contract Entitlement'!$D$4:$D$61,'Contract Entitlement'!$F$4:$F$61)</f>
        <v>15</v>
      </c>
      <c r="H5" s="180">
        <f>IF(YEAR(E5)=2025,IF(DAY(E5)&lt;15,CEILING(G5 * (12 - MONTH(E5) + 1) / 12,1),FLOOR(G5 * (12 - MONTH(E5) + 1) / 12,1)),IF(YEAR(E5)&lt;2025,G5,0))</f>
        <v>15</v>
      </c>
      <c r="I5" s="10">
        <f>SUM(N5:Y5)</f>
        <v>14</v>
      </c>
      <c r="J5" s="10">
        <f>COUNTIFS('2025 Time Off Request'!$A$2:$A$422,D5,'2025 Time Off Request'!$E$2:$E$422,"UNPAID")</f>
        <v>0</v>
      </c>
      <c r="K5" s="14">
        <f>H5-I5</f>
        <v>1</v>
      </c>
      <c r="L5" s="166">
        <f>K5/G5</f>
        <v>6.6666666666666666E-2</v>
      </c>
      <c r="M5" s="8"/>
      <c r="N5" s="171">
        <f>COUNTIFS('2025 Time Off Request'!$N$2:$N$422,N$1,'2025 Time Off Request'!$A$2:$A$422,$D5)</f>
        <v>7</v>
      </c>
      <c r="O5" s="10">
        <f>COUNTIFS('2025 Time Off Request'!$N$2:$N$422,O$1,'2025 Time Off Request'!$A$2:$A$422,$D5)</f>
        <v>0</v>
      </c>
      <c r="P5" s="10">
        <f>COUNTIFS('2025 Time Off Request'!$N$2:$N$422,P$1,'2025 Time Off Request'!$A$2:$A$422,$D5)</f>
        <v>0</v>
      </c>
      <c r="Q5" s="10">
        <f>COUNTIFS('2025 Time Off Request'!$N$2:$N$422,Q$1,'2025 Time Off Request'!$A$2:$A$422,$D5)</f>
        <v>0</v>
      </c>
      <c r="R5" s="10">
        <f>COUNTIFS('2025 Time Off Request'!$N$2:$N$422,R$1,'2025 Time Off Request'!$A$2:$A$422,$D5)</f>
        <v>2</v>
      </c>
      <c r="S5" s="10">
        <f>COUNTIFS('2025 Time Off Request'!$N$2:$N$422,S$1,'2025 Time Off Request'!$A$2:$A$422,$D5)</f>
        <v>3</v>
      </c>
      <c r="T5" s="10">
        <f>COUNTIFS('2025 Time Off Request'!$N$2:$N$422,T$1,'2025 Time Off Request'!$A$2:$A$422,$D5)</f>
        <v>1</v>
      </c>
      <c r="U5" s="10">
        <f>COUNTIFS('2025 Time Off Request'!$N$2:$N$422,U$1,'2025 Time Off Request'!$A$2:$A$422,$D5)</f>
        <v>0</v>
      </c>
      <c r="V5" s="10">
        <f>COUNTIFS('2025 Time Off Request'!$N$2:$N$422,V$1,'2025 Time Off Request'!$A$2:$A$422,$D5)</f>
        <v>1</v>
      </c>
      <c r="W5" s="10">
        <f>COUNTIFS('2025 Time Off Request'!$N$2:$N$422,W$1,'2025 Time Off Request'!$A$2:$A$422,$D5)</f>
        <v>0</v>
      </c>
      <c r="X5" s="10">
        <f>COUNTIFS('2025 Time Off Request'!$N$2:$N$422,X$1,'2025 Time Off Request'!$A$2:$A$422,$D5)</f>
        <v>0</v>
      </c>
      <c r="Y5" s="172">
        <f>COUNTIFS('2025 Time Off Request'!$N$2:$N$422,Y$1,'2025 Time Off Request'!$A$2:$A$422,$D5)</f>
        <v>0</v>
      </c>
      <c r="Z5" s="8"/>
      <c r="AA5" s="8"/>
      <c r="AB5" s="8"/>
    </row>
    <row r="6" spans="2:28" ht="15.75">
      <c r="B6" s="162" t="s">
        <v>45</v>
      </c>
      <c r="C6" s="26" t="s">
        <v>89</v>
      </c>
      <c r="D6" s="8" t="s">
        <v>91</v>
      </c>
      <c r="E6" s="187">
        <f>_xlfn.XLOOKUP(D6,'Contract Entitlement'!$D$4:$D$61,'Contract Entitlement'!$G$4:$G$61)</f>
        <v>44956</v>
      </c>
      <c r="F6" s="8"/>
      <c r="G6" s="180">
        <f>_xlfn.XLOOKUP(D6,'Contract Entitlement'!$D$4:$D$61,'Contract Entitlement'!$F$4:$F$61)</f>
        <v>15</v>
      </c>
      <c r="H6" s="180">
        <f>IF(YEAR(E6)=2025,IF(DAY(E6)&lt;15,CEILING(G6 * (12 - MONTH(E6) + 1) / 12,1),FLOOR(G6 * (12 - MONTH(E6) + 1) / 12,1)),IF(YEAR(E6)&lt;2025,G6,0))</f>
        <v>15</v>
      </c>
      <c r="I6" s="10">
        <f>SUM(N6:Y6)</f>
        <v>2</v>
      </c>
      <c r="J6" s="10">
        <f>COUNTIFS('2025 Time Off Request'!$A$2:$A$422,D6,'2025 Time Off Request'!$E$2:$E$422,"UNPAID")</f>
        <v>0</v>
      </c>
      <c r="K6" s="14">
        <f>H6-I6</f>
        <v>13</v>
      </c>
      <c r="L6" s="166">
        <f>K6/G6</f>
        <v>0.8666666666666667</v>
      </c>
      <c r="M6" s="8"/>
      <c r="N6" s="171">
        <f>COUNTIFS('2025 Time Off Request'!$N$2:$N$422,N$1,'2025 Time Off Request'!$A$2:$A$422,$D6)</f>
        <v>0</v>
      </c>
      <c r="O6" s="10">
        <f>COUNTIFS('2025 Time Off Request'!$N$2:$N$422,O$1,'2025 Time Off Request'!$A$2:$A$422,$D6)</f>
        <v>0</v>
      </c>
      <c r="P6" s="10">
        <f>COUNTIFS('2025 Time Off Request'!$N$2:$N$422,P$1,'2025 Time Off Request'!$A$2:$A$422,$D6)</f>
        <v>0</v>
      </c>
      <c r="Q6" s="10">
        <f>COUNTIFS('2025 Time Off Request'!$N$2:$N$422,Q$1,'2025 Time Off Request'!$A$2:$A$422,$D6)</f>
        <v>0</v>
      </c>
      <c r="R6" s="10">
        <f>COUNTIFS('2025 Time Off Request'!$N$2:$N$422,R$1,'2025 Time Off Request'!$A$2:$A$422,$D6)</f>
        <v>0</v>
      </c>
      <c r="S6" s="10">
        <f>COUNTIFS('2025 Time Off Request'!$N$2:$N$422,S$1,'2025 Time Off Request'!$A$2:$A$422,$D6)</f>
        <v>0</v>
      </c>
      <c r="T6" s="10">
        <f>COUNTIFS('2025 Time Off Request'!$N$2:$N$422,T$1,'2025 Time Off Request'!$A$2:$A$422,$D6)</f>
        <v>0</v>
      </c>
      <c r="U6" s="10">
        <f>COUNTIFS('2025 Time Off Request'!$N$2:$N$422,U$1,'2025 Time Off Request'!$A$2:$A$422,$D6)</f>
        <v>0</v>
      </c>
      <c r="V6" s="10">
        <f>COUNTIFS('2025 Time Off Request'!$N$2:$N$422,V$1,'2025 Time Off Request'!$A$2:$A$422,$D6)</f>
        <v>2</v>
      </c>
      <c r="W6" s="10">
        <f>COUNTIFS('2025 Time Off Request'!$N$2:$N$422,W$1,'2025 Time Off Request'!$A$2:$A$422,$D6)</f>
        <v>0</v>
      </c>
      <c r="X6" s="10">
        <f>COUNTIFS('2025 Time Off Request'!$N$2:$N$422,X$1,'2025 Time Off Request'!$A$2:$A$422,$D6)</f>
        <v>0</v>
      </c>
      <c r="Y6" s="172">
        <f>COUNTIFS('2025 Time Off Request'!$N$2:$N$422,Y$1,'2025 Time Off Request'!$A$2:$A$422,$D6)</f>
        <v>0</v>
      </c>
      <c r="Z6" s="8"/>
      <c r="AA6" s="8"/>
      <c r="AB6" s="8"/>
    </row>
    <row r="7" spans="2:28" ht="15.75">
      <c r="B7" s="162" t="s">
        <v>49</v>
      </c>
      <c r="C7" s="26" t="s">
        <v>75</v>
      </c>
      <c r="D7" s="8" t="s">
        <v>76</v>
      </c>
      <c r="E7" s="187">
        <f>_xlfn.XLOOKUP(D7,'Contract Entitlement'!$D$4:$D$61,'Contract Entitlement'!$G$4:$G$61)</f>
        <v>45817</v>
      </c>
      <c r="F7" s="8"/>
      <c r="G7" s="180">
        <f>_xlfn.XLOOKUP(D7,'Contract Entitlement'!$D$4:$D$61,'Contract Entitlement'!$F$4:$F$61)</f>
        <v>15</v>
      </c>
      <c r="H7" s="180">
        <f>IF(YEAR(E7)=2025,IF(DAY(E7)&lt;15,CEILING(G7 * (12 - MONTH(E7) + 1) / 12,1),FLOOR(G7 * (12 - MONTH(E7) + 1) / 12,1)),IF(YEAR(E7)&lt;2025,G7,0))</f>
        <v>9</v>
      </c>
      <c r="I7" s="10">
        <f>SUM(N7:Y7)</f>
        <v>12</v>
      </c>
      <c r="J7" s="10">
        <f>COUNTIFS('2025 Time Off Request'!$A$2:$A$422,D7,'2025 Time Off Request'!$E$2:$E$422,"UNPAID")</f>
        <v>6</v>
      </c>
      <c r="K7" s="14">
        <f>H7-I7</f>
        <v>-3</v>
      </c>
      <c r="L7" s="166">
        <f>K7/G7</f>
        <v>-0.2</v>
      </c>
      <c r="M7" s="8"/>
      <c r="N7" s="171">
        <f>COUNTIFS('2025 Time Off Request'!$N$2:$N$422,N$1,'2025 Time Off Request'!$A$2:$A$422,$D7)</f>
        <v>0</v>
      </c>
      <c r="O7" s="10">
        <f>COUNTIFS('2025 Time Off Request'!$N$2:$N$422,O$1,'2025 Time Off Request'!$A$2:$A$422,$D7)</f>
        <v>0</v>
      </c>
      <c r="P7" s="10">
        <f>COUNTIFS('2025 Time Off Request'!$N$2:$N$422,P$1,'2025 Time Off Request'!$A$2:$A$422,$D7)</f>
        <v>0</v>
      </c>
      <c r="Q7" s="10">
        <f>COUNTIFS('2025 Time Off Request'!$N$2:$N$422,Q$1,'2025 Time Off Request'!$A$2:$A$422,$D7)</f>
        <v>0</v>
      </c>
      <c r="R7" s="10">
        <f>COUNTIFS('2025 Time Off Request'!$N$2:$N$422,R$1,'2025 Time Off Request'!$A$2:$A$422,$D7)</f>
        <v>0</v>
      </c>
      <c r="S7" s="10">
        <f>COUNTIFS('2025 Time Off Request'!$N$2:$N$422,S$1,'2025 Time Off Request'!$A$2:$A$422,$D7)</f>
        <v>1</v>
      </c>
      <c r="T7" s="10">
        <f>COUNTIFS('2025 Time Off Request'!$N$2:$N$422,T$1,'2025 Time Off Request'!$A$2:$A$422,$D7)</f>
        <v>5</v>
      </c>
      <c r="U7" s="10">
        <f>COUNTIFS('2025 Time Off Request'!$N$2:$N$422,U$1,'2025 Time Off Request'!$A$2:$A$422,$D7)</f>
        <v>0</v>
      </c>
      <c r="V7" s="10">
        <f>COUNTIFS('2025 Time Off Request'!$N$2:$N$422,V$1,'2025 Time Off Request'!$A$2:$A$422,$D7)</f>
        <v>0</v>
      </c>
      <c r="W7" s="10">
        <f>COUNTIFS('2025 Time Off Request'!$N$2:$N$422,W$1,'2025 Time Off Request'!$A$2:$A$422,$D7)</f>
        <v>6</v>
      </c>
      <c r="X7" s="10">
        <f>COUNTIFS('2025 Time Off Request'!$N$2:$N$422,X$1,'2025 Time Off Request'!$A$2:$A$422,$D7)</f>
        <v>0</v>
      </c>
      <c r="Y7" s="172">
        <f>COUNTIFS('2025 Time Off Request'!$N$2:$N$422,Y$1,'2025 Time Off Request'!$A$2:$A$422,$D7)</f>
        <v>0</v>
      </c>
      <c r="Z7" s="8"/>
      <c r="AA7" s="8"/>
      <c r="AB7" s="8"/>
    </row>
    <row r="8" spans="2:28" ht="15.75">
      <c r="B8" s="162" t="s">
        <v>45</v>
      </c>
      <c r="C8" s="26" t="s">
        <v>77</v>
      </c>
      <c r="D8" s="8" t="s">
        <v>79</v>
      </c>
      <c r="E8" s="187">
        <f>_xlfn.XLOOKUP(D8,'Contract Entitlement'!$D$4:$D$61,'Contract Entitlement'!$G$4:$G$61)</f>
        <v>45855</v>
      </c>
      <c r="F8" s="8"/>
      <c r="G8" s="180">
        <f>_xlfn.XLOOKUP(D8,'Contract Entitlement'!$D$4:$D$61,'Contract Entitlement'!$F$4:$F$61)</f>
        <v>10</v>
      </c>
      <c r="H8" s="180">
        <f>IF(YEAR(E8)=2025,IF(DAY(E8)&lt;15,CEILING(G8 * (12 - MONTH(E8) + 1) / 12,1),FLOOR(G8 * (12 - MONTH(E8) + 1) / 12,1)),IF(YEAR(E8)&lt;2025,G8,0))</f>
        <v>5</v>
      </c>
      <c r="I8" s="10">
        <f>SUM(N8:Y8)</f>
        <v>4</v>
      </c>
      <c r="J8" s="10">
        <f>COUNTIFS('2025 Time Off Request'!$A$2:$A$422,D8,'2025 Time Off Request'!$E$2:$E$422,"UNPAID")</f>
        <v>0</v>
      </c>
      <c r="K8" s="14">
        <f>H8-I8</f>
        <v>1</v>
      </c>
      <c r="L8" s="166">
        <f>K8/G8</f>
        <v>0.1</v>
      </c>
      <c r="M8" s="8"/>
      <c r="N8" s="171">
        <f>COUNTIFS('2025 Time Off Request'!$N$2:$N$422,N$1,'2025 Time Off Request'!$A$2:$A$422,$D8)</f>
        <v>0</v>
      </c>
      <c r="O8" s="10">
        <f>COUNTIFS('2025 Time Off Request'!$N$2:$N$422,O$1,'2025 Time Off Request'!$A$2:$A$422,$D8)</f>
        <v>0</v>
      </c>
      <c r="P8" s="10">
        <f>COUNTIFS('2025 Time Off Request'!$N$2:$N$422,P$1,'2025 Time Off Request'!$A$2:$A$422,$D8)</f>
        <v>0</v>
      </c>
      <c r="Q8" s="10">
        <f>COUNTIFS('2025 Time Off Request'!$N$2:$N$422,Q$1,'2025 Time Off Request'!$A$2:$A$422,$D8)</f>
        <v>0</v>
      </c>
      <c r="R8" s="10">
        <f>COUNTIFS('2025 Time Off Request'!$N$2:$N$422,R$1,'2025 Time Off Request'!$A$2:$A$422,$D8)</f>
        <v>0</v>
      </c>
      <c r="S8" s="10">
        <f>COUNTIFS('2025 Time Off Request'!$N$2:$N$422,S$1,'2025 Time Off Request'!$A$2:$A$422,$D8)</f>
        <v>0</v>
      </c>
      <c r="T8" s="10">
        <f>COUNTIFS('2025 Time Off Request'!$N$2:$N$422,T$1,'2025 Time Off Request'!$A$2:$A$422,$D8)</f>
        <v>0</v>
      </c>
      <c r="U8" s="10">
        <f>COUNTIFS('2025 Time Off Request'!$N$2:$N$422,U$1,'2025 Time Off Request'!$A$2:$A$422,$D8)</f>
        <v>0</v>
      </c>
      <c r="V8" s="10">
        <f>COUNTIFS('2025 Time Off Request'!$N$2:$N$422,V$1,'2025 Time Off Request'!$A$2:$A$422,$D8)</f>
        <v>0</v>
      </c>
      <c r="W8" s="10">
        <f>COUNTIFS('2025 Time Off Request'!$N$2:$N$422,W$1,'2025 Time Off Request'!$A$2:$A$422,$D8)</f>
        <v>0</v>
      </c>
      <c r="X8" s="10">
        <f>COUNTIFS('2025 Time Off Request'!$N$2:$N$422,X$1,'2025 Time Off Request'!$A$2:$A$422,$D8)</f>
        <v>0</v>
      </c>
      <c r="Y8" s="172">
        <f>COUNTIFS('2025 Time Off Request'!$N$2:$N$422,Y$1,'2025 Time Off Request'!$A$2:$A$422,$D8)</f>
        <v>4</v>
      </c>
      <c r="Z8" s="8"/>
      <c r="AA8" s="8"/>
      <c r="AB8" s="8"/>
    </row>
    <row r="9" spans="2:28" ht="15.75">
      <c r="B9" s="162" t="s">
        <v>45</v>
      </c>
      <c r="C9" s="26" t="s">
        <v>77</v>
      </c>
      <c r="D9" s="8" t="s">
        <v>78</v>
      </c>
      <c r="E9" s="187">
        <f>_xlfn.XLOOKUP(D9,'Contract Entitlement'!$D$4:$D$61,'Contract Entitlement'!$G$4:$G$61)</f>
        <v>45833</v>
      </c>
      <c r="F9" s="8"/>
      <c r="G9" s="180">
        <f>_xlfn.XLOOKUP(D9,'Contract Entitlement'!$D$4:$D$61,'Contract Entitlement'!$F$4:$F$61)</f>
        <v>10</v>
      </c>
      <c r="H9" s="180">
        <f>IF(YEAR(E9)=2025,IF(DAY(E9)&lt;15,CEILING(G9 * (12 - MONTH(E9) + 1) / 12,1),FLOOR(G9 * (12 - MONTH(E9) + 1) / 12,1)),IF(YEAR(E9)&lt;2025,G9,0))</f>
        <v>5</v>
      </c>
      <c r="I9" s="10">
        <f>SUM(N9:Y9)</f>
        <v>2</v>
      </c>
      <c r="J9" s="10">
        <f>COUNTIFS('2025 Time Off Request'!$A$2:$A$422,D9,'2025 Time Off Request'!$E$2:$E$422,"UNPAID")</f>
        <v>1</v>
      </c>
      <c r="K9" s="14">
        <f>H9-I9</f>
        <v>3</v>
      </c>
      <c r="L9" s="166">
        <f>K9/G9</f>
        <v>0.3</v>
      </c>
      <c r="M9" s="8"/>
      <c r="N9" s="171">
        <f>COUNTIFS('2025 Time Off Request'!$N$2:$N$422,N$1,'2025 Time Off Request'!$A$2:$A$422,$D9)</f>
        <v>0</v>
      </c>
      <c r="O9" s="10">
        <f>COUNTIFS('2025 Time Off Request'!$N$2:$N$422,O$1,'2025 Time Off Request'!$A$2:$A$422,$D9)</f>
        <v>0</v>
      </c>
      <c r="P9" s="10">
        <f>COUNTIFS('2025 Time Off Request'!$N$2:$N$422,P$1,'2025 Time Off Request'!$A$2:$A$422,$D9)</f>
        <v>0</v>
      </c>
      <c r="Q9" s="10">
        <f>COUNTIFS('2025 Time Off Request'!$N$2:$N$422,Q$1,'2025 Time Off Request'!$A$2:$A$422,$D9)</f>
        <v>0</v>
      </c>
      <c r="R9" s="10">
        <f>COUNTIFS('2025 Time Off Request'!$N$2:$N$422,R$1,'2025 Time Off Request'!$A$2:$A$422,$D9)</f>
        <v>0</v>
      </c>
      <c r="S9" s="10">
        <f>COUNTIFS('2025 Time Off Request'!$N$2:$N$422,S$1,'2025 Time Off Request'!$A$2:$A$422,$D9)</f>
        <v>0</v>
      </c>
      <c r="T9" s="10">
        <f>COUNTIFS('2025 Time Off Request'!$N$2:$N$422,T$1,'2025 Time Off Request'!$A$2:$A$422,$D9)</f>
        <v>0</v>
      </c>
      <c r="U9" s="10">
        <f>COUNTIFS('2025 Time Off Request'!$N$2:$N$422,U$1,'2025 Time Off Request'!$A$2:$A$422,$D9)</f>
        <v>0</v>
      </c>
      <c r="V9" s="10">
        <f>COUNTIFS('2025 Time Off Request'!$N$2:$N$422,V$1,'2025 Time Off Request'!$A$2:$A$422,$D9)</f>
        <v>1</v>
      </c>
      <c r="W9" s="10">
        <f>COUNTIFS('2025 Time Off Request'!$N$2:$N$422,W$1,'2025 Time Off Request'!$A$2:$A$422,$D9)</f>
        <v>0</v>
      </c>
      <c r="X9" s="10">
        <f>COUNTIFS('2025 Time Off Request'!$N$2:$N$422,X$1,'2025 Time Off Request'!$A$2:$A$422,$D9)</f>
        <v>0</v>
      </c>
      <c r="Y9" s="172">
        <f>COUNTIFS('2025 Time Off Request'!$N$2:$N$422,Y$1,'2025 Time Off Request'!$A$2:$A$422,$D9)</f>
        <v>1</v>
      </c>
      <c r="Z9" s="8"/>
      <c r="AA9" s="8"/>
      <c r="AB9" s="8"/>
    </row>
    <row r="10" spans="2:28" ht="15.75">
      <c r="B10" s="162" t="s">
        <v>45</v>
      </c>
      <c r="C10" s="26" t="s">
        <v>77</v>
      </c>
      <c r="D10" s="8" t="s">
        <v>80</v>
      </c>
      <c r="E10" s="187">
        <f>_xlfn.XLOOKUP(D10,'Contract Entitlement'!$D$4:$D$61,'Contract Entitlement'!$G$4:$G$61)</f>
        <v>45413</v>
      </c>
      <c r="F10" s="8"/>
      <c r="G10" s="180">
        <f>_xlfn.XLOOKUP(D10,'Contract Entitlement'!$D$4:$D$61,'Contract Entitlement'!$F$4:$F$61)</f>
        <v>10</v>
      </c>
      <c r="H10" s="180">
        <f>IF(YEAR(E10)=2025,IF(DAY(E10)&lt;15,CEILING(G10 * (12 - MONTH(E10) + 1) / 12,1),FLOOR(G10 * (12 - MONTH(E10) + 1) / 12,1)),IF(YEAR(E10)&lt;2025,G10,0))</f>
        <v>10</v>
      </c>
      <c r="I10" s="10">
        <f>SUM(N10:Y10)</f>
        <v>6</v>
      </c>
      <c r="J10" s="10">
        <f>COUNTIFS('2025 Time Off Request'!$A$2:$A$422,D10,'2025 Time Off Request'!$E$2:$E$422,"UNPAID")</f>
        <v>0</v>
      </c>
      <c r="K10" s="14">
        <f>H10-I10</f>
        <v>4</v>
      </c>
      <c r="L10" s="166">
        <f>K10/G10</f>
        <v>0.4</v>
      </c>
      <c r="M10" s="8"/>
      <c r="N10" s="171">
        <f>COUNTIFS('2025 Time Off Request'!$N$2:$N$422,N$1,'2025 Time Off Request'!$A$2:$A$422,$D10)</f>
        <v>0</v>
      </c>
      <c r="O10" s="10">
        <f>COUNTIFS('2025 Time Off Request'!$N$2:$N$422,O$1,'2025 Time Off Request'!$A$2:$A$422,$D10)</f>
        <v>0</v>
      </c>
      <c r="P10" s="10">
        <f>COUNTIFS('2025 Time Off Request'!$N$2:$N$422,P$1,'2025 Time Off Request'!$A$2:$A$422,$D10)</f>
        <v>0</v>
      </c>
      <c r="Q10" s="10">
        <f>COUNTIFS('2025 Time Off Request'!$N$2:$N$422,Q$1,'2025 Time Off Request'!$A$2:$A$422,$D10)</f>
        <v>0</v>
      </c>
      <c r="R10" s="10">
        <f>COUNTIFS('2025 Time Off Request'!$N$2:$N$422,R$1,'2025 Time Off Request'!$A$2:$A$422,$D10)</f>
        <v>6</v>
      </c>
      <c r="S10" s="10">
        <f>COUNTIFS('2025 Time Off Request'!$N$2:$N$422,S$1,'2025 Time Off Request'!$A$2:$A$422,$D10)</f>
        <v>0</v>
      </c>
      <c r="T10" s="10">
        <f>COUNTIFS('2025 Time Off Request'!$N$2:$N$422,T$1,'2025 Time Off Request'!$A$2:$A$422,$D10)</f>
        <v>0</v>
      </c>
      <c r="U10" s="10">
        <f>COUNTIFS('2025 Time Off Request'!$N$2:$N$422,U$1,'2025 Time Off Request'!$A$2:$A$422,$D10)</f>
        <v>0</v>
      </c>
      <c r="V10" s="10">
        <f>COUNTIFS('2025 Time Off Request'!$N$2:$N$422,V$1,'2025 Time Off Request'!$A$2:$A$422,$D10)</f>
        <v>0</v>
      </c>
      <c r="W10" s="10">
        <f>COUNTIFS('2025 Time Off Request'!$N$2:$N$422,W$1,'2025 Time Off Request'!$A$2:$A$422,$D10)</f>
        <v>0</v>
      </c>
      <c r="X10" s="10">
        <f>COUNTIFS('2025 Time Off Request'!$N$2:$N$422,X$1,'2025 Time Off Request'!$A$2:$A$422,$D10)</f>
        <v>0</v>
      </c>
      <c r="Y10" s="172">
        <f>COUNTIFS('2025 Time Off Request'!$N$2:$N$422,Y$1,'2025 Time Off Request'!$A$2:$A$422,$D10)</f>
        <v>0</v>
      </c>
      <c r="Z10" s="8"/>
      <c r="AA10" s="8"/>
      <c r="AB10" s="8"/>
    </row>
    <row r="11" spans="2:28" ht="15.75">
      <c r="B11" s="162" t="s">
        <v>25</v>
      </c>
      <c r="C11" s="26" t="s">
        <v>26</v>
      </c>
      <c r="D11" s="177" t="s">
        <v>27</v>
      </c>
      <c r="E11" s="187"/>
      <c r="F11" s="8"/>
      <c r="G11" s="180">
        <v>0</v>
      </c>
      <c r="H11" s="180">
        <f>IF(YEAR(E11)=2025,IF(DAY(E11)&lt;15,CEILING(G11 * (12 - MONTH(E11) + 1) / 12,1),FLOOR(G11 * (12 - MONTH(E11) + 1) / 12,1)),IF(YEAR(E11)&lt;2025,G11,0))</f>
        <v>0</v>
      </c>
      <c r="I11" s="10">
        <f>SUM(N11:Y11)</f>
        <v>0</v>
      </c>
      <c r="J11" s="10">
        <f>COUNTIFS('2025 Time Off Request'!$A$2:$A$422,D11,'2025 Time Off Request'!$E$2:$E$422,"UNPAID")</f>
        <v>0</v>
      </c>
      <c r="K11" s="14">
        <f>H11-I11</f>
        <v>0</v>
      </c>
      <c r="L11" s="166"/>
      <c r="M11" s="8"/>
      <c r="N11" s="171">
        <f>COUNTIFS('2025 Time Off Request'!$N$2:$N$422,N$1,'2025 Time Off Request'!$A$2:$A$422,$D11)</f>
        <v>0</v>
      </c>
      <c r="O11" s="10">
        <f>COUNTIFS('2025 Time Off Request'!$N$2:$N$422,O$1,'2025 Time Off Request'!$A$2:$A$422,$D11)</f>
        <v>0</v>
      </c>
      <c r="P11" s="10">
        <f>COUNTIFS('2025 Time Off Request'!$N$2:$N$422,P$1,'2025 Time Off Request'!$A$2:$A$422,$D11)</f>
        <v>0</v>
      </c>
      <c r="Q11" s="10">
        <f>COUNTIFS('2025 Time Off Request'!$N$2:$N$422,Q$1,'2025 Time Off Request'!$A$2:$A$422,$D11)</f>
        <v>0</v>
      </c>
      <c r="R11" s="10">
        <f>COUNTIFS('2025 Time Off Request'!$N$2:$N$422,R$1,'2025 Time Off Request'!$A$2:$A$422,$D11)</f>
        <v>0</v>
      </c>
      <c r="S11" s="10">
        <f>COUNTIFS('2025 Time Off Request'!$N$2:$N$422,S$1,'2025 Time Off Request'!$A$2:$A$422,$D11)</f>
        <v>0</v>
      </c>
      <c r="T11" s="10">
        <f>COUNTIFS('2025 Time Off Request'!$N$2:$N$422,T$1,'2025 Time Off Request'!$A$2:$A$422,$D11)</f>
        <v>0</v>
      </c>
      <c r="U11" s="10">
        <f>COUNTIFS('2025 Time Off Request'!$N$2:$N$422,U$1,'2025 Time Off Request'!$A$2:$A$422,$D11)</f>
        <v>0</v>
      </c>
      <c r="V11" s="10">
        <f>COUNTIFS('2025 Time Off Request'!$N$2:$N$422,V$1,'2025 Time Off Request'!$A$2:$A$422,$D11)</f>
        <v>0</v>
      </c>
      <c r="W11" s="10">
        <f>COUNTIFS('2025 Time Off Request'!$N$2:$N$422,W$1,'2025 Time Off Request'!$A$2:$A$422,$D11)</f>
        <v>0</v>
      </c>
      <c r="X11" s="10">
        <f>COUNTIFS('2025 Time Off Request'!$N$2:$N$422,X$1,'2025 Time Off Request'!$A$2:$A$422,$D11)</f>
        <v>0</v>
      </c>
      <c r="Y11" s="172">
        <f>COUNTIFS('2025 Time Off Request'!$N$2:$N$422,Y$1,'2025 Time Off Request'!$A$2:$A$422,$D11)</f>
        <v>0</v>
      </c>
      <c r="Z11" s="8"/>
      <c r="AA11" s="8"/>
      <c r="AB11" s="8"/>
    </row>
    <row r="12" spans="2:28" ht="15.75">
      <c r="B12" s="162" t="s">
        <v>45</v>
      </c>
      <c r="C12" s="26" t="s">
        <v>70</v>
      </c>
      <c r="D12" s="8" t="s">
        <v>71</v>
      </c>
      <c r="E12" s="187">
        <f>_xlfn.XLOOKUP(D12,'Contract Entitlement'!$D$4:$D$61,'Contract Entitlement'!$G$4:$G$61)</f>
        <v>45264</v>
      </c>
      <c r="F12" s="8"/>
      <c r="G12" s="180">
        <f>_xlfn.XLOOKUP(D12,'Contract Entitlement'!$D$4:$D$61,'Contract Entitlement'!$F$4:$F$61)</f>
        <v>10</v>
      </c>
      <c r="H12" s="180">
        <f>IF(YEAR(E12)=2025,IF(DAY(E12)&lt;15,CEILING(G12 * (12 - MONTH(E12) + 1) / 12,1),FLOOR(G12 * (12 - MONTH(E12) + 1) / 12,1)),IF(YEAR(E12)&lt;2025,G12,0))</f>
        <v>10</v>
      </c>
      <c r="I12" s="10">
        <f>SUM(N12:Y12)</f>
        <v>6</v>
      </c>
      <c r="J12" s="10">
        <f>COUNTIFS('2025 Time Off Request'!$A$2:$A$422,D12,'2025 Time Off Request'!$E$2:$E$422,"UNPAID")</f>
        <v>0</v>
      </c>
      <c r="K12" s="14">
        <f>H12-I12</f>
        <v>4</v>
      </c>
      <c r="L12" s="166">
        <f>K12/G12</f>
        <v>0.4</v>
      </c>
      <c r="M12" s="8"/>
      <c r="N12" s="171">
        <f>COUNTIFS('2025 Time Off Request'!$N$2:$N$422,N$1,'2025 Time Off Request'!$A$2:$A$422,$D12)</f>
        <v>0</v>
      </c>
      <c r="O12" s="10">
        <f>COUNTIFS('2025 Time Off Request'!$N$2:$N$422,O$1,'2025 Time Off Request'!$A$2:$A$422,$D12)</f>
        <v>0</v>
      </c>
      <c r="P12" s="10">
        <f>COUNTIFS('2025 Time Off Request'!$N$2:$N$422,P$1,'2025 Time Off Request'!$A$2:$A$422,$D12)</f>
        <v>0</v>
      </c>
      <c r="Q12" s="10">
        <f>COUNTIFS('2025 Time Off Request'!$N$2:$N$422,Q$1,'2025 Time Off Request'!$A$2:$A$422,$D12)</f>
        <v>4</v>
      </c>
      <c r="R12" s="10">
        <f>COUNTIFS('2025 Time Off Request'!$N$2:$N$422,R$1,'2025 Time Off Request'!$A$2:$A$422,$D12)</f>
        <v>2</v>
      </c>
      <c r="S12" s="10">
        <f>COUNTIFS('2025 Time Off Request'!$N$2:$N$422,S$1,'2025 Time Off Request'!$A$2:$A$422,$D12)</f>
        <v>0</v>
      </c>
      <c r="T12" s="10">
        <f>COUNTIFS('2025 Time Off Request'!$N$2:$N$422,T$1,'2025 Time Off Request'!$A$2:$A$422,$D12)</f>
        <v>0</v>
      </c>
      <c r="U12" s="10">
        <f>COUNTIFS('2025 Time Off Request'!$N$2:$N$422,U$1,'2025 Time Off Request'!$A$2:$A$422,$D12)</f>
        <v>0</v>
      </c>
      <c r="V12" s="10">
        <f>COUNTIFS('2025 Time Off Request'!$N$2:$N$422,V$1,'2025 Time Off Request'!$A$2:$A$422,$D12)</f>
        <v>0</v>
      </c>
      <c r="W12" s="10">
        <f>COUNTIFS('2025 Time Off Request'!$N$2:$N$422,W$1,'2025 Time Off Request'!$A$2:$A$422,$D12)</f>
        <v>0</v>
      </c>
      <c r="X12" s="10">
        <f>COUNTIFS('2025 Time Off Request'!$N$2:$N$422,X$1,'2025 Time Off Request'!$A$2:$A$422,$D12)</f>
        <v>0</v>
      </c>
      <c r="Y12" s="172">
        <f>COUNTIFS('2025 Time Off Request'!$N$2:$N$422,Y$1,'2025 Time Off Request'!$A$2:$A$422,$D12)</f>
        <v>0</v>
      </c>
      <c r="Z12" s="8"/>
      <c r="AA12" s="8"/>
      <c r="AB12" s="8"/>
    </row>
    <row r="13" spans="2:28" ht="15.75">
      <c r="B13" s="162" t="s">
        <v>45</v>
      </c>
      <c r="C13" s="26" t="s">
        <v>70</v>
      </c>
      <c r="D13" s="8" t="s">
        <v>72</v>
      </c>
      <c r="E13" s="187">
        <f>_xlfn.XLOOKUP(D13,'Contract Entitlement'!$D$4:$D$61,'Contract Entitlement'!$G$4:$G$61)</f>
        <v>45275</v>
      </c>
      <c r="F13" s="8"/>
      <c r="G13" s="180">
        <f>_xlfn.XLOOKUP(D13,'Contract Entitlement'!$D$4:$D$61,'Contract Entitlement'!$F$4:$F$61)</f>
        <v>10</v>
      </c>
      <c r="H13" s="180">
        <f>IF(YEAR(E13)=2025,IF(DAY(E13)&lt;15,CEILING(G13 * (12 - MONTH(E13) + 1) / 12,1),FLOOR(G13 * (12 - MONTH(E13) + 1) / 12,1)),IF(YEAR(E13)&lt;2025,G13,0))</f>
        <v>10</v>
      </c>
      <c r="I13" s="10">
        <f>SUM(N13:Y13)</f>
        <v>14</v>
      </c>
      <c r="J13" s="10">
        <f>COUNTIFS('2025 Time Off Request'!$A$2:$A$422,D13,'2025 Time Off Request'!$E$2:$E$422,"UNPAID")</f>
        <v>4</v>
      </c>
      <c r="K13" s="14">
        <f>H13-I13</f>
        <v>-4</v>
      </c>
      <c r="L13" s="166">
        <f>K13/G13</f>
        <v>-0.4</v>
      </c>
      <c r="M13" s="8"/>
      <c r="N13" s="171">
        <f>COUNTIFS('2025 Time Off Request'!$N$2:$N$422,N$1,'2025 Time Off Request'!$A$2:$A$422,$D13)</f>
        <v>1</v>
      </c>
      <c r="O13" s="10">
        <f>COUNTIFS('2025 Time Off Request'!$N$2:$N$422,O$1,'2025 Time Off Request'!$A$2:$A$422,$D13)</f>
        <v>1</v>
      </c>
      <c r="P13" s="10">
        <f>COUNTIFS('2025 Time Off Request'!$N$2:$N$422,P$1,'2025 Time Off Request'!$A$2:$A$422,$D13)</f>
        <v>0</v>
      </c>
      <c r="Q13" s="10">
        <f>COUNTIFS('2025 Time Off Request'!$N$2:$N$422,Q$1,'2025 Time Off Request'!$A$2:$A$422,$D13)</f>
        <v>0</v>
      </c>
      <c r="R13" s="10">
        <f>COUNTIFS('2025 Time Off Request'!$N$2:$N$422,R$1,'2025 Time Off Request'!$A$2:$A$422,$D13)</f>
        <v>1</v>
      </c>
      <c r="S13" s="10">
        <f>COUNTIFS('2025 Time Off Request'!$N$2:$N$422,S$1,'2025 Time Off Request'!$A$2:$A$422,$D13)</f>
        <v>3</v>
      </c>
      <c r="T13" s="10">
        <f>COUNTIFS('2025 Time Off Request'!$N$2:$N$422,T$1,'2025 Time Off Request'!$A$2:$A$422,$D13)</f>
        <v>0</v>
      </c>
      <c r="U13" s="10">
        <f>COUNTIFS('2025 Time Off Request'!$N$2:$N$422,U$1,'2025 Time Off Request'!$A$2:$A$422,$D13)</f>
        <v>1</v>
      </c>
      <c r="V13" s="10">
        <f>COUNTIFS('2025 Time Off Request'!$N$2:$N$422,V$1,'2025 Time Off Request'!$A$2:$A$422,$D13)</f>
        <v>5</v>
      </c>
      <c r="W13" s="10">
        <f>COUNTIFS('2025 Time Off Request'!$N$2:$N$422,W$1,'2025 Time Off Request'!$A$2:$A$422,$D13)</f>
        <v>2</v>
      </c>
      <c r="X13" s="10">
        <f>COUNTIFS('2025 Time Off Request'!$N$2:$N$422,X$1,'2025 Time Off Request'!$A$2:$A$422,$D13)</f>
        <v>0</v>
      </c>
      <c r="Y13" s="172">
        <f>COUNTIFS('2025 Time Off Request'!$N$2:$N$422,Y$1,'2025 Time Off Request'!$A$2:$A$422,$D13)</f>
        <v>0</v>
      </c>
      <c r="Z13" s="8"/>
      <c r="AA13" s="8"/>
      <c r="AB13" s="8"/>
    </row>
    <row r="14" spans="2:28" ht="15.75">
      <c r="B14" s="162" t="s">
        <v>25</v>
      </c>
      <c r="C14" s="26" t="s">
        <v>32</v>
      </c>
      <c r="D14" s="8" t="s">
        <v>33</v>
      </c>
      <c r="E14" s="187">
        <f>_xlfn.XLOOKUP(D14,'Contract Entitlement'!$D$4:$D$61,'Contract Entitlement'!$G$4:$G$61)</f>
        <v>44746</v>
      </c>
      <c r="F14" s="8"/>
      <c r="G14" s="180">
        <f>_xlfn.XLOOKUP(D14,'Contract Entitlement'!$D$4:$D$61,'Contract Entitlement'!$F$4:$F$61)</f>
        <v>20</v>
      </c>
      <c r="H14" s="180">
        <f>IF(YEAR(E14)=2025,IF(DAY(E14)&lt;15,CEILING(G14 * (12 - MONTH(E14) + 1) / 12,1),FLOOR(G14 * (12 - MONTH(E14) + 1) / 12,1)),IF(YEAR(E14)&lt;2025,G14,0))</f>
        <v>20</v>
      </c>
      <c r="I14" s="10">
        <f>SUM(N14:Y14)</f>
        <v>16</v>
      </c>
      <c r="J14" s="10">
        <f>COUNTIFS('2025 Time Off Request'!$A$2:$A$422,D14,'2025 Time Off Request'!$E$2:$E$422,"UNPAID")</f>
        <v>0</v>
      </c>
      <c r="K14" s="14">
        <f>H14-I14</f>
        <v>4</v>
      </c>
      <c r="L14" s="166">
        <f>K14/G14</f>
        <v>0.2</v>
      </c>
      <c r="M14" s="8"/>
      <c r="N14" s="171">
        <f>COUNTIFS('2025 Time Off Request'!$N$2:$N$422,N$1,'2025 Time Off Request'!$A$2:$A$422,$D14)</f>
        <v>0</v>
      </c>
      <c r="O14" s="10">
        <f>COUNTIFS('2025 Time Off Request'!$N$2:$N$422,O$1,'2025 Time Off Request'!$A$2:$A$422,$D14)</f>
        <v>0</v>
      </c>
      <c r="P14" s="10">
        <f>COUNTIFS('2025 Time Off Request'!$N$2:$N$422,P$1,'2025 Time Off Request'!$A$2:$A$422,$D14)</f>
        <v>0</v>
      </c>
      <c r="Q14" s="10">
        <f>COUNTIFS('2025 Time Off Request'!$N$2:$N$422,Q$1,'2025 Time Off Request'!$A$2:$A$422,$D14)</f>
        <v>1</v>
      </c>
      <c r="R14" s="10">
        <f>COUNTIFS('2025 Time Off Request'!$N$2:$N$422,R$1,'2025 Time Off Request'!$A$2:$A$422,$D14)</f>
        <v>4</v>
      </c>
      <c r="S14" s="10">
        <f>COUNTIFS('2025 Time Off Request'!$N$2:$N$422,S$1,'2025 Time Off Request'!$A$2:$A$422,$D14)</f>
        <v>1</v>
      </c>
      <c r="T14" s="10">
        <f>COUNTIFS('2025 Time Off Request'!$N$2:$N$422,T$1,'2025 Time Off Request'!$A$2:$A$422,$D14)</f>
        <v>0</v>
      </c>
      <c r="U14" s="10">
        <f>COUNTIFS('2025 Time Off Request'!$N$2:$N$422,U$1,'2025 Time Off Request'!$A$2:$A$422,$D14)</f>
        <v>0</v>
      </c>
      <c r="V14" s="10">
        <f>COUNTIFS('2025 Time Off Request'!$N$2:$N$422,V$1,'2025 Time Off Request'!$A$2:$A$422,$D14)</f>
        <v>0</v>
      </c>
      <c r="W14" s="10">
        <f>COUNTIFS('2025 Time Off Request'!$N$2:$N$422,W$1,'2025 Time Off Request'!$A$2:$A$422,$D14)</f>
        <v>0</v>
      </c>
      <c r="X14" s="10">
        <f>COUNTIFS('2025 Time Off Request'!$N$2:$N$422,X$1,'2025 Time Off Request'!$A$2:$A$422,$D14)</f>
        <v>5</v>
      </c>
      <c r="Y14" s="172">
        <f>COUNTIFS('2025 Time Off Request'!$N$2:$N$422,Y$1,'2025 Time Off Request'!$A$2:$A$422,$D14)</f>
        <v>5</v>
      </c>
      <c r="Z14" s="8"/>
      <c r="AA14" s="8"/>
      <c r="AB14" s="8"/>
    </row>
    <row r="15" spans="2:28" ht="15.75">
      <c r="B15" s="162" t="s">
        <v>49</v>
      </c>
      <c r="C15" s="26" t="s">
        <v>64</v>
      </c>
      <c r="D15" s="8" t="s">
        <v>65</v>
      </c>
      <c r="E15" s="187">
        <f>_xlfn.XLOOKUP(D15,'Contract Entitlement'!$D$4:$D$61,'Contract Entitlement'!$G$4:$G$61)</f>
        <v>45152</v>
      </c>
      <c r="F15" s="8"/>
      <c r="G15" s="180">
        <f>_xlfn.XLOOKUP(D15,'Contract Entitlement'!$D$4:$D$61,'Contract Entitlement'!$F$4:$F$61)</f>
        <v>20</v>
      </c>
      <c r="H15" s="180">
        <f>IF(YEAR(E15)=2025,IF(DAY(E15)&lt;15,CEILING(G15 * (12 - MONTH(E15) + 1) / 12,1),FLOOR(G15 * (12 - MONTH(E15) + 1) / 12,1)),IF(YEAR(E15)&lt;2025,G15,0))</f>
        <v>20</v>
      </c>
      <c r="I15" s="10">
        <f>SUM(N15:Y15)</f>
        <v>13</v>
      </c>
      <c r="J15" s="10">
        <f>COUNTIFS('2025 Time Off Request'!$A$2:$A$422,D15,'2025 Time Off Request'!$E$2:$E$422,"UNPAID")</f>
        <v>0</v>
      </c>
      <c r="K15" s="14">
        <f>H15-I15</f>
        <v>7</v>
      </c>
      <c r="L15" s="166">
        <f>K15/G15</f>
        <v>0.35</v>
      </c>
      <c r="M15" s="8"/>
      <c r="N15" s="171">
        <f>COUNTIFS('2025 Time Off Request'!$N$2:$N$422,N$1,'2025 Time Off Request'!$A$2:$A$422,$D15)</f>
        <v>0</v>
      </c>
      <c r="O15" s="10">
        <f>COUNTIFS('2025 Time Off Request'!$N$2:$N$422,O$1,'2025 Time Off Request'!$A$2:$A$422,$D15)</f>
        <v>0</v>
      </c>
      <c r="P15" s="10">
        <f>COUNTIFS('2025 Time Off Request'!$N$2:$N$422,P$1,'2025 Time Off Request'!$A$2:$A$422,$D15)</f>
        <v>0</v>
      </c>
      <c r="Q15" s="10">
        <f>COUNTIFS('2025 Time Off Request'!$N$2:$N$422,Q$1,'2025 Time Off Request'!$A$2:$A$422,$D15)</f>
        <v>0</v>
      </c>
      <c r="R15" s="10">
        <f>COUNTIFS('2025 Time Off Request'!$N$2:$N$422,R$1,'2025 Time Off Request'!$A$2:$A$422,$D15)</f>
        <v>0</v>
      </c>
      <c r="S15" s="10">
        <f>COUNTIFS('2025 Time Off Request'!$N$2:$N$422,S$1,'2025 Time Off Request'!$A$2:$A$422,$D15)</f>
        <v>1</v>
      </c>
      <c r="T15" s="10">
        <f>COUNTIFS('2025 Time Off Request'!$N$2:$N$422,T$1,'2025 Time Off Request'!$A$2:$A$422,$D15)</f>
        <v>0</v>
      </c>
      <c r="U15" s="10">
        <f>COUNTIFS('2025 Time Off Request'!$N$2:$N$422,U$1,'2025 Time Off Request'!$A$2:$A$422,$D15)</f>
        <v>12</v>
      </c>
      <c r="V15" s="10">
        <f>COUNTIFS('2025 Time Off Request'!$N$2:$N$422,V$1,'2025 Time Off Request'!$A$2:$A$422,$D15)</f>
        <v>0</v>
      </c>
      <c r="W15" s="10">
        <f>COUNTIFS('2025 Time Off Request'!$N$2:$N$422,W$1,'2025 Time Off Request'!$A$2:$A$422,$D15)</f>
        <v>0</v>
      </c>
      <c r="X15" s="10">
        <f>COUNTIFS('2025 Time Off Request'!$N$2:$N$422,X$1,'2025 Time Off Request'!$A$2:$A$422,$D15)</f>
        <v>0</v>
      </c>
      <c r="Y15" s="172">
        <f>COUNTIFS('2025 Time Off Request'!$N$2:$N$422,Y$1,'2025 Time Off Request'!$A$2:$A$422,$D15)</f>
        <v>0</v>
      </c>
      <c r="Z15" s="8"/>
      <c r="AA15" s="8"/>
      <c r="AB15" s="8"/>
    </row>
    <row r="16" spans="2:28" ht="15.75">
      <c r="B16" s="162" t="s">
        <v>25</v>
      </c>
      <c r="C16" s="26" t="s">
        <v>30</v>
      </c>
      <c r="D16" s="8" t="s">
        <v>31</v>
      </c>
      <c r="E16" s="187">
        <f>_xlfn.XLOOKUP(D16,'Contract Entitlement'!$D$4:$D$61,'Contract Entitlement'!$G$4:$G$61)</f>
        <v>45231</v>
      </c>
      <c r="F16" s="8"/>
      <c r="G16" s="180">
        <f>_xlfn.XLOOKUP(D16,'Contract Entitlement'!$D$4:$D$61,'Contract Entitlement'!$F$4:$F$61)</f>
        <v>20</v>
      </c>
      <c r="H16" s="180">
        <f>IF(YEAR(E16)=2025,IF(DAY(E16)&lt;15,CEILING(G16 * (12 - MONTH(E16) + 1) / 12,1),FLOOR(G16 * (12 - MONTH(E16) + 1) / 12,1)),IF(YEAR(E16)&lt;2025,G16,0))</f>
        <v>20</v>
      </c>
      <c r="I16" s="10">
        <f>SUM(N16:Y16)</f>
        <v>11</v>
      </c>
      <c r="J16" s="10">
        <f>COUNTIFS('2025 Time Off Request'!$A$2:$A$422,D16,'2025 Time Off Request'!$E$2:$E$422,"UNPAID")</f>
        <v>0</v>
      </c>
      <c r="K16" s="14">
        <f>H16-I16</f>
        <v>9</v>
      </c>
      <c r="L16" s="166">
        <f>K16/G16</f>
        <v>0.45</v>
      </c>
      <c r="M16" s="8"/>
      <c r="N16" s="171">
        <f>COUNTIFS('2025 Time Off Request'!$N$2:$N$422,N$1,'2025 Time Off Request'!$A$2:$A$422,$D16)</f>
        <v>2</v>
      </c>
      <c r="O16" s="10">
        <f>COUNTIFS('2025 Time Off Request'!$N$2:$N$422,O$1,'2025 Time Off Request'!$A$2:$A$422,$D16)</f>
        <v>0</v>
      </c>
      <c r="P16" s="10">
        <f>COUNTIFS('2025 Time Off Request'!$N$2:$N$422,P$1,'2025 Time Off Request'!$A$2:$A$422,$D16)</f>
        <v>1</v>
      </c>
      <c r="Q16" s="10">
        <f>COUNTIFS('2025 Time Off Request'!$N$2:$N$422,Q$1,'2025 Time Off Request'!$A$2:$A$422,$D16)</f>
        <v>2</v>
      </c>
      <c r="R16" s="10">
        <f>COUNTIFS('2025 Time Off Request'!$N$2:$N$422,R$1,'2025 Time Off Request'!$A$2:$A$422,$D16)</f>
        <v>0</v>
      </c>
      <c r="S16" s="10">
        <f>COUNTIFS('2025 Time Off Request'!$N$2:$N$422,S$1,'2025 Time Off Request'!$A$2:$A$422,$D16)</f>
        <v>1</v>
      </c>
      <c r="T16" s="10">
        <f>COUNTIFS('2025 Time Off Request'!$N$2:$N$422,T$1,'2025 Time Off Request'!$A$2:$A$422,$D16)</f>
        <v>2</v>
      </c>
      <c r="U16" s="10">
        <f>COUNTIFS('2025 Time Off Request'!$N$2:$N$422,U$1,'2025 Time Off Request'!$A$2:$A$422,$D16)</f>
        <v>3</v>
      </c>
      <c r="V16" s="10">
        <f>COUNTIFS('2025 Time Off Request'!$N$2:$N$422,V$1,'2025 Time Off Request'!$A$2:$A$422,$D16)</f>
        <v>0</v>
      </c>
      <c r="W16" s="10">
        <f>COUNTIFS('2025 Time Off Request'!$N$2:$N$422,W$1,'2025 Time Off Request'!$A$2:$A$422,$D16)</f>
        <v>0</v>
      </c>
      <c r="X16" s="10">
        <f>COUNTIFS('2025 Time Off Request'!$N$2:$N$422,X$1,'2025 Time Off Request'!$A$2:$A$422,$D16)</f>
        <v>0</v>
      </c>
      <c r="Y16" s="172">
        <f>COUNTIFS('2025 Time Off Request'!$N$2:$N$422,Y$1,'2025 Time Off Request'!$A$2:$A$422,$D16)</f>
        <v>0</v>
      </c>
      <c r="Z16" s="8"/>
      <c r="AA16" s="8"/>
      <c r="AB16" s="8"/>
    </row>
    <row r="17" spans="2:28" ht="15.75">
      <c r="B17" s="162" t="s">
        <v>25</v>
      </c>
      <c r="C17" s="26" t="s">
        <v>28</v>
      </c>
      <c r="D17" s="8" t="s">
        <v>29</v>
      </c>
      <c r="E17" s="187">
        <f>_xlfn.XLOOKUP(D17,'Contract Entitlement'!$D$4:$D$61,'Contract Entitlement'!$G$4:$G$61)</f>
        <v>44243</v>
      </c>
      <c r="F17" s="8"/>
      <c r="G17" s="180">
        <f>_xlfn.XLOOKUP(D17,'Contract Entitlement'!$D$4:$D$61,'Contract Entitlement'!$F$4:$F$61)</f>
        <v>25</v>
      </c>
      <c r="H17" s="180">
        <f>IF(YEAR(E17)=2025,IF(DAY(E17)&lt;15,CEILING(G17 * (12 - MONTH(E17) + 1) / 12,1),FLOOR(G17 * (12 - MONTH(E17) + 1) / 12,1)),IF(YEAR(E17)&lt;2025,G17,0))</f>
        <v>25</v>
      </c>
      <c r="I17" s="10">
        <f>SUM(N17:Y17)</f>
        <v>16</v>
      </c>
      <c r="J17" s="10">
        <f>COUNTIFS('2025 Time Off Request'!$A$2:$A$422,D17,'2025 Time Off Request'!$E$2:$E$422,"UNPAID")</f>
        <v>0</v>
      </c>
      <c r="K17" s="14">
        <f>H17-I17</f>
        <v>9</v>
      </c>
      <c r="L17" s="166">
        <f>K17/G17</f>
        <v>0.36</v>
      </c>
      <c r="M17" s="8"/>
      <c r="N17" s="171">
        <f>COUNTIFS('2025 Time Off Request'!$N$2:$N$422,N$1,'2025 Time Off Request'!$A$2:$A$422,$D17)</f>
        <v>0</v>
      </c>
      <c r="O17" s="10">
        <f>COUNTIFS('2025 Time Off Request'!$N$2:$N$422,O$1,'2025 Time Off Request'!$A$2:$A$422,$D17)</f>
        <v>0</v>
      </c>
      <c r="P17" s="10">
        <f>COUNTIFS('2025 Time Off Request'!$N$2:$N$422,P$1,'2025 Time Off Request'!$A$2:$A$422,$D17)</f>
        <v>0</v>
      </c>
      <c r="Q17" s="10">
        <f>COUNTIFS('2025 Time Off Request'!$N$2:$N$422,Q$1,'2025 Time Off Request'!$A$2:$A$422,$D17)</f>
        <v>5</v>
      </c>
      <c r="R17" s="10">
        <f>COUNTIFS('2025 Time Off Request'!$N$2:$N$422,R$1,'2025 Time Off Request'!$A$2:$A$422,$D17)</f>
        <v>0</v>
      </c>
      <c r="S17" s="10">
        <f>COUNTIFS('2025 Time Off Request'!$N$2:$N$422,S$1,'2025 Time Off Request'!$A$2:$A$422,$D17)</f>
        <v>2</v>
      </c>
      <c r="T17" s="10">
        <f>COUNTIFS('2025 Time Off Request'!$N$2:$N$422,T$1,'2025 Time Off Request'!$A$2:$A$422,$D17)</f>
        <v>3</v>
      </c>
      <c r="U17" s="10">
        <f>COUNTIFS('2025 Time Off Request'!$N$2:$N$422,U$1,'2025 Time Off Request'!$A$2:$A$422,$D17)</f>
        <v>3</v>
      </c>
      <c r="V17" s="10">
        <f>COUNTIFS('2025 Time Off Request'!$N$2:$N$422,V$1,'2025 Time Off Request'!$A$2:$A$422,$D17)</f>
        <v>0</v>
      </c>
      <c r="W17" s="10">
        <f>COUNTIFS('2025 Time Off Request'!$N$2:$N$422,W$1,'2025 Time Off Request'!$A$2:$A$422,$D17)</f>
        <v>0</v>
      </c>
      <c r="X17" s="10">
        <f>COUNTIFS('2025 Time Off Request'!$N$2:$N$422,X$1,'2025 Time Off Request'!$A$2:$A$422,$D17)</f>
        <v>0</v>
      </c>
      <c r="Y17" s="172">
        <f>COUNTIFS('2025 Time Off Request'!$N$2:$N$422,Y$1,'2025 Time Off Request'!$A$2:$A$422,$D17)</f>
        <v>3</v>
      </c>
      <c r="Z17" s="8"/>
      <c r="AA17" s="8"/>
      <c r="AB17" s="8"/>
    </row>
    <row r="18" spans="2:28" ht="15.75">
      <c r="B18" s="162" t="s">
        <v>25</v>
      </c>
      <c r="C18" s="26" t="s">
        <v>34</v>
      </c>
      <c r="D18" s="8" t="s">
        <v>35</v>
      </c>
      <c r="E18" s="187">
        <f>_xlfn.XLOOKUP(D18,'Contract Entitlement'!$D$4:$D$61,'Contract Entitlement'!$G$4:$G$61)</f>
        <v>44270</v>
      </c>
      <c r="F18" s="8"/>
      <c r="G18" s="180">
        <f>_xlfn.XLOOKUP(D18,'Contract Entitlement'!$D$4:$D$61,'Contract Entitlement'!$F$4:$F$61)</f>
        <v>20</v>
      </c>
      <c r="H18" s="180">
        <f>IF(YEAR(E18)=2025,IF(DAY(E18)&lt;15,CEILING(G18 * (12 - MONTH(E18) + 1) / 12,1),FLOOR(G18 * (12 - MONTH(E18) + 1) / 12,1)),IF(YEAR(E18)&lt;2025,G18,0))</f>
        <v>20</v>
      </c>
      <c r="I18" s="10">
        <f>SUM(N18:Y18)</f>
        <v>6</v>
      </c>
      <c r="J18" s="10">
        <f>COUNTIFS('2025 Time Off Request'!$A$2:$A$422,D18,'2025 Time Off Request'!$E$2:$E$422,"UNPAID")</f>
        <v>0</v>
      </c>
      <c r="K18" s="14">
        <f>H18-I18</f>
        <v>14</v>
      </c>
      <c r="L18" s="166">
        <f>K18/G18</f>
        <v>0.7</v>
      </c>
      <c r="M18" s="8"/>
      <c r="N18" s="171">
        <f>COUNTIFS('2025 Time Off Request'!$N$2:$N$422,N$1,'2025 Time Off Request'!$A$2:$A$422,$D18)</f>
        <v>0</v>
      </c>
      <c r="O18" s="10">
        <f>COUNTIFS('2025 Time Off Request'!$N$2:$N$422,O$1,'2025 Time Off Request'!$A$2:$A$422,$D18)</f>
        <v>0</v>
      </c>
      <c r="P18" s="10">
        <f>COUNTIFS('2025 Time Off Request'!$N$2:$N$422,P$1,'2025 Time Off Request'!$A$2:$A$422,$D18)</f>
        <v>0</v>
      </c>
      <c r="Q18" s="10">
        <f>COUNTIFS('2025 Time Off Request'!$N$2:$N$422,Q$1,'2025 Time Off Request'!$A$2:$A$422,$D18)</f>
        <v>0</v>
      </c>
      <c r="R18" s="10">
        <f>COUNTIFS('2025 Time Off Request'!$N$2:$N$422,R$1,'2025 Time Off Request'!$A$2:$A$422,$D18)</f>
        <v>0</v>
      </c>
      <c r="S18" s="10">
        <f>COUNTIFS('2025 Time Off Request'!$N$2:$N$422,S$1,'2025 Time Off Request'!$A$2:$A$422,$D18)</f>
        <v>0</v>
      </c>
      <c r="T18" s="10">
        <f>COUNTIFS('2025 Time Off Request'!$N$2:$N$422,T$1,'2025 Time Off Request'!$A$2:$A$422,$D18)</f>
        <v>5</v>
      </c>
      <c r="U18" s="10">
        <f>COUNTIFS('2025 Time Off Request'!$N$2:$N$422,U$1,'2025 Time Off Request'!$A$2:$A$422,$D18)</f>
        <v>0</v>
      </c>
      <c r="V18" s="10">
        <f>COUNTIFS('2025 Time Off Request'!$N$2:$N$422,V$1,'2025 Time Off Request'!$A$2:$A$422,$D18)</f>
        <v>0</v>
      </c>
      <c r="W18" s="10">
        <f>COUNTIFS('2025 Time Off Request'!$N$2:$N$422,W$1,'2025 Time Off Request'!$A$2:$A$422,$D18)</f>
        <v>1</v>
      </c>
      <c r="X18" s="10">
        <f>COUNTIFS('2025 Time Off Request'!$N$2:$N$422,X$1,'2025 Time Off Request'!$A$2:$A$422,$D18)</f>
        <v>0</v>
      </c>
      <c r="Y18" s="172">
        <f>COUNTIFS('2025 Time Off Request'!$N$2:$N$422,Y$1,'2025 Time Off Request'!$A$2:$A$422,$D18)</f>
        <v>0</v>
      </c>
      <c r="Z18" s="8"/>
      <c r="AA18" s="8"/>
      <c r="AB18" s="8"/>
    </row>
    <row r="19" spans="2:28" ht="15.75">
      <c r="B19" s="162" t="s">
        <v>45</v>
      </c>
      <c r="C19" s="26" t="s">
        <v>68</v>
      </c>
      <c r="D19" s="8" t="s">
        <v>69</v>
      </c>
      <c r="E19" s="187">
        <f>_xlfn.XLOOKUP(D19,'Contract Entitlement'!$D$4:$D$61,'Contract Entitlement'!$G$4:$G$61)</f>
        <v>45712</v>
      </c>
      <c r="F19" s="8"/>
      <c r="G19" s="180">
        <f>_xlfn.XLOOKUP(D19,'Contract Entitlement'!$D$4:$D$61,'Contract Entitlement'!$F$4:$F$61)</f>
        <v>10</v>
      </c>
      <c r="H19" s="180">
        <f>IF(YEAR(E19)=2025,IF(DAY(E19)&lt;15,CEILING(G19 * (12 - MONTH(E19) + 1) / 12,1),FLOOR(G19 * (12 - MONTH(E19) + 1) / 12,1)),IF(YEAR(E19)&lt;2025,G19,0))</f>
        <v>9</v>
      </c>
      <c r="I19" s="10">
        <f>SUM(N19:Y19)</f>
        <v>8</v>
      </c>
      <c r="J19" s="10">
        <f>COUNTIFS('2025 Time Off Request'!$A$2:$A$422,D19,'2025 Time Off Request'!$E$2:$E$422,"UNPAID")</f>
        <v>0</v>
      </c>
      <c r="K19" s="14">
        <f>H19-I19</f>
        <v>1</v>
      </c>
      <c r="L19" s="166">
        <f>K19/G19</f>
        <v>0.1</v>
      </c>
      <c r="M19" s="8"/>
      <c r="N19" s="171">
        <f>COUNTIFS('2025 Time Off Request'!$N$2:$N$422,N$1,'2025 Time Off Request'!$A$2:$A$422,$D19)</f>
        <v>0</v>
      </c>
      <c r="O19" s="10">
        <f>COUNTIFS('2025 Time Off Request'!$N$2:$N$422,O$1,'2025 Time Off Request'!$A$2:$A$422,$D19)</f>
        <v>0</v>
      </c>
      <c r="P19" s="10">
        <f>COUNTIFS('2025 Time Off Request'!$N$2:$N$422,P$1,'2025 Time Off Request'!$A$2:$A$422,$D19)</f>
        <v>0</v>
      </c>
      <c r="Q19" s="10">
        <f>COUNTIFS('2025 Time Off Request'!$N$2:$N$422,Q$1,'2025 Time Off Request'!$A$2:$A$422,$D19)</f>
        <v>0</v>
      </c>
      <c r="R19" s="10">
        <f>COUNTIFS('2025 Time Off Request'!$N$2:$N$422,R$1,'2025 Time Off Request'!$A$2:$A$422,$D19)</f>
        <v>0</v>
      </c>
      <c r="S19" s="10">
        <f>COUNTIFS('2025 Time Off Request'!$N$2:$N$422,S$1,'2025 Time Off Request'!$A$2:$A$422,$D19)</f>
        <v>2</v>
      </c>
      <c r="T19" s="10">
        <f>COUNTIFS('2025 Time Off Request'!$N$2:$N$422,T$1,'2025 Time Off Request'!$A$2:$A$422,$D19)</f>
        <v>0</v>
      </c>
      <c r="U19" s="10">
        <f>COUNTIFS('2025 Time Off Request'!$N$2:$N$422,U$1,'2025 Time Off Request'!$A$2:$A$422,$D19)</f>
        <v>1</v>
      </c>
      <c r="V19" s="10">
        <f>COUNTIFS('2025 Time Off Request'!$N$2:$N$422,V$1,'2025 Time Off Request'!$A$2:$A$422,$D19)</f>
        <v>0</v>
      </c>
      <c r="W19" s="10">
        <f>COUNTIFS('2025 Time Off Request'!$N$2:$N$422,W$1,'2025 Time Off Request'!$A$2:$A$422,$D19)</f>
        <v>5</v>
      </c>
      <c r="X19" s="10">
        <f>COUNTIFS('2025 Time Off Request'!$N$2:$N$422,X$1,'2025 Time Off Request'!$A$2:$A$422,$D19)</f>
        <v>0</v>
      </c>
      <c r="Y19" s="172">
        <f>COUNTIFS('2025 Time Off Request'!$N$2:$N$422,Y$1,'2025 Time Off Request'!$A$2:$A$422,$D19)</f>
        <v>0</v>
      </c>
      <c r="Z19" s="8"/>
      <c r="AA19" s="8"/>
      <c r="AB19" s="8"/>
    </row>
    <row r="20" spans="2:28" ht="15.75">
      <c r="B20" s="162" t="s">
        <v>45</v>
      </c>
      <c r="C20" s="26" t="s">
        <v>47</v>
      </c>
      <c r="D20" s="8" t="s">
        <v>48</v>
      </c>
      <c r="E20" s="187">
        <f>_xlfn.XLOOKUP(D20,'Contract Entitlement'!$D$4:$D$61,'Contract Entitlement'!$G$4:$G$61)</f>
        <v>45558</v>
      </c>
      <c r="F20" s="8"/>
      <c r="G20" s="180">
        <f>_xlfn.XLOOKUP(D20,'Contract Entitlement'!$D$4:$D$61,'Contract Entitlement'!$F$4:$F$61)</f>
        <v>15</v>
      </c>
      <c r="H20" s="180">
        <f>IF(YEAR(E20)=2025,IF(DAY(E20)&lt;15,CEILING(G20 * (12 - MONTH(E20) + 1) / 12,1),FLOOR(G20 * (12 - MONTH(E20) + 1) / 12,1)),IF(YEAR(E20)&lt;2025,G20,0))</f>
        <v>15</v>
      </c>
      <c r="I20" s="10">
        <f>SUM(N20:Y20)</f>
        <v>16</v>
      </c>
      <c r="J20" s="10">
        <f>COUNTIFS('2025 Time Off Request'!$A$2:$A$422,D20,'2025 Time Off Request'!$E$2:$E$422,"UNPAID")</f>
        <v>0</v>
      </c>
      <c r="K20" s="14">
        <f>H20-I20</f>
        <v>-1</v>
      </c>
      <c r="L20" s="166">
        <f>K20/G20</f>
        <v>-6.6666666666666666E-2</v>
      </c>
      <c r="M20" s="8"/>
      <c r="N20" s="171">
        <f>COUNTIFS('2025 Time Off Request'!$N$2:$N$422,N$1,'2025 Time Off Request'!$A$2:$A$422,$D20)</f>
        <v>0</v>
      </c>
      <c r="O20" s="10">
        <f>COUNTIFS('2025 Time Off Request'!$N$2:$N$422,O$1,'2025 Time Off Request'!$A$2:$A$422,$D20)</f>
        <v>1</v>
      </c>
      <c r="P20" s="10">
        <f>COUNTIFS('2025 Time Off Request'!$N$2:$N$422,P$1,'2025 Time Off Request'!$A$2:$A$422,$D20)</f>
        <v>1</v>
      </c>
      <c r="Q20" s="10">
        <f>COUNTIFS('2025 Time Off Request'!$N$2:$N$422,Q$1,'2025 Time Off Request'!$A$2:$A$422,$D20)</f>
        <v>0</v>
      </c>
      <c r="R20" s="10">
        <f>COUNTIFS('2025 Time Off Request'!$N$2:$N$422,R$1,'2025 Time Off Request'!$A$2:$A$422,$D20)</f>
        <v>1</v>
      </c>
      <c r="S20" s="10">
        <f>COUNTIFS('2025 Time Off Request'!$N$2:$N$422,S$1,'2025 Time Off Request'!$A$2:$A$422,$D20)</f>
        <v>5</v>
      </c>
      <c r="T20" s="10">
        <f>COUNTIFS('2025 Time Off Request'!$N$2:$N$422,T$1,'2025 Time Off Request'!$A$2:$A$422,$D20)</f>
        <v>0</v>
      </c>
      <c r="U20" s="10">
        <f>COUNTIFS('2025 Time Off Request'!$N$2:$N$422,U$1,'2025 Time Off Request'!$A$2:$A$422,$D20)</f>
        <v>0</v>
      </c>
      <c r="V20" s="10">
        <f>COUNTIFS('2025 Time Off Request'!$N$2:$N$422,V$1,'2025 Time Off Request'!$A$2:$A$422,$D20)</f>
        <v>0</v>
      </c>
      <c r="W20" s="10">
        <f>COUNTIFS('2025 Time Off Request'!$N$2:$N$422,W$1,'2025 Time Off Request'!$A$2:$A$422,$D20)</f>
        <v>0</v>
      </c>
      <c r="X20" s="10">
        <f>COUNTIFS('2025 Time Off Request'!$N$2:$N$422,X$1,'2025 Time Off Request'!$A$2:$A$422,$D20)</f>
        <v>5</v>
      </c>
      <c r="Y20" s="172">
        <f>COUNTIFS('2025 Time Off Request'!$N$2:$N$422,Y$1,'2025 Time Off Request'!$A$2:$A$422,$D20)</f>
        <v>3</v>
      </c>
      <c r="Z20" s="8"/>
      <c r="AA20" s="8"/>
      <c r="AB20" s="8"/>
    </row>
    <row r="21" spans="2:28" ht="15.75">
      <c r="B21" s="162" t="s">
        <v>45</v>
      </c>
      <c r="C21" s="26" t="s">
        <v>58</v>
      </c>
      <c r="D21" s="8" t="s">
        <v>59</v>
      </c>
      <c r="E21" s="187">
        <f>_xlfn.XLOOKUP(D21,'Contract Entitlement'!$D$4:$D$61,'Contract Entitlement'!$G$4:$G$61)</f>
        <v>44522</v>
      </c>
      <c r="F21" s="8"/>
      <c r="G21" s="180">
        <f>_xlfn.XLOOKUP(D21,'Contract Entitlement'!$D$4:$D$61,'Contract Entitlement'!$F$4:$F$61)</f>
        <v>15</v>
      </c>
      <c r="H21" s="180">
        <f>IF(YEAR(E21)=2025,IF(DAY(E21)&lt;15,CEILING(G21 * (12 - MONTH(E21) + 1) / 12,1),FLOOR(G21 * (12 - MONTH(E21) + 1) / 12,1)),IF(YEAR(E21)&lt;2025,G21,0))</f>
        <v>15</v>
      </c>
      <c r="I21" s="10">
        <f>SUM(N21:Y21)</f>
        <v>12</v>
      </c>
      <c r="J21" s="10">
        <f>COUNTIFS('2025 Time Off Request'!$A$2:$A$422,D21,'2025 Time Off Request'!$E$2:$E$422,"UNPAID")</f>
        <v>0</v>
      </c>
      <c r="K21" s="14">
        <f>H21-I21</f>
        <v>3</v>
      </c>
      <c r="L21" s="166">
        <f>K21/G21</f>
        <v>0.2</v>
      </c>
      <c r="M21" s="8"/>
      <c r="N21" s="171">
        <f>COUNTIFS('2025 Time Off Request'!$N$2:$N$422,N$1,'2025 Time Off Request'!$A$2:$A$422,$D21)</f>
        <v>0</v>
      </c>
      <c r="O21" s="10">
        <f>COUNTIFS('2025 Time Off Request'!$N$2:$N$422,O$1,'2025 Time Off Request'!$A$2:$A$422,$D21)</f>
        <v>1</v>
      </c>
      <c r="P21" s="10">
        <f>COUNTIFS('2025 Time Off Request'!$N$2:$N$422,P$1,'2025 Time Off Request'!$A$2:$A$422,$D21)</f>
        <v>0</v>
      </c>
      <c r="Q21" s="10">
        <f>COUNTIFS('2025 Time Off Request'!$N$2:$N$422,Q$1,'2025 Time Off Request'!$A$2:$A$422,$D21)</f>
        <v>2</v>
      </c>
      <c r="R21" s="10">
        <f>COUNTIFS('2025 Time Off Request'!$N$2:$N$422,R$1,'2025 Time Off Request'!$A$2:$A$422,$D21)</f>
        <v>2</v>
      </c>
      <c r="S21" s="10">
        <f>COUNTIFS('2025 Time Off Request'!$N$2:$N$422,S$1,'2025 Time Off Request'!$A$2:$A$422,$D21)</f>
        <v>0</v>
      </c>
      <c r="T21" s="10">
        <f>COUNTIFS('2025 Time Off Request'!$N$2:$N$422,T$1,'2025 Time Off Request'!$A$2:$A$422,$D21)</f>
        <v>0</v>
      </c>
      <c r="U21" s="10">
        <f>COUNTIFS('2025 Time Off Request'!$N$2:$N$422,U$1,'2025 Time Off Request'!$A$2:$A$422,$D21)</f>
        <v>0</v>
      </c>
      <c r="V21" s="10">
        <f>COUNTIFS('2025 Time Off Request'!$N$2:$N$422,V$1,'2025 Time Off Request'!$A$2:$A$422,$D21)</f>
        <v>4</v>
      </c>
      <c r="W21" s="10">
        <f>COUNTIFS('2025 Time Off Request'!$N$2:$N$422,W$1,'2025 Time Off Request'!$A$2:$A$422,$D21)</f>
        <v>0</v>
      </c>
      <c r="X21" s="10">
        <f>COUNTIFS('2025 Time Off Request'!$N$2:$N$422,X$1,'2025 Time Off Request'!$A$2:$A$422,$D21)</f>
        <v>0</v>
      </c>
      <c r="Y21" s="172">
        <f>COUNTIFS('2025 Time Off Request'!$N$2:$N$422,Y$1,'2025 Time Off Request'!$A$2:$A$422,$D21)</f>
        <v>3</v>
      </c>
      <c r="Z21" s="8"/>
      <c r="AA21" s="8"/>
      <c r="AB21" s="8"/>
    </row>
    <row r="22" spans="2:28" ht="15.75">
      <c r="B22" s="162" t="s">
        <v>45</v>
      </c>
      <c r="C22" s="26" t="s">
        <v>83</v>
      </c>
      <c r="D22" s="8" t="s">
        <v>84</v>
      </c>
      <c r="E22" s="187">
        <f>_xlfn.XLOOKUP(D22,'Contract Entitlement'!$D$4:$D$61,'Contract Entitlement'!$G$4:$G$61)</f>
        <v>44963</v>
      </c>
      <c r="F22" s="8"/>
      <c r="G22" s="180">
        <f>_xlfn.XLOOKUP(D22,'Contract Entitlement'!$D$4:$D$61,'Contract Entitlement'!$F$4:$F$61)</f>
        <v>15</v>
      </c>
      <c r="H22" s="180">
        <f>IF(YEAR(E22)=2025,IF(DAY(E22)&lt;15,CEILING(G22 * (12 - MONTH(E22) + 1) / 12,1),FLOOR(G22 * (12 - MONTH(E22) + 1) / 12,1)),IF(YEAR(E22)&lt;2025,G22,0))</f>
        <v>15</v>
      </c>
      <c r="I22" s="10">
        <f>SUM(N22:Y22)</f>
        <v>7</v>
      </c>
      <c r="J22" s="10">
        <f>COUNTIFS('2025 Time Off Request'!$A$2:$A$422,D22,'2025 Time Off Request'!$E$2:$E$422,"UNPAID")</f>
        <v>0</v>
      </c>
      <c r="K22" s="14">
        <f>H22-I22</f>
        <v>8</v>
      </c>
      <c r="L22" s="166">
        <f>K22/G22</f>
        <v>0.53333333333333333</v>
      </c>
      <c r="M22" s="8"/>
      <c r="N22" s="171">
        <f>COUNTIFS('2025 Time Off Request'!$N$2:$N$422,N$1,'2025 Time Off Request'!$A$2:$A$422,$D22)</f>
        <v>0</v>
      </c>
      <c r="O22" s="10">
        <f>COUNTIFS('2025 Time Off Request'!$N$2:$N$422,O$1,'2025 Time Off Request'!$A$2:$A$422,$D22)</f>
        <v>0</v>
      </c>
      <c r="P22" s="10">
        <f>COUNTIFS('2025 Time Off Request'!$N$2:$N$422,P$1,'2025 Time Off Request'!$A$2:$A$422,$D22)</f>
        <v>0</v>
      </c>
      <c r="Q22" s="10">
        <f>COUNTIFS('2025 Time Off Request'!$N$2:$N$422,Q$1,'2025 Time Off Request'!$A$2:$A$422,$D22)</f>
        <v>0</v>
      </c>
      <c r="R22" s="10">
        <f>COUNTIFS('2025 Time Off Request'!$N$2:$N$422,R$1,'2025 Time Off Request'!$A$2:$A$422,$D22)</f>
        <v>0</v>
      </c>
      <c r="S22" s="10">
        <f>COUNTIFS('2025 Time Off Request'!$N$2:$N$422,S$1,'2025 Time Off Request'!$A$2:$A$422,$D22)</f>
        <v>0</v>
      </c>
      <c r="T22" s="10">
        <f>COUNTIFS('2025 Time Off Request'!$N$2:$N$422,T$1,'2025 Time Off Request'!$A$2:$A$422,$D22)</f>
        <v>0</v>
      </c>
      <c r="U22" s="10">
        <f>COUNTIFS('2025 Time Off Request'!$N$2:$N$422,U$1,'2025 Time Off Request'!$A$2:$A$422,$D22)</f>
        <v>0</v>
      </c>
      <c r="V22" s="10">
        <f>COUNTIFS('2025 Time Off Request'!$N$2:$N$422,V$1,'2025 Time Off Request'!$A$2:$A$422,$D22)</f>
        <v>0</v>
      </c>
      <c r="W22" s="10">
        <f>COUNTIFS('2025 Time Off Request'!$N$2:$N$422,W$1,'2025 Time Off Request'!$A$2:$A$422,$D22)</f>
        <v>0</v>
      </c>
      <c r="X22" s="10">
        <f>COUNTIFS('2025 Time Off Request'!$N$2:$N$422,X$1,'2025 Time Off Request'!$A$2:$A$422,$D22)</f>
        <v>0</v>
      </c>
      <c r="Y22" s="172">
        <f>COUNTIFS('2025 Time Off Request'!$N$2:$N$422,Y$1,'2025 Time Off Request'!$A$2:$A$422,$D22)</f>
        <v>7</v>
      </c>
      <c r="Z22" s="8"/>
      <c r="AA22" s="8"/>
      <c r="AB22" s="8"/>
    </row>
    <row r="23" spans="2:28" ht="15.75">
      <c r="B23" s="162" t="s">
        <v>49</v>
      </c>
      <c r="C23" s="26" t="s">
        <v>81</v>
      </c>
      <c r="D23" s="8" t="s">
        <v>82</v>
      </c>
      <c r="E23" s="187">
        <f>_xlfn.XLOOKUP(D23,'Contract Entitlement'!$D$4:$D$61,'Contract Entitlement'!$G$4:$G$61)</f>
        <v>42795</v>
      </c>
      <c r="F23" s="8"/>
      <c r="G23" s="180">
        <f>_xlfn.XLOOKUP(D23,'Contract Entitlement'!$D$4:$D$61,'Contract Entitlement'!$F$4:$F$61)</f>
        <v>20</v>
      </c>
      <c r="H23" s="180">
        <f>IF(YEAR(E23)=2025,IF(DAY(E23)&lt;15,CEILING(G23 * (12 - MONTH(E23) + 1) / 12,1),FLOOR(G23 * (12 - MONTH(E23) + 1) / 12,1)),IF(YEAR(E23)&lt;2025,G23,0))</f>
        <v>20</v>
      </c>
      <c r="I23" s="10">
        <f>SUM(N23:Y23)</f>
        <v>15</v>
      </c>
      <c r="J23" s="10">
        <f>COUNTIFS('2025 Time Off Request'!$A$2:$A$422,D23,'2025 Time Off Request'!$E$2:$E$422,"UNPAID")</f>
        <v>0</v>
      </c>
      <c r="K23" s="14">
        <f>H23-I23</f>
        <v>5</v>
      </c>
      <c r="L23" s="166">
        <f>K23/G23</f>
        <v>0.25</v>
      </c>
      <c r="M23" s="8"/>
      <c r="N23" s="171">
        <f>COUNTIFS('2025 Time Off Request'!$N$2:$N$422,N$1,'2025 Time Off Request'!$A$2:$A$422,$D23)</f>
        <v>0</v>
      </c>
      <c r="O23" s="10">
        <f>COUNTIFS('2025 Time Off Request'!$N$2:$N$422,O$1,'2025 Time Off Request'!$A$2:$A$422,$D23)</f>
        <v>0</v>
      </c>
      <c r="P23" s="10">
        <f>COUNTIFS('2025 Time Off Request'!$N$2:$N$422,P$1,'2025 Time Off Request'!$A$2:$A$422,$D23)</f>
        <v>0</v>
      </c>
      <c r="Q23" s="10">
        <f>COUNTIFS('2025 Time Off Request'!$N$2:$N$422,Q$1,'2025 Time Off Request'!$A$2:$A$422,$D23)</f>
        <v>2</v>
      </c>
      <c r="R23" s="10">
        <f>COUNTIFS('2025 Time Off Request'!$N$2:$N$422,R$1,'2025 Time Off Request'!$A$2:$A$422,$D23)</f>
        <v>1</v>
      </c>
      <c r="S23" s="10">
        <f>COUNTIFS('2025 Time Off Request'!$N$2:$N$422,S$1,'2025 Time Off Request'!$A$2:$A$422,$D23)</f>
        <v>8</v>
      </c>
      <c r="T23" s="10">
        <f>COUNTIFS('2025 Time Off Request'!$N$2:$N$422,T$1,'2025 Time Off Request'!$A$2:$A$422,$D23)</f>
        <v>0</v>
      </c>
      <c r="U23" s="10">
        <f>COUNTIFS('2025 Time Off Request'!$N$2:$N$422,U$1,'2025 Time Off Request'!$A$2:$A$422,$D23)</f>
        <v>0</v>
      </c>
      <c r="V23" s="10">
        <f>COUNTIFS('2025 Time Off Request'!$N$2:$N$422,V$1,'2025 Time Off Request'!$A$2:$A$422,$D23)</f>
        <v>0</v>
      </c>
      <c r="W23" s="10">
        <f>COUNTIFS('2025 Time Off Request'!$N$2:$N$422,W$1,'2025 Time Off Request'!$A$2:$A$422,$D23)</f>
        <v>0</v>
      </c>
      <c r="X23" s="10">
        <f>COUNTIFS('2025 Time Off Request'!$N$2:$N$422,X$1,'2025 Time Off Request'!$A$2:$A$422,$D23)</f>
        <v>0</v>
      </c>
      <c r="Y23" s="172">
        <f>COUNTIFS('2025 Time Off Request'!$N$2:$N$422,Y$1,'2025 Time Off Request'!$A$2:$A$422,$D23)</f>
        <v>4</v>
      </c>
      <c r="Z23" s="8"/>
      <c r="AA23" s="8"/>
      <c r="AB23" s="8"/>
    </row>
    <row r="24" spans="2:28" ht="15.75">
      <c r="B24" s="162" t="s">
        <v>45</v>
      </c>
      <c r="C24" s="26" t="s">
        <v>55</v>
      </c>
      <c r="D24" s="8" t="s">
        <v>56</v>
      </c>
      <c r="E24" s="187">
        <f>_xlfn.XLOOKUP(D24,'Contract Entitlement'!$D$4:$D$61,'Contract Entitlement'!$G$4:$G$61)</f>
        <v>45538</v>
      </c>
      <c r="F24" s="8"/>
      <c r="G24" s="180">
        <f>_xlfn.XLOOKUP(D24,'Contract Entitlement'!$D$4:$D$61,'Contract Entitlement'!$F$4:$F$61)</f>
        <v>15</v>
      </c>
      <c r="H24" s="180">
        <f>IF(YEAR(E24)=2025,IF(DAY(E24)&lt;15,CEILING(G24 * (12 - MONTH(E24) + 1) / 12,1),FLOOR(G24 * (12 - MONTH(E24) + 1) / 12,1)),IF(YEAR(E24)&lt;2025,G24,0))</f>
        <v>15</v>
      </c>
      <c r="I24" s="10">
        <f>SUM(N24:Y24)</f>
        <v>9</v>
      </c>
      <c r="J24" s="10">
        <f>COUNTIFS('2025 Time Off Request'!$A$2:$A$422,D24,'2025 Time Off Request'!$E$2:$E$422,"UNPAID")</f>
        <v>0</v>
      </c>
      <c r="K24" s="14">
        <f>H24-I24</f>
        <v>6</v>
      </c>
      <c r="L24" s="166">
        <f>K24/G24</f>
        <v>0.4</v>
      </c>
      <c r="M24" s="8"/>
      <c r="N24" s="171">
        <f>COUNTIFS('2025 Time Off Request'!$N$2:$N$422,N$1,'2025 Time Off Request'!$A$2:$A$422,$D24)</f>
        <v>0</v>
      </c>
      <c r="O24" s="10">
        <f>COUNTIFS('2025 Time Off Request'!$N$2:$N$422,O$1,'2025 Time Off Request'!$A$2:$A$422,$D24)</f>
        <v>0</v>
      </c>
      <c r="P24" s="10">
        <f>COUNTIFS('2025 Time Off Request'!$N$2:$N$422,P$1,'2025 Time Off Request'!$A$2:$A$422,$D24)</f>
        <v>0</v>
      </c>
      <c r="Q24" s="10">
        <f>COUNTIFS('2025 Time Off Request'!$N$2:$N$422,Q$1,'2025 Time Off Request'!$A$2:$A$422,$D24)</f>
        <v>1</v>
      </c>
      <c r="R24" s="10">
        <f>COUNTIFS('2025 Time Off Request'!$N$2:$N$422,R$1,'2025 Time Off Request'!$A$2:$A$422,$D24)</f>
        <v>0</v>
      </c>
      <c r="S24" s="10">
        <f>COUNTIFS('2025 Time Off Request'!$N$2:$N$422,S$1,'2025 Time Off Request'!$A$2:$A$422,$D24)</f>
        <v>1</v>
      </c>
      <c r="T24" s="10">
        <f>COUNTIFS('2025 Time Off Request'!$N$2:$N$422,T$1,'2025 Time Off Request'!$A$2:$A$422,$D24)</f>
        <v>0</v>
      </c>
      <c r="U24" s="10">
        <f>COUNTIFS('2025 Time Off Request'!$N$2:$N$422,U$1,'2025 Time Off Request'!$A$2:$A$422,$D24)</f>
        <v>5</v>
      </c>
      <c r="V24" s="10">
        <f>COUNTIFS('2025 Time Off Request'!$N$2:$N$422,V$1,'2025 Time Off Request'!$A$2:$A$422,$D24)</f>
        <v>0</v>
      </c>
      <c r="W24" s="10">
        <f>COUNTIFS('2025 Time Off Request'!$N$2:$N$422,W$1,'2025 Time Off Request'!$A$2:$A$422,$D24)</f>
        <v>2</v>
      </c>
      <c r="X24" s="10">
        <f>COUNTIFS('2025 Time Off Request'!$N$2:$N$422,X$1,'2025 Time Off Request'!$A$2:$A$422,$D24)</f>
        <v>0</v>
      </c>
      <c r="Y24" s="172">
        <f>COUNTIFS('2025 Time Off Request'!$N$2:$N$422,Y$1,'2025 Time Off Request'!$A$2:$A$422,$D24)</f>
        <v>0</v>
      </c>
      <c r="Z24" s="8"/>
      <c r="AA24" s="8"/>
      <c r="AB24" s="8"/>
    </row>
    <row r="25" spans="2:28" ht="15.75">
      <c r="B25" s="162" t="s">
        <v>36</v>
      </c>
      <c r="C25" s="26" t="s">
        <v>37</v>
      </c>
      <c r="D25" s="8" t="s">
        <v>42</v>
      </c>
      <c r="E25" s="187">
        <f>_xlfn.XLOOKUP(D25,'Contract Entitlement'!$D$4:$D$61,'Contract Entitlement'!$G$4:$G$61)</f>
        <v>45880</v>
      </c>
      <c r="F25" s="8"/>
      <c r="G25" s="180">
        <f>_xlfn.XLOOKUP(D25,'Contract Entitlement'!$D$4:$D$61,'Contract Entitlement'!$F$4:$F$61)</f>
        <v>15</v>
      </c>
      <c r="H25" s="180">
        <f>IF(YEAR(E25)=2025,IF(DAY(E25)&lt;15,CEILING(G25 * (12 - MONTH(E25) + 1) / 12,1),FLOOR(G25 * (12 - MONTH(E25) + 1) / 12,1)),IF(YEAR(E25)&lt;2025,G25,0))</f>
        <v>7</v>
      </c>
      <c r="I25" s="10">
        <f>SUM(N25:Y25)</f>
        <v>1</v>
      </c>
      <c r="J25" s="10">
        <f>COUNTIFS('2025 Time Off Request'!$A$2:$A$422,D25,'2025 Time Off Request'!$E$2:$E$422,"UNPAID")</f>
        <v>0</v>
      </c>
      <c r="K25" s="14">
        <f>H25-I25</f>
        <v>6</v>
      </c>
      <c r="L25" s="166">
        <f>K25/G25</f>
        <v>0.4</v>
      </c>
      <c r="M25" s="8"/>
      <c r="N25" s="171">
        <f>COUNTIFS('2025 Time Off Request'!$N$2:$N$422,N$1,'2025 Time Off Request'!$A$2:$A$422,$D25)</f>
        <v>0</v>
      </c>
      <c r="O25" s="10">
        <f>COUNTIFS('2025 Time Off Request'!$N$2:$N$422,O$1,'2025 Time Off Request'!$A$2:$A$422,$D25)</f>
        <v>0</v>
      </c>
      <c r="P25" s="10">
        <f>COUNTIFS('2025 Time Off Request'!$N$2:$N$422,P$1,'2025 Time Off Request'!$A$2:$A$422,$D25)</f>
        <v>0</v>
      </c>
      <c r="Q25" s="10">
        <f>COUNTIFS('2025 Time Off Request'!$N$2:$N$422,Q$1,'2025 Time Off Request'!$A$2:$A$422,$D25)</f>
        <v>0</v>
      </c>
      <c r="R25" s="10">
        <f>COUNTIFS('2025 Time Off Request'!$N$2:$N$422,R$1,'2025 Time Off Request'!$A$2:$A$422,$D25)</f>
        <v>0</v>
      </c>
      <c r="S25" s="10">
        <f>COUNTIFS('2025 Time Off Request'!$N$2:$N$422,S$1,'2025 Time Off Request'!$A$2:$A$422,$D25)</f>
        <v>0</v>
      </c>
      <c r="T25" s="10">
        <f>COUNTIFS('2025 Time Off Request'!$N$2:$N$422,T$1,'2025 Time Off Request'!$A$2:$A$422,$D25)</f>
        <v>0</v>
      </c>
      <c r="U25" s="10">
        <f>COUNTIFS('2025 Time Off Request'!$N$2:$N$422,U$1,'2025 Time Off Request'!$A$2:$A$422,$D25)</f>
        <v>0</v>
      </c>
      <c r="V25" s="10">
        <f>COUNTIFS('2025 Time Off Request'!$N$2:$N$422,V$1,'2025 Time Off Request'!$A$2:$A$422,$D25)</f>
        <v>0</v>
      </c>
      <c r="W25" s="10">
        <f>COUNTIFS('2025 Time Off Request'!$N$2:$N$422,W$1,'2025 Time Off Request'!$A$2:$A$422,$D25)</f>
        <v>0</v>
      </c>
      <c r="X25" s="10">
        <f>COUNTIFS('2025 Time Off Request'!$N$2:$N$422,X$1,'2025 Time Off Request'!$A$2:$A$422,$D25)</f>
        <v>0</v>
      </c>
      <c r="Y25" s="172">
        <f>COUNTIFS('2025 Time Off Request'!$N$2:$N$422,Y$1,'2025 Time Off Request'!$A$2:$A$422,$D25)</f>
        <v>1</v>
      </c>
      <c r="Z25" s="8"/>
      <c r="AA25" s="8"/>
      <c r="AB25" s="8"/>
    </row>
    <row r="26" spans="2:28" ht="15.75">
      <c r="B26" s="162" t="s">
        <v>36</v>
      </c>
      <c r="C26" s="26" t="s">
        <v>37</v>
      </c>
      <c r="D26" s="8" t="s">
        <v>38</v>
      </c>
      <c r="E26" s="187">
        <f>_xlfn.XLOOKUP(D26,'Contract Entitlement'!$D$4:$D$61,'Contract Entitlement'!$G$4:$G$61)</f>
        <v>42826</v>
      </c>
      <c r="F26" s="8"/>
      <c r="G26" s="180">
        <f>_xlfn.XLOOKUP(D26,'Contract Entitlement'!$D$4:$D$61,'Contract Entitlement'!$F$4:$F$61)</f>
        <v>15</v>
      </c>
      <c r="H26" s="180">
        <f>IF(YEAR(E26)=2025,IF(DAY(E26)&lt;15,CEILING(G26 * (12 - MONTH(E26) + 1) / 12,1),FLOOR(G26 * (12 - MONTH(E26) + 1) / 12,1)),IF(YEAR(E26)&lt;2025,G26,0))</f>
        <v>15</v>
      </c>
      <c r="I26" s="10">
        <f>SUM(N26:Y26)</f>
        <v>21</v>
      </c>
      <c r="J26" s="10">
        <f>COUNTIFS('2025 Time Off Request'!$A$2:$A$422,D26,'2025 Time Off Request'!$E$2:$E$422,"UNPAID")</f>
        <v>0</v>
      </c>
      <c r="K26" s="14">
        <f>H26-I26</f>
        <v>-6</v>
      </c>
      <c r="L26" s="166">
        <f>K26/G26</f>
        <v>-0.4</v>
      </c>
      <c r="M26" s="8"/>
      <c r="N26" s="171">
        <f>COUNTIFS('2025 Time Off Request'!$N$2:$N$422,N$1,'2025 Time Off Request'!$A$2:$A$422,$D26)</f>
        <v>0</v>
      </c>
      <c r="O26" s="10">
        <f>COUNTIFS('2025 Time Off Request'!$N$2:$N$422,O$1,'2025 Time Off Request'!$A$2:$A$422,$D26)</f>
        <v>1</v>
      </c>
      <c r="P26" s="10">
        <f>COUNTIFS('2025 Time Off Request'!$N$2:$N$422,P$1,'2025 Time Off Request'!$A$2:$A$422,$D26)</f>
        <v>3</v>
      </c>
      <c r="Q26" s="10">
        <f>COUNTIFS('2025 Time Off Request'!$N$2:$N$422,Q$1,'2025 Time Off Request'!$A$2:$A$422,$D26)</f>
        <v>1</v>
      </c>
      <c r="R26" s="10">
        <f>COUNTIFS('2025 Time Off Request'!$N$2:$N$422,R$1,'2025 Time Off Request'!$A$2:$A$422,$D26)</f>
        <v>0</v>
      </c>
      <c r="S26" s="10">
        <f>COUNTIFS('2025 Time Off Request'!$N$2:$N$422,S$1,'2025 Time Off Request'!$A$2:$A$422,$D26)</f>
        <v>0</v>
      </c>
      <c r="T26" s="10">
        <f>COUNTIFS('2025 Time Off Request'!$N$2:$N$422,T$1,'2025 Time Off Request'!$A$2:$A$422,$D26)</f>
        <v>3</v>
      </c>
      <c r="U26" s="10">
        <f>COUNTIFS('2025 Time Off Request'!$N$2:$N$422,U$1,'2025 Time Off Request'!$A$2:$A$422,$D26)</f>
        <v>10</v>
      </c>
      <c r="V26" s="10">
        <f>COUNTIFS('2025 Time Off Request'!$N$2:$N$422,V$1,'2025 Time Off Request'!$A$2:$A$422,$D26)</f>
        <v>0</v>
      </c>
      <c r="W26" s="10">
        <f>COUNTIFS('2025 Time Off Request'!$N$2:$N$422,W$1,'2025 Time Off Request'!$A$2:$A$422,$D26)</f>
        <v>0</v>
      </c>
      <c r="X26" s="10">
        <f>COUNTIFS('2025 Time Off Request'!$N$2:$N$422,X$1,'2025 Time Off Request'!$A$2:$A$422,$D26)</f>
        <v>0</v>
      </c>
      <c r="Y26" s="172">
        <f>COUNTIFS('2025 Time Off Request'!$N$2:$N$422,Y$1,'2025 Time Off Request'!$A$2:$A$422,$D26)</f>
        <v>3</v>
      </c>
      <c r="Z26" s="8"/>
      <c r="AA26" s="8"/>
      <c r="AB26" s="8"/>
    </row>
    <row r="27" spans="2:28" ht="15.75">
      <c r="B27" s="162" t="s">
        <v>36</v>
      </c>
      <c r="C27" s="26" t="s">
        <v>37</v>
      </c>
      <c r="D27" s="8" t="s">
        <v>39</v>
      </c>
      <c r="E27" s="187">
        <f>_xlfn.XLOOKUP(D27,'Contract Entitlement'!$D$4:$D$61,'Contract Entitlement'!$G$4:$G$61)</f>
        <v>38596</v>
      </c>
      <c r="F27" s="8"/>
      <c r="G27" s="180">
        <f>_xlfn.XLOOKUP(D27,'Contract Entitlement'!$D$4:$D$61,'Contract Entitlement'!$F$4:$F$61)</f>
        <v>25</v>
      </c>
      <c r="H27" s="180">
        <f>IF(YEAR(E27)=2025,IF(DAY(E27)&lt;15,CEILING(G27 * (12 - MONTH(E27) + 1) / 12,1),FLOOR(G27 * (12 - MONTH(E27) + 1) / 12,1)),IF(YEAR(E27)&lt;2025,G27,0))</f>
        <v>25</v>
      </c>
      <c r="I27" s="10">
        <f>SUM(N27:Y27)</f>
        <v>12</v>
      </c>
      <c r="J27" s="10">
        <f>COUNTIFS('2025 Time Off Request'!$A$2:$A$422,D27,'2025 Time Off Request'!$E$2:$E$422,"UNPAID")</f>
        <v>0</v>
      </c>
      <c r="K27" s="14">
        <f>H27-I27</f>
        <v>13</v>
      </c>
      <c r="L27" s="166">
        <f>K27/G27</f>
        <v>0.52</v>
      </c>
      <c r="M27" s="8"/>
      <c r="N27" s="171">
        <f>COUNTIFS('2025 Time Off Request'!$N$2:$N$422,N$1,'2025 Time Off Request'!$A$2:$A$422,$D27)</f>
        <v>0</v>
      </c>
      <c r="O27" s="10">
        <f>COUNTIFS('2025 Time Off Request'!$N$2:$N$422,O$1,'2025 Time Off Request'!$A$2:$A$422,$D27)</f>
        <v>0</v>
      </c>
      <c r="P27" s="10">
        <f>COUNTIFS('2025 Time Off Request'!$N$2:$N$422,P$1,'2025 Time Off Request'!$A$2:$A$422,$D27)</f>
        <v>0</v>
      </c>
      <c r="Q27" s="10">
        <f>COUNTIFS('2025 Time Off Request'!$N$2:$N$422,Q$1,'2025 Time Off Request'!$A$2:$A$422,$D27)</f>
        <v>0</v>
      </c>
      <c r="R27" s="10">
        <f>COUNTIFS('2025 Time Off Request'!$N$2:$N$422,R$1,'2025 Time Off Request'!$A$2:$A$422,$D27)</f>
        <v>8</v>
      </c>
      <c r="S27" s="10">
        <f>COUNTIFS('2025 Time Off Request'!$N$2:$N$422,S$1,'2025 Time Off Request'!$A$2:$A$422,$D27)</f>
        <v>0</v>
      </c>
      <c r="T27" s="10">
        <f>COUNTIFS('2025 Time Off Request'!$N$2:$N$422,T$1,'2025 Time Off Request'!$A$2:$A$422,$D27)</f>
        <v>4</v>
      </c>
      <c r="U27" s="10">
        <f>COUNTIFS('2025 Time Off Request'!$N$2:$N$422,U$1,'2025 Time Off Request'!$A$2:$A$422,$D27)</f>
        <v>0</v>
      </c>
      <c r="V27" s="10">
        <f>COUNTIFS('2025 Time Off Request'!$N$2:$N$422,V$1,'2025 Time Off Request'!$A$2:$A$422,$D27)</f>
        <v>0</v>
      </c>
      <c r="W27" s="10">
        <f>COUNTIFS('2025 Time Off Request'!$N$2:$N$422,W$1,'2025 Time Off Request'!$A$2:$A$422,$D27)</f>
        <v>0</v>
      </c>
      <c r="X27" s="10">
        <f>COUNTIFS('2025 Time Off Request'!$N$2:$N$422,X$1,'2025 Time Off Request'!$A$2:$A$422,$D27)</f>
        <v>0</v>
      </c>
      <c r="Y27" s="172">
        <f>COUNTIFS('2025 Time Off Request'!$N$2:$N$422,Y$1,'2025 Time Off Request'!$A$2:$A$422,$D27)</f>
        <v>0</v>
      </c>
      <c r="Z27" s="8"/>
      <c r="AA27" s="8"/>
      <c r="AB27" s="8"/>
    </row>
    <row r="28" spans="2:28" ht="15.75">
      <c r="B28" s="162" t="s">
        <v>36</v>
      </c>
      <c r="C28" s="26" t="s">
        <v>37</v>
      </c>
      <c r="D28" s="8" t="s">
        <v>40</v>
      </c>
      <c r="E28" s="187">
        <f>_xlfn.XLOOKUP(D28,'Contract Entitlement'!$D$4:$D$61,'Contract Entitlement'!$G$4:$G$61)</f>
        <v>44383</v>
      </c>
      <c r="F28" s="8"/>
      <c r="G28" s="180">
        <f>_xlfn.XLOOKUP(D28,'Contract Entitlement'!$D$4:$D$61,'Contract Entitlement'!$F$4:$F$61)</f>
        <v>15</v>
      </c>
      <c r="H28" s="180">
        <f>IF(YEAR(E28)=2025,IF(DAY(E28)&lt;15,CEILING(G28 * (12 - MONTH(E28) + 1) / 12,1),FLOOR(G28 * (12 - MONTH(E28) + 1) / 12,1)),IF(YEAR(E28)&lt;2025,G28,0))</f>
        <v>15</v>
      </c>
      <c r="I28" s="10">
        <f>SUM(N28:Y28)</f>
        <v>18</v>
      </c>
      <c r="J28" s="10">
        <f>COUNTIFS('2025 Time Off Request'!$A$2:$A$422,D28,'2025 Time Off Request'!$E$2:$E$422,"UNPAID")</f>
        <v>0</v>
      </c>
      <c r="K28" s="14">
        <f>H28-I28</f>
        <v>-3</v>
      </c>
      <c r="L28" s="166">
        <f>K28/G28</f>
        <v>-0.2</v>
      </c>
      <c r="M28" s="8"/>
      <c r="N28" s="171">
        <f>COUNTIFS('2025 Time Off Request'!$N$2:$N$422,N$1,'2025 Time Off Request'!$A$2:$A$422,$D28)</f>
        <v>0</v>
      </c>
      <c r="O28" s="10">
        <f>COUNTIFS('2025 Time Off Request'!$N$2:$N$422,O$1,'2025 Time Off Request'!$A$2:$A$422,$D28)</f>
        <v>0</v>
      </c>
      <c r="P28" s="10">
        <f>COUNTIFS('2025 Time Off Request'!$N$2:$N$422,P$1,'2025 Time Off Request'!$A$2:$A$422,$D28)</f>
        <v>11</v>
      </c>
      <c r="Q28" s="10">
        <f>COUNTIFS('2025 Time Off Request'!$N$2:$N$422,Q$1,'2025 Time Off Request'!$A$2:$A$422,$D28)</f>
        <v>0</v>
      </c>
      <c r="R28" s="10">
        <f>COUNTIFS('2025 Time Off Request'!$N$2:$N$422,R$1,'2025 Time Off Request'!$A$2:$A$422,$D28)</f>
        <v>0</v>
      </c>
      <c r="S28" s="10">
        <f>COUNTIFS('2025 Time Off Request'!$N$2:$N$422,S$1,'2025 Time Off Request'!$A$2:$A$422,$D28)</f>
        <v>0</v>
      </c>
      <c r="T28" s="10">
        <f>COUNTIFS('2025 Time Off Request'!$N$2:$N$422,T$1,'2025 Time Off Request'!$A$2:$A$422,$D28)</f>
        <v>3</v>
      </c>
      <c r="U28" s="10">
        <f>COUNTIFS('2025 Time Off Request'!$N$2:$N$422,U$1,'2025 Time Off Request'!$A$2:$A$422,$D28)</f>
        <v>4</v>
      </c>
      <c r="V28" s="10">
        <f>COUNTIFS('2025 Time Off Request'!$N$2:$N$422,V$1,'2025 Time Off Request'!$A$2:$A$422,$D28)</f>
        <v>0</v>
      </c>
      <c r="W28" s="10">
        <f>COUNTIFS('2025 Time Off Request'!$N$2:$N$422,W$1,'2025 Time Off Request'!$A$2:$A$422,$D28)</f>
        <v>0</v>
      </c>
      <c r="X28" s="10">
        <f>COUNTIFS('2025 Time Off Request'!$N$2:$N$422,X$1,'2025 Time Off Request'!$A$2:$A$422,$D28)</f>
        <v>0</v>
      </c>
      <c r="Y28" s="172">
        <f>COUNTIFS('2025 Time Off Request'!$N$2:$N$422,Y$1,'2025 Time Off Request'!$A$2:$A$422,$D28)</f>
        <v>0</v>
      </c>
      <c r="Z28" s="8"/>
      <c r="AA28" s="8"/>
      <c r="AB28" s="8"/>
    </row>
    <row r="29" spans="2:28" ht="15.75">
      <c r="B29" s="162" t="s">
        <v>36</v>
      </c>
      <c r="C29" s="26" t="s">
        <v>37</v>
      </c>
      <c r="D29" s="8" t="s">
        <v>41</v>
      </c>
      <c r="E29" s="187">
        <f>_xlfn.XLOOKUP(D29,'Contract Entitlement'!$D$4:$D$61,'Contract Entitlement'!$G$4:$G$61)</f>
        <v>45789</v>
      </c>
      <c r="F29" s="8"/>
      <c r="G29" s="180">
        <f>_xlfn.XLOOKUP(D29,'Contract Entitlement'!$D$4:$D$61,'Contract Entitlement'!$F$4:$F$61)</f>
        <v>15</v>
      </c>
      <c r="H29" s="180">
        <f>IF(YEAR(E29)=2025,IF(DAY(E29)&lt;15,CEILING(G29 * (12 - MONTH(E29) + 1) / 12,1),FLOOR(G29 * (12 - MONTH(E29) + 1) / 12,1)),IF(YEAR(E29)&lt;2025,G29,0))</f>
        <v>10</v>
      </c>
      <c r="I29" s="10">
        <f>SUM(N29:Y29)</f>
        <v>1</v>
      </c>
      <c r="J29" s="10">
        <f>COUNTIFS('2025 Time Off Request'!$A$2:$A$422,D29,'2025 Time Off Request'!$E$2:$E$422,"UNPAID")</f>
        <v>0</v>
      </c>
      <c r="K29" s="14">
        <f>H29-I29</f>
        <v>9</v>
      </c>
      <c r="L29" s="166">
        <f>K29/G29</f>
        <v>0.6</v>
      </c>
      <c r="M29" s="8"/>
      <c r="N29" s="171">
        <f>COUNTIFS('2025 Time Off Request'!$N$2:$N$422,N$1,'2025 Time Off Request'!$A$2:$A$422,$D29)</f>
        <v>0</v>
      </c>
      <c r="O29" s="10">
        <f>COUNTIFS('2025 Time Off Request'!$N$2:$N$422,O$1,'2025 Time Off Request'!$A$2:$A$422,$D29)</f>
        <v>0</v>
      </c>
      <c r="P29" s="10">
        <f>COUNTIFS('2025 Time Off Request'!$N$2:$N$422,P$1,'2025 Time Off Request'!$A$2:$A$422,$D29)</f>
        <v>0</v>
      </c>
      <c r="Q29" s="10">
        <f>COUNTIFS('2025 Time Off Request'!$N$2:$N$422,Q$1,'2025 Time Off Request'!$A$2:$A$422,$D29)</f>
        <v>0</v>
      </c>
      <c r="R29" s="10">
        <f>COUNTIFS('2025 Time Off Request'!$N$2:$N$422,R$1,'2025 Time Off Request'!$A$2:$A$422,$D29)</f>
        <v>0</v>
      </c>
      <c r="S29" s="10">
        <f>COUNTIFS('2025 Time Off Request'!$N$2:$N$422,S$1,'2025 Time Off Request'!$A$2:$A$422,$D29)</f>
        <v>0</v>
      </c>
      <c r="T29" s="10">
        <f>COUNTIFS('2025 Time Off Request'!$N$2:$N$422,T$1,'2025 Time Off Request'!$A$2:$A$422,$D29)</f>
        <v>0</v>
      </c>
      <c r="U29" s="10">
        <f>COUNTIFS('2025 Time Off Request'!$N$2:$N$422,U$1,'2025 Time Off Request'!$A$2:$A$422,$D29)</f>
        <v>0</v>
      </c>
      <c r="V29" s="10">
        <f>COUNTIFS('2025 Time Off Request'!$N$2:$N$422,V$1,'2025 Time Off Request'!$A$2:$A$422,$D29)</f>
        <v>0</v>
      </c>
      <c r="W29" s="10">
        <f>COUNTIFS('2025 Time Off Request'!$N$2:$N$422,W$1,'2025 Time Off Request'!$A$2:$A$422,$D29)</f>
        <v>0</v>
      </c>
      <c r="X29" s="10">
        <f>COUNTIFS('2025 Time Off Request'!$N$2:$N$422,X$1,'2025 Time Off Request'!$A$2:$A$422,$D29)</f>
        <v>0</v>
      </c>
      <c r="Y29" s="172">
        <f>COUNTIFS('2025 Time Off Request'!$N$2:$N$422,Y$1,'2025 Time Off Request'!$A$2:$A$422,$D29)</f>
        <v>1</v>
      </c>
      <c r="Z29" s="8"/>
      <c r="AA29" s="8"/>
      <c r="AB29" s="8"/>
    </row>
    <row r="30" spans="2:28" ht="15.75">
      <c r="B30" s="162" t="s">
        <v>36</v>
      </c>
      <c r="C30" s="26" t="s">
        <v>37</v>
      </c>
      <c r="D30" s="8" t="s">
        <v>43</v>
      </c>
      <c r="E30" s="187">
        <f>_xlfn.XLOOKUP(D30,'Contract Entitlement'!$D$4:$D$61,'Contract Entitlement'!$G$4:$G$61)</f>
        <v>44811</v>
      </c>
      <c r="F30" s="8"/>
      <c r="G30" s="180">
        <f>_xlfn.XLOOKUP(D30,'Contract Entitlement'!$D$4:$D$61,'Contract Entitlement'!$F$4:$F$61)</f>
        <v>15</v>
      </c>
      <c r="H30" s="180">
        <f>IF(YEAR(E30)=2025,IF(DAY(E30)&lt;15,CEILING(G30 * (12 - MONTH(E30) + 1) / 12,1),FLOOR(G30 * (12 - MONTH(E30) + 1) / 12,1)),IF(YEAR(E30)&lt;2025,G30,0))</f>
        <v>15</v>
      </c>
      <c r="I30" s="10">
        <f>SUM(N30:Y30)</f>
        <v>11</v>
      </c>
      <c r="J30" s="10">
        <f>COUNTIFS('2025 Time Off Request'!$A$2:$A$422,D30,'2025 Time Off Request'!$E$2:$E$422,"UNPAID")</f>
        <v>0</v>
      </c>
      <c r="K30" s="14">
        <f>H30-I30</f>
        <v>4</v>
      </c>
      <c r="L30" s="166">
        <f>K30/G30</f>
        <v>0.26666666666666666</v>
      </c>
      <c r="M30" s="8"/>
      <c r="N30" s="171">
        <f>COUNTIFS('2025 Time Off Request'!$N$2:$N$422,N$1,'2025 Time Off Request'!$A$2:$A$422,$D30)</f>
        <v>0</v>
      </c>
      <c r="O30" s="10">
        <f>COUNTIFS('2025 Time Off Request'!$N$2:$N$422,O$1,'2025 Time Off Request'!$A$2:$A$422,$D30)</f>
        <v>1</v>
      </c>
      <c r="P30" s="10">
        <f>COUNTIFS('2025 Time Off Request'!$N$2:$N$422,P$1,'2025 Time Off Request'!$A$2:$A$422,$D30)</f>
        <v>0</v>
      </c>
      <c r="Q30" s="10">
        <f>COUNTIFS('2025 Time Off Request'!$N$2:$N$422,Q$1,'2025 Time Off Request'!$A$2:$A$422,$D30)</f>
        <v>0</v>
      </c>
      <c r="R30" s="10">
        <f>COUNTIFS('2025 Time Off Request'!$N$2:$N$422,R$1,'2025 Time Off Request'!$A$2:$A$422,$D30)</f>
        <v>0</v>
      </c>
      <c r="S30" s="10">
        <f>COUNTIFS('2025 Time Off Request'!$N$2:$N$422,S$1,'2025 Time Off Request'!$A$2:$A$422,$D30)</f>
        <v>1</v>
      </c>
      <c r="T30" s="10">
        <f>COUNTIFS('2025 Time Off Request'!$N$2:$N$422,T$1,'2025 Time Off Request'!$A$2:$A$422,$D30)</f>
        <v>5</v>
      </c>
      <c r="U30" s="10">
        <f>COUNTIFS('2025 Time Off Request'!$N$2:$N$422,U$1,'2025 Time Off Request'!$A$2:$A$422,$D30)</f>
        <v>0</v>
      </c>
      <c r="V30" s="10">
        <f>COUNTIFS('2025 Time Off Request'!$N$2:$N$422,V$1,'2025 Time Off Request'!$A$2:$A$422,$D30)</f>
        <v>1</v>
      </c>
      <c r="W30" s="10">
        <f>COUNTIFS('2025 Time Off Request'!$N$2:$N$422,W$1,'2025 Time Off Request'!$A$2:$A$422,$D30)</f>
        <v>0</v>
      </c>
      <c r="X30" s="10">
        <f>COUNTIFS('2025 Time Off Request'!$N$2:$N$422,X$1,'2025 Time Off Request'!$A$2:$A$422,$D30)</f>
        <v>0</v>
      </c>
      <c r="Y30" s="172">
        <f>COUNTIFS('2025 Time Off Request'!$N$2:$N$422,Y$1,'2025 Time Off Request'!$A$2:$A$422,$D30)</f>
        <v>3</v>
      </c>
      <c r="Z30" s="8"/>
      <c r="AA30" s="8"/>
      <c r="AB30" s="8"/>
    </row>
    <row r="31" spans="2:28" ht="15.75">
      <c r="B31" s="162" t="s">
        <v>36</v>
      </c>
      <c r="C31" s="26" t="s">
        <v>37</v>
      </c>
      <c r="D31" s="8" t="s">
        <v>44</v>
      </c>
      <c r="E31" s="187">
        <f>_xlfn.XLOOKUP(D31,'Contract Entitlement'!$D$4:$D$61,'Contract Entitlement'!$G$4:$G$61)</f>
        <v>45964</v>
      </c>
      <c r="F31" s="8"/>
      <c r="G31" s="180">
        <f>_xlfn.XLOOKUP(D31,'Contract Entitlement'!$D$4:$D$61,'Contract Entitlement'!$F$4:$F$61)</f>
        <v>15</v>
      </c>
      <c r="H31" s="180">
        <f>IF(YEAR(E31)=2025,IF(DAY(E31)&lt;15,CEILING(G31 * (12 - MONTH(E31) + 1) / 12,1),FLOOR(G31 * (12 - MONTH(E31) + 1) / 12,1)),IF(YEAR(E31)&lt;2025,G31,0))</f>
        <v>3</v>
      </c>
      <c r="I31" s="10">
        <f>SUM(N31:Y31)</f>
        <v>0</v>
      </c>
      <c r="J31" s="10">
        <f>COUNTIFS('2025 Time Off Request'!$A$2:$A$422,D31,'2025 Time Off Request'!$E$2:$E$422,"UNPAID")</f>
        <v>0</v>
      </c>
      <c r="K31" s="14">
        <f>H31-I31</f>
        <v>3</v>
      </c>
      <c r="L31" s="166">
        <f>K31/G31</f>
        <v>0.2</v>
      </c>
      <c r="M31" s="8"/>
      <c r="N31" s="171">
        <f>COUNTIFS('2025 Time Off Request'!$N$2:$N$422,N$1,'2025 Time Off Request'!$A$2:$A$422,$D31)</f>
        <v>0</v>
      </c>
      <c r="O31" s="10">
        <f>COUNTIFS('2025 Time Off Request'!$N$2:$N$422,O$1,'2025 Time Off Request'!$A$2:$A$422,$D31)</f>
        <v>0</v>
      </c>
      <c r="P31" s="10">
        <f>COUNTIFS('2025 Time Off Request'!$N$2:$N$422,P$1,'2025 Time Off Request'!$A$2:$A$422,$D31)</f>
        <v>0</v>
      </c>
      <c r="Q31" s="10">
        <f>COUNTIFS('2025 Time Off Request'!$N$2:$N$422,Q$1,'2025 Time Off Request'!$A$2:$A$422,$D31)</f>
        <v>0</v>
      </c>
      <c r="R31" s="10">
        <f>COUNTIFS('2025 Time Off Request'!$N$2:$N$422,R$1,'2025 Time Off Request'!$A$2:$A$422,$D31)</f>
        <v>0</v>
      </c>
      <c r="S31" s="10">
        <f>COUNTIFS('2025 Time Off Request'!$N$2:$N$422,S$1,'2025 Time Off Request'!$A$2:$A$422,$D31)</f>
        <v>0</v>
      </c>
      <c r="T31" s="10">
        <f>COUNTIFS('2025 Time Off Request'!$N$2:$N$422,T$1,'2025 Time Off Request'!$A$2:$A$422,$D31)</f>
        <v>0</v>
      </c>
      <c r="U31" s="10">
        <f>COUNTIFS('2025 Time Off Request'!$N$2:$N$422,U$1,'2025 Time Off Request'!$A$2:$A$422,$D31)</f>
        <v>0</v>
      </c>
      <c r="V31" s="10">
        <f>COUNTIFS('2025 Time Off Request'!$N$2:$N$422,V$1,'2025 Time Off Request'!$A$2:$A$422,$D31)</f>
        <v>0</v>
      </c>
      <c r="W31" s="10">
        <f>COUNTIFS('2025 Time Off Request'!$N$2:$N$422,W$1,'2025 Time Off Request'!$A$2:$A$422,$D31)</f>
        <v>0</v>
      </c>
      <c r="X31" s="10">
        <f>COUNTIFS('2025 Time Off Request'!$N$2:$N$422,X$1,'2025 Time Off Request'!$A$2:$A$422,$D31)</f>
        <v>0</v>
      </c>
      <c r="Y31" s="172">
        <f>COUNTIFS('2025 Time Off Request'!$N$2:$N$422,Y$1,'2025 Time Off Request'!$A$2:$A$422,$D31)</f>
        <v>0</v>
      </c>
      <c r="Z31" s="8"/>
      <c r="AA31" s="8"/>
      <c r="AB31" s="8"/>
    </row>
    <row r="32" spans="2:28" ht="15.75">
      <c r="B32" s="162" t="s">
        <v>45</v>
      </c>
      <c r="C32" s="26" t="s">
        <v>37</v>
      </c>
      <c r="D32" s="8" t="s">
        <v>46</v>
      </c>
      <c r="E32" s="187">
        <f>_xlfn.XLOOKUP(D32,'Contract Entitlement'!$D$4:$D$61,'Contract Entitlement'!$G$4:$G$61)</f>
        <v>45826</v>
      </c>
      <c r="F32" s="8"/>
      <c r="G32" s="181">
        <f>_xlfn.XLOOKUP(D32,'Contract Entitlement'!$D$4:$D$61,'Contract Entitlement'!$F$4:$F$61)</f>
        <v>10</v>
      </c>
      <c r="H32" s="181">
        <f>IF(YEAR(E32)=2025,IF(DAY(E32)&lt;15,CEILING(G32 * (12 - MONTH(E32) + 1) / 12,1),FLOOR(G32 * (12 - MONTH(E32) + 1) / 12,1)),IF(YEAR(E32)&lt;2025,G32,0))</f>
        <v>5</v>
      </c>
      <c r="I32" s="10">
        <f>SUM(N32:Y32)</f>
        <v>6</v>
      </c>
      <c r="J32" s="10">
        <f>COUNTIFS('2025 Time Off Request'!$A$2:$A$422,D32,'2025 Time Off Request'!$E$2:$E$422,"UNPAID")</f>
        <v>0</v>
      </c>
      <c r="K32" s="14">
        <f>H32-I32</f>
        <v>-1</v>
      </c>
      <c r="L32" s="166">
        <f>K32/G32</f>
        <v>-0.1</v>
      </c>
      <c r="M32" s="8"/>
      <c r="N32" s="171">
        <f>COUNTIFS('2025 Time Off Request'!$N$2:$N$422,N$1,'2025 Time Off Request'!$A$2:$A$422,$D32)</f>
        <v>0</v>
      </c>
      <c r="O32" s="10">
        <f>COUNTIFS('2025 Time Off Request'!$N$2:$N$422,O$1,'2025 Time Off Request'!$A$2:$A$422,$D32)</f>
        <v>0</v>
      </c>
      <c r="P32" s="10">
        <f>COUNTIFS('2025 Time Off Request'!$N$2:$N$422,P$1,'2025 Time Off Request'!$A$2:$A$422,$D32)</f>
        <v>0</v>
      </c>
      <c r="Q32" s="10">
        <f>COUNTIFS('2025 Time Off Request'!$N$2:$N$422,Q$1,'2025 Time Off Request'!$A$2:$A$422,$D32)</f>
        <v>0</v>
      </c>
      <c r="R32" s="10">
        <f>COUNTIFS('2025 Time Off Request'!$N$2:$N$422,R$1,'2025 Time Off Request'!$A$2:$A$422,$D32)</f>
        <v>0</v>
      </c>
      <c r="S32" s="10">
        <f>COUNTIFS('2025 Time Off Request'!$N$2:$N$422,S$1,'2025 Time Off Request'!$A$2:$A$422,$D32)</f>
        <v>0</v>
      </c>
      <c r="T32" s="10">
        <f>COUNTIFS('2025 Time Off Request'!$N$2:$N$422,T$1,'2025 Time Off Request'!$A$2:$A$422,$D32)</f>
        <v>2</v>
      </c>
      <c r="U32" s="10">
        <f>COUNTIFS('2025 Time Off Request'!$N$2:$N$422,U$1,'2025 Time Off Request'!$A$2:$A$422,$D32)</f>
        <v>4</v>
      </c>
      <c r="V32" s="10">
        <f>COUNTIFS('2025 Time Off Request'!$N$2:$N$422,V$1,'2025 Time Off Request'!$A$2:$A$422,$D32)</f>
        <v>0</v>
      </c>
      <c r="W32" s="10">
        <f>COUNTIFS('2025 Time Off Request'!$N$2:$N$422,W$1,'2025 Time Off Request'!$A$2:$A$422,$D32)</f>
        <v>0</v>
      </c>
      <c r="X32" s="10">
        <f>COUNTIFS('2025 Time Off Request'!$N$2:$N$422,X$1,'2025 Time Off Request'!$A$2:$A$422,$D32)</f>
        <v>0</v>
      </c>
      <c r="Y32" s="172">
        <f>COUNTIFS('2025 Time Off Request'!$N$2:$N$422,Y$1,'2025 Time Off Request'!$A$2:$A$422,$D32)</f>
        <v>0</v>
      </c>
      <c r="Z32" s="8"/>
      <c r="AA32" s="8"/>
      <c r="AB32" s="8"/>
    </row>
    <row r="33" spans="1:28" ht="15.75">
      <c r="B33" s="162" t="s">
        <v>45</v>
      </c>
      <c r="C33" s="26" t="s">
        <v>85</v>
      </c>
      <c r="D33" s="8" t="s">
        <v>86</v>
      </c>
      <c r="E33" s="187">
        <f>_xlfn.XLOOKUP(D33,'Contract Entitlement'!$D$4:$D$61,'Contract Entitlement'!$G$4:$G$61)</f>
        <v>43759</v>
      </c>
      <c r="F33" s="8"/>
      <c r="G33" s="180">
        <f>_xlfn.XLOOKUP(D33,'Contract Entitlement'!$D$4:$D$61,'Contract Entitlement'!$F$4:$F$61)</f>
        <v>15</v>
      </c>
      <c r="H33" s="180">
        <f>IF(YEAR(E33)=2025,IF(DAY(E33)&lt;15,CEILING(G33 * (12 - MONTH(E33) + 1) / 12,1),FLOOR(G33 * (12 - MONTH(E33) + 1) / 12,1)),IF(YEAR(E33)&lt;2025,G33,0))</f>
        <v>15</v>
      </c>
      <c r="I33" s="10">
        <f>SUM(N33:Y33)</f>
        <v>7</v>
      </c>
      <c r="J33" s="10">
        <f>COUNTIFS('2025 Time Off Request'!$A$2:$A$422,D33,'2025 Time Off Request'!$E$2:$E$422,"UNPAID")</f>
        <v>0</v>
      </c>
      <c r="K33" s="14">
        <f>H33-I33</f>
        <v>8</v>
      </c>
      <c r="L33" s="166">
        <f>K33/G33</f>
        <v>0.53333333333333333</v>
      </c>
      <c r="M33" s="8"/>
      <c r="N33" s="171">
        <f>COUNTIFS('2025 Time Off Request'!$N$2:$N$422,N$1,'2025 Time Off Request'!$A$2:$A$422,$D33)</f>
        <v>0</v>
      </c>
      <c r="O33" s="10">
        <f>COUNTIFS('2025 Time Off Request'!$N$2:$N$422,O$1,'2025 Time Off Request'!$A$2:$A$422,$D33)</f>
        <v>0</v>
      </c>
      <c r="P33" s="10">
        <f>COUNTIFS('2025 Time Off Request'!$N$2:$N$422,P$1,'2025 Time Off Request'!$A$2:$A$422,$D33)</f>
        <v>0</v>
      </c>
      <c r="Q33" s="10">
        <f>COUNTIFS('2025 Time Off Request'!$N$2:$N$422,Q$1,'2025 Time Off Request'!$A$2:$A$422,$D33)</f>
        <v>0</v>
      </c>
      <c r="R33" s="10">
        <f>COUNTIFS('2025 Time Off Request'!$N$2:$N$422,R$1,'2025 Time Off Request'!$A$2:$A$422,$D33)</f>
        <v>0</v>
      </c>
      <c r="S33" s="10">
        <f>COUNTIFS('2025 Time Off Request'!$N$2:$N$422,S$1,'2025 Time Off Request'!$A$2:$A$422,$D33)</f>
        <v>0</v>
      </c>
      <c r="T33" s="10">
        <f>COUNTIFS('2025 Time Off Request'!$N$2:$N$422,T$1,'2025 Time Off Request'!$A$2:$A$422,$D33)</f>
        <v>0</v>
      </c>
      <c r="U33" s="10">
        <f>COUNTIFS('2025 Time Off Request'!$N$2:$N$422,U$1,'2025 Time Off Request'!$A$2:$A$422,$D33)</f>
        <v>0</v>
      </c>
      <c r="V33" s="10">
        <f>COUNTIFS('2025 Time Off Request'!$N$2:$N$422,V$1,'2025 Time Off Request'!$A$2:$A$422,$D33)</f>
        <v>0</v>
      </c>
      <c r="W33" s="10">
        <f>COUNTIFS('2025 Time Off Request'!$N$2:$N$422,W$1,'2025 Time Off Request'!$A$2:$A$422,$D33)</f>
        <v>7</v>
      </c>
      <c r="X33" s="10">
        <f>COUNTIFS('2025 Time Off Request'!$N$2:$N$422,X$1,'2025 Time Off Request'!$A$2:$A$422,$D33)</f>
        <v>0</v>
      </c>
      <c r="Y33" s="172">
        <f>COUNTIFS('2025 Time Off Request'!$N$2:$N$422,Y$1,'2025 Time Off Request'!$A$2:$A$422,$D33)</f>
        <v>0</v>
      </c>
      <c r="Z33" s="8"/>
      <c r="AA33" s="8"/>
      <c r="AB33" s="8"/>
    </row>
    <row r="34" spans="1:28" ht="15.75">
      <c r="B34" s="162" t="s">
        <v>45</v>
      </c>
      <c r="C34" s="26" t="s">
        <v>60</v>
      </c>
      <c r="D34" s="8" t="s">
        <v>61</v>
      </c>
      <c r="E34" s="187">
        <f>_xlfn.XLOOKUP(D34,'Contract Entitlement'!$D$4:$D$61,'Contract Entitlement'!$G$4:$G$61)</f>
        <v>45831</v>
      </c>
      <c r="F34" s="8"/>
      <c r="G34" s="180">
        <f>_xlfn.XLOOKUP(D34,'Contract Entitlement'!$D$4:$D$61,'Contract Entitlement'!$F$4:$F$61)</f>
        <v>10</v>
      </c>
      <c r="H34" s="180">
        <f>IF(YEAR(E34)=2025,IF(DAY(E34)&lt;15,CEILING(G34 * (12 - MONTH(E34) + 1) / 12,1),FLOOR(G34 * (12 - MONTH(E34) + 1) / 12,1)),IF(YEAR(E34)&lt;2025,G34,0))</f>
        <v>5</v>
      </c>
      <c r="I34" s="10">
        <f>SUM(N34:Y34)</f>
        <v>1</v>
      </c>
      <c r="J34" s="10">
        <f>COUNTIFS('2025 Time Off Request'!$A$2:$A$422,D34,'2025 Time Off Request'!$E$2:$E$422,"UNPAID")</f>
        <v>0</v>
      </c>
      <c r="K34" s="14">
        <f>H34-I34</f>
        <v>4</v>
      </c>
      <c r="L34" s="166">
        <f>K34/G34</f>
        <v>0.4</v>
      </c>
      <c r="M34" s="8"/>
      <c r="N34" s="171">
        <f>COUNTIFS('2025 Time Off Request'!$N$2:$N$422,N$1,'2025 Time Off Request'!$A$2:$A$422,$D34)</f>
        <v>0</v>
      </c>
      <c r="O34" s="10">
        <f>COUNTIFS('2025 Time Off Request'!$N$2:$N$422,O$1,'2025 Time Off Request'!$A$2:$A$422,$D34)</f>
        <v>0</v>
      </c>
      <c r="P34" s="10">
        <f>COUNTIFS('2025 Time Off Request'!$N$2:$N$422,P$1,'2025 Time Off Request'!$A$2:$A$422,$D34)</f>
        <v>0</v>
      </c>
      <c r="Q34" s="10">
        <f>COUNTIFS('2025 Time Off Request'!$N$2:$N$422,Q$1,'2025 Time Off Request'!$A$2:$A$422,$D34)</f>
        <v>0</v>
      </c>
      <c r="R34" s="10">
        <f>COUNTIFS('2025 Time Off Request'!$N$2:$N$422,R$1,'2025 Time Off Request'!$A$2:$A$422,$D34)</f>
        <v>0</v>
      </c>
      <c r="S34" s="10">
        <f>COUNTIFS('2025 Time Off Request'!$N$2:$N$422,S$1,'2025 Time Off Request'!$A$2:$A$422,$D34)</f>
        <v>0</v>
      </c>
      <c r="T34" s="10">
        <f>COUNTIFS('2025 Time Off Request'!$N$2:$N$422,T$1,'2025 Time Off Request'!$A$2:$A$422,$D34)</f>
        <v>0</v>
      </c>
      <c r="U34" s="10">
        <f>COUNTIFS('2025 Time Off Request'!$N$2:$N$422,U$1,'2025 Time Off Request'!$A$2:$A$422,$D34)</f>
        <v>0</v>
      </c>
      <c r="V34" s="10">
        <f>COUNTIFS('2025 Time Off Request'!$N$2:$N$422,V$1,'2025 Time Off Request'!$A$2:$A$422,$D34)</f>
        <v>0</v>
      </c>
      <c r="W34" s="10">
        <f>COUNTIFS('2025 Time Off Request'!$N$2:$N$422,W$1,'2025 Time Off Request'!$A$2:$A$422,$D34)</f>
        <v>0</v>
      </c>
      <c r="X34" s="10">
        <f>COUNTIFS('2025 Time Off Request'!$N$2:$N$422,X$1,'2025 Time Off Request'!$A$2:$A$422,$D34)</f>
        <v>0</v>
      </c>
      <c r="Y34" s="172">
        <f>COUNTIFS('2025 Time Off Request'!$N$2:$N$422,Y$1,'2025 Time Off Request'!$A$2:$A$422,$D34)</f>
        <v>1</v>
      </c>
      <c r="Z34" s="8"/>
      <c r="AA34" s="8"/>
      <c r="AB34" s="8"/>
    </row>
    <row r="35" spans="1:28" ht="15.75">
      <c r="B35" s="162" t="s">
        <v>49</v>
      </c>
      <c r="C35" s="26" t="s">
        <v>66</v>
      </c>
      <c r="D35" s="8" t="s">
        <v>67</v>
      </c>
      <c r="E35" s="187">
        <f>_xlfn.XLOOKUP(D35,'Contract Entitlement'!$D$4:$D$61,'Contract Entitlement'!$G$4:$G$61)</f>
        <v>45964</v>
      </c>
      <c r="F35" s="8"/>
      <c r="G35" s="180">
        <f>_xlfn.XLOOKUP(D35,'Contract Entitlement'!$D$4:$D$61,'Contract Entitlement'!$F$4:$F$61)</f>
        <v>15</v>
      </c>
      <c r="H35" s="180">
        <f>IF(YEAR(E35)=2025,IF(DAY(E35)&lt;15,CEILING(G35 * (12 - MONTH(E35) + 1) / 12,1),FLOOR(G35 * (12 - MONTH(E35) + 1) / 12,1)),IF(YEAR(E35)&lt;2025,G35,0))</f>
        <v>3</v>
      </c>
      <c r="I35" s="10">
        <f>SUM(N35:Y35)</f>
        <v>0</v>
      </c>
      <c r="J35" s="10">
        <f>COUNTIFS('2025 Time Off Request'!$A$2:$A$422,D35,'2025 Time Off Request'!$E$2:$E$422,"UNPAID")</f>
        <v>0</v>
      </c>
      <c r="K35" s="14">
        <f>H35-I35</f>
        <v>3</v>
      </c>
      <c r="L35" s="166">
        <f>K35/G35</f>
        <v>0.2</v>
      </c>
      <c r="M35" s="8"/>
      <c r="N35" s="171">
        <f>COUNTIFS('2025 Time Off Request'!$N$2:$N$422,N$1,'2025 Time Off Request'!$A$2:$A$422,$D35)</f>
        <v>0</v>
      </c>
      <c r="O35" s="10">
        <f>COUNTIFS('2025 Time Off Request'!$N$2:$N$422,O$1,'2025 Time Off Request'!$A$2:$A$422,$D35)</f>
        <v>0</v>
      </c>
      <c r="P35" s="10">
        <f>COUNTIFS('2025 Time Off Request'!$N$2:$N$422,P$1,'2025 Time Off Request'!$A$2:$A$422,$D35)</f>
        <v>0</v>
      </c>
      <c r="Q35" s="10">
        <f>COUNTIFS('2025 Time Off Request'!$N$2:$N$422,Q$1,'2025 Time Off Request'!$A$2:$A$422,$D35)</f>
        <v>0</v>
      </c>
      <c r="R35" s="10">
        <f>COUNTIFS('2025 Time Off Request'!$N$2:$N$422,R$1,'2025 Time Off Request'!$A$2:$A$422,$D35)</f>
        <v>0</v>
      </c>
      <c r="S35" s="10">
        <f>COUNTIFS('2025 Time Off Request'!$N$2:$N$422,S$1,'2025 Time Off Request'!$A$2:$A$422,$D35)</f>
        <v>0</v>
      </c>
      <c r="T35" s="10">
        <f>COUNTIFS('2025 Time Off Request'!$N$2:$N$422,T$1,'2025 Time Off Request'!$A$2:$A$422,$D35)</f>
        <v>0</v>
      </c>
      <c r="U35" s="10">
        <f>COUNTIFS('2025 Time Off Request'!$N$2:$N$422,U$1,'2025 Time Off Request'!$A$2:$A$422,$D35)</f>
        <v>0</v>
      </c>
      <c r="V35" s="10">
        <f>COUNTIFS('2025 Time Off Request'!$N$2:$N$422,V$1,'2025 Time Off Request'!$A$2:$A$422,$D35)</f>
        <v>0</v>
      </c>
      <c r="W35" s="10">
        <f>COUNTIFS('2025 Time Off Request'!$N$2:$N$422,W$1,'2025 Time Off Request'!$A$2:$A$422,$D35)</f>
        <v>0</v>
      </c>
      <c r="X35" s="10">
        <f>COUNTIFS('2025 Time Off Request'!$N$2:$N$422,X$1,'2025 Time Off Request'!$A$2:$A$422,$D35)</f>
        <v>0</v>
      </c>
      <c r="Y35" s="172">
        <f>COUNTIFS('2025 Time Off Request'!$N$2:$N$422,Y$1,'2025 Time Off Request'!$A$2:$A$422,$D35)</f>
        <v>0</v>
      </c>
      <c r="Z35" s="8"/>
      <c r="AA35" s="8"/>
      <c r="AB35" s="8"/>
    </row>
    <row r="36" spans="1:28" ht="15.75">
      <c r="B36" s="162" t="s">
        <v>49</v>
      </c>
      <c r="C36" s="26" t="s">
        <v>50</v>
      </c>
      <c r="D36" s="8" t="s">
        <v>51</v>
      </c>
      <c r="E36" s="187">
        <f>_xlfn.XLOOKUP(D36,'Contract Entitlement'!$D$4:$D$61,'Contract Entitlement'!$G$4:$G$61)</f>
        <v>45797</v>
      </c>
      <c r="F36" s="8"/>
      <c r="G36" s="180">
        <f>_xlfn.XLOOKUP(D36,'Contract Entitlement'!$D$4:$D$61,'Contract Entitlement'!$F$4:$F$61)</f>
        <v>20</v>
      </c>
      <c r="H36" s="180">
        <f>IF(YEAR(E36)=2025,IF(DAY(E36)&lt;15,CEILING(G36 * (12 - MONTH(E36) + 1) / 12,1),FLOOR(G36 * (12 - MONTH(E36) + 1) / 12,1)),IF(YEAR(E36)&lt;2025,G36,0))</f>
        <v>13</v>
      </c>
      <c r="I36" s="10">
        <f>SUM(N36:Y36)</f>
        <v>2</v>
      </c>
      <c r="J36" s="10">
        <f>COUNTIFS('2025 Time Off Request'!$A$2:$A$422,D36,'2025 Time Off Request'!$E$2:$E$422,"UNPAID")</f>
        <v>0</v>
      </c>
      <c r="K36" s="14">
        <f>H36-I36</f>
        <v>11</v>
      </c>
      <c r="L36" s="166">
        <f>K36/G36</f>
        <v>0.55000000000000004</v>
      </c>
      <c r="M36" s="8"/>
      <c r="N36" s="171">
        <f>COUNTIFS('2025 Time Off Request'!$N$2:$N$422,N$1,'2025 Time Off Request'!$A$2:$A$422,$D36)</f>
        <v>0</v>
      </c>
      <c r="O36" s="10">
        <f>COUNTIFS('2025 Time Off Request'!$N$2:$N$422,O$1,'2025 Time Off Request'!$A$2:$A$422,$D36)</f>
        <v>0</v>
      </c>
      <c r="P36" s="10">
        <f>COUNTIFS('2025 Time Off Request'!$N$2:$N$422,P$1,'2025 Time Off Request'!$A$2:$A$422,$D36)</f>
        <v>0</v>
      </c>
      <c r="Q36" s="10">
        <f>COUNTIFS('2025 Time Off Request'!$N$2:$N$422,Q$1,'2025 Time Off Request'!$A$2:$A$422,$D36)</f>
        <v>0</v>
      </c>
      <c r="R36" s="10">
        <f>COUNTIFS('2025 Time Off Request'!$N$2:$N$422,R$1,'2025 Time Off Request'!$A$2:$A$422,$D36)</f>
        <v>0</v>
      </c>
      <c r="S36" s="10">
        <f>COUNTIFS('2025 Time Off Request'!$N$2:$N$422,S$1,'2025 Time Off Request'!$A$2:$A$422,$D36)</f>
        <v>0</v>
      </c>
      <c r="T36" s="10">
        <f>COUNTIFS('2025 Time Off Request'!$N$2:$N$422,T$1,'2025 Time Off Request'!$A$2:$A$422,$D36)</f>
        <v>0</v>
      </c>
      <c r="U36" s="10">
        <f>COUNTIFS('2025 Time Off Request'!$N$2:$N$422,U$1,'2025 Time Off Request'!$A$2:$A$422,$D36)</f>
        <v>0</v>
      </c>
      <c r="V36" s="10">
        <f>COUNTIFS('2025 Time Off Request'!$N$2:$N$422,V$1,'2025 Time Off Request'!$A$2:$A$422,$D36)</f>
        <v>0</v>
      </c>
      <c r="W36" s="10">
        <f>COUNTIFS('2025 Time Off Request'!$N$2:$N$422,W$1,'2025 Time Off Request'!$A$2:$A$422,$D36)</f>
        <v>0</v>
      </c>
      <c r="X36" s="10">
        <f>COUNTIFS('2025 Time Off Request'!$N$2:$N$422,X$1,'2025 Time Off Request'!$A$2:$A$422,$D36)</f>
        <v>0</v>
      </c>
      <c r="Y36" s="172">
        <f>COUNTIFS('2025 Time Off Request'!$N$2:$N$422,Y$1,'2025 Time Off Request'!$A$2:$A$422,$D36)</f>
        <v>2</v>
      </c>
      <c r="Z36" s="8"/>
      <c r="AA36" s="8"/>
      <c r="AB36" s="8"/>
    </row>
    <row r="37" spans="1:28" ht="15.75">
      <c r="B37" s="163" t="s">
        <v>45</v>
      </c>
      <c r="C37" s="160" t="s">
        <v>52</v>
      </c>
      <c r="D37" s="188" t="s">
        <v>53</v>
      </c>
      <c r="E37" s="189">
        <f>_xlfn.XLOOKUP(D37,'Contract Entitlement'!$D$4:$D$61,'Contract Entitlement'!$G$4:$G$61)</f>
        <v>45882</v>
      </c>
      <c r="F37" s="8"/>
      <c r="G37" s="182">
        <f>_xlfn.XLOOKUP(D37,'Contract Entitlement'!$D$4:$D$61,'Contract Entitlement'!$F$4:$F$61)</f>
        <v>15</v>
      </c>
      <c r="H37" s="182">
        <v>4</v>
      </c>
      <c r="I37" s="161">
        <f>SUM(N37:Y37)</f>
        <v>0</v>
      </c>
      <c r="J37" s="161">
        <f>COUNTIFS('2025 Time Off Request'!$A$2:$A$422,D37,'2025 Time Off Request'!$E$2:$E$422,"UNPAID")</f>
        <v>0</v>
      </c>
      <c r="K37" s="167">
        <f>H37-I37</f>
        <v>4</v>
      </c>
      <c r="L37" s="168">
        <f>K37/G37</f>
        <v>0.26666666666666666</v>
      </c>
      <c r="M37" s="8"/>
      <c r="N37" s="173">
        <f>COUNTIFS('2025 Time Off Request'!$N$2:$N$422,N$1,'2025 Time Off Request'!$A$2:$A$422,$D37)</f>
        <v>0</v>
      </c>
      <c r="O37" s="161">
        <f>COUNTIFS('2025 Time Off Request'!$N$2:$N$422,O$1,'2025 Time Off Request'!$A$2:$A$422,$D37)</f>
        <v>0</v>
      </c>
      <c r="P37" s="161">
        <f>COUNTIFS('2025 Time Off Request'!$N$2:$N$422,P$1,'2025 Time Off Request'!$A$2:$A$422,$D37)</f>
        <v>0</v>
      </c>
      <c r="Q37" s="161">
        <f>COUNTIFS('2025 Time Off Request'!$N$2:$N$422,Q$1,'2025 Time Off Request'!$A$2:$A$422,$D37)</f>
        <v>0</v>
      </c>
      <c r="R37" s="161">
        <f>COUNTIFS('2025 Time Off Request'!$N$2:$N$422,R$1,'2025 Time Off Request'!$A$2:$A$422,$D37)</f>
        <v>0</v>
      </c>
      <c r="S37" s="161">
        <f>COUNTIFS('2025 Time Off Request'!$N$2:$N$422,S$1,'2025 Time Off Request'!$A$2:$A$422,$D37)</f>
        <v>0</v>
      </c>
      <c r="T37" s="161">
        <f>COUNTIFS('2025 Time Off Request'!$N$2:$N$422,T$1,'2025 Time Off Request'!$A$2:$A$422,$D37)</f>
        <v>0</v>
      </c>
      <c r="U37" s="161">
        <f>COUNTIFS('2025 Time Off Request'!$N$2:$N$422,U$1,'2025 Time Off Request'!$A$2:$A$422,$D37)</f>
        <v>0</v>
      </c>
      <c r="V37" s="161">
        <f>COUNTIFS('2025 Time Off Request'!$N$2:$N$422,V$1,'2025 Time Off Request'!$A$2:$A$422,$D37)</f>
        <v>0</v>
      </c>
      <c r="W37" s="161">
        <f>COUNTIFS('2025 Time Off Request'!$N$2:$N$422,W$1,'2025 Time Off Request'!$A$2:$A$422,$D37)</f>
        <v>0</v>
      </c>
      <c r="X37" s="161">
        <f>COUNTIFS('2025 Time Off Request'!$N$2:$N$422,X$1,'2025 Time Off Request'!$A$2:$A$422,$D37)</f>
        <v>0</v>
      </c>
      <c r="Y37" s="174">
        <f>COUNTIFS('2025 Time Off Request'!$N$2:$N$422,Y$1,'2025 Time Off Request'!$A$2:$A$422,$D37)</f>
        <v>0</v>
      </c>
      <c r="Z37" s="8"/>
      <c r="AA37" s="8"/>
      <c r="AB37" s="8"/>
    </row>
    <row r="38" spans="1:28">
      <c r="B38" s="32"/>
      <c r="C38" s="26"/>
      <c r="D38" s="8"/>
      <c r="E38" s="8"/>
      <c r="F38" s="8"/>
      <c r="I38" s="11"/>
      <c r="J38" s="11"/>
      <c r="K38" s="11"/>
      <c r="L38" s="12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>
      <c r="A39" s="2">
        <f>+COUNT(A4:A37)</f>
        <v>0</v>
      </c>
      <c r="B39" s="124"/>
      <c r="C39" s="120" t="s">
        <v>92</v>
      </c>
      <c r="D39" s="125"/>
      <c r="E39" s="8"/>
      <c r="F39" s="8"/>
      <c r="G39" s="183">
        <f>+SUM(G4:G37)</f>
        <v>500</v>
      </c>
      <c r="H39" s="184">
        <f>+SUM(H4:H37)</f>
        <v>418</v>
      </c>
      <c r="I39" s="121">
        <f>+SUM(I4:I37)</f>
        <v>280</v>
      </c>
      <c r="J39" s="121">
        <f>+SUM(J4:J37)</f>
        <v>11</v>
      </c>
      <c r="K39" s="121">
        <f>+SUM(K4:K37)</f>
        <v>138</v>
      </c>
      <c r="L39" s="129">
        <f t="shared" ref="L39" si="0">K39/G39</f>
        <v>0.27600000000000002</v>
      </c>
      <c r="M39" s="8"/>
      <c r="N39" s="134">
        <f>+SUM(N4:N37)</f>
        <v>10</v>
      </c>
      <c r="O39" s="121">
        <f>+SUM(O4:O37)</f>
        <v>8</v>
      </c>
      <c r="P39" s="121">
        <f t="shared" ref="P39:Y39" si="1">+SUM(P4:P37)</f>
        <v>16</v>
      </c>
      <c r="Q39" s="121">
        <f t="shared" si="1"/>
        <v>18</v>
      </c>
      <c r="R39" s="121">
        <f t="shared" si="1"/>
        <v>31</v>
      </c>
      <c r="S39" s="121">
        <f t="shared" si="1"/>
        <v>31</v>
      </c>
      <c r="T39" s="121">
        <f t="shared" si="1"/>
        <v>33</v>
      </c>
      <c r="U39" s="121">
        <f t="shared" si="1"/>
        <v>43</v>
      </c>
      <c r="V39" s="121">
        <f t="shared" si="1"/>
        <v>15</v>
      </c>
      <c r="W39" s="121">
        <f t="shared" si="1"/>
        <v>24</v>
      </c>
      <c r="X39" s="121">
        <f t="shared" si="1"/>
        <v>10</v>
      </c>
      <c r="Y39" s="135">
        <f t="shared" si="1"/>
        <v>41</v>
      </c>
      <c r="Z39" s="8"/>
      <c r="AA39" s="8"/>
      <c r="AB39" s="8"/>
    </row>
    <row r="40" spans="1:28">
      <c r="B40" s="32"/>
      <c r="C40" s="8"/>
      <c r="D40" s="8"/>
      <c r="E40" s="8"/>
      <c r="F40" s="8"/>
      <c r="I40" s="11"/>
      <c r="J40" s="11"/>
      <c r="K40" s="11"/>
      <c r="L40" s="12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>
      <c r="B41" s="32"/>
      <c r="C41" s="8"/>
      <c r="D41" s="8"/>
      <c r="E41" s="8"/>
      <c r="F41" s="8"/>
      <c r="I41" s="11"/>
      <c r="J41" s="11"/>
      <c r="K41" s="11"/>
      <c r="L41" s="12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>
      <c r="B42" s="32"/>
      <c r="C42" s="8"/>
      <c r="D42" s="8"/>
      <c r="E42" s="8"/>
      <c r="F42" s="8"/>
      <c r="I42" s="11"/>
      <c r="J42" s="11"/>
      <c r="K42" s="11"/>
      <c r="L42" s="12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>
      <c r="B43" s="32"/>
      <c r="C43" s="26"/>
      <c r="D43" s="8"/>
      <c r="E43" s="8"/>
      <c r="F43" s="8"/>
      <c r="I43" s="11"/>
      <c r="J43" s="11"/>
      <c r="K43" s="11"/>
      <c r="L43" s="12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>
      <c r="B44" s="32"/>
      <c r="C44" s="26"/>
      <c r="D44" s="8"/>
      <c r="E44" s="8"/>
      <c r="F44" s="8"/>
      <c r="I44" s="11"/>
      <c r="J44" s="11"/>
      <c r="K44" s="11"/>
      <c r="L44" s="12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>
      <c r="B45" s="32"/>
      <c r="C45" s="26"/>
      <c r="D45" s="8"/>
      <c r="E45" s="8"/>
      <c r="F45" s="8"/>
      <c r="I45" s="11"/>
      <c r="J45" s="11"/>
      <c r="K45" s="11"/>
      <c r="L45" s="12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>
      <c r="B46" s="32"/>
      <c r="C46" s="26"/>
      <c r="D46" s="8"/>
      <c r="E46" s="8"/>
      <c r="F46" s="8"/>
      <c r="I46" s="11"/>
      <c r="J46" s="11"/>
      <c r="K46" s="11"/>
      <c r="L46" s="12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>
      <c r="B47" s="32"/>
      <c r="C47" s="26"/>
      <c r="D47" s="8"/>
      <c r="E47" s="8"/>
      <c r="F47" s="8"/>
      <c r="I47" s="11"/>
      <c r="J47" s="11"/>
      <c r="K47" s="11"/>
      <c r="L47" s="12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>
      <c r="B48" s="32"/>
      <c r="C48" s="26"/>
      <c r="D48" s="8"/>
      <c r="E48" s="8"/>
      <c r="F48" s="8"/>
      <c r="I48" s="11"/>
      <c r="J48" s="11"/>
      <c r="K48" s="11"/>
      <c r="L48" s="12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2:28">
      <c r="B49" s="32"/>
      <c r="C49" s="26"/>
      <c r="D49" s="8"/>
      <c r="E49" s="8"/>
      <c r="F49" s="8"/>
      <c r="I49" s="11"/>
      <c r="J49" s="11"/>
      <c r="K49" s="11"/>
      <c r="L49" s="12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2:28">
      <c r="B50" s="32"/>
      <c r="C50" s="26"/>
      <c r="D50" s="8"/>
      <c r="E50" s="8"/>
      <c r="F50" s="8"/>
      <c r="I50" s="11"/>
      <c r="J50" s="11"/>
      <c r="K50" s="11"/>
      <c r="L50" s="12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2:28">
      <c r="B51" s="32"/>
      <c r="C51" s="26"/>
      <c r="D51" s="8"/>
      <c r="E51" s="8"/>
      <c r="F51" s="8"/>
      <c r="I51" s="11"/>
      <c r="J51" s="11"/>
      <c r="K51" s="11"/>
      <c r="L51" s="12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</sheetData>
  <autoFilter ref="A3:AB3" xr:uid="{D63991FF-A34F-42A8-BCCB-498E34F54A12}">
    <sortState xmlns:xlrd2="http://schemas.microsoft.com/office/spreadsheetml/2017/richdata2" ref="A4:AB38">
      <sortCondition ref="C3"/>
    </sortState>
  </autoFilter>
  <mergeCells count="3">
    <mergeCell ref="G2:L2"/>
    <mergeCell ref="N2:Y2"/>
    <mergeCell ref="B2:E2"/>
  </mergeCells>
  <conditionalFormatting sqref="L4:L37">
    <cfRule type="cellIs" dxfId="20" priority="6" operator="between">
      <formula>0.51</formula>
      <formula>0.99</formula>
    </cfRule>
    <cfRule type="cellIs" dxfId="19" priority="7" operator="lessThanOrEqual">
      <formula>50%</formula>
    </cfRule>
    <cfRule type="cellIs" dxfId="18" priority="8" operator="equal">
      <formula>100%</formula>
    </cfRule>
  </conditionalFormatting>
  <conditionalFormatting sqref="L39">
    <cfRule type="cellIs" dxfId="17" priority="3" operator="between">
      <formula>0.51</formula>
      <formula>0.99</formula>
    </cfRule>
    <cfRule type="cellIs" dxfId="16" priority="4" operator="lessThanOrEqual">
      <formula>50%</formula>
    </cfRule>
    <cfRule type="cellIs" dxfId="15" priority="5" operator="equal">
      <formula>100%</formula>
    </cfRule>
  </conditionalFormatting>
  <conditionalFormatting sqref="M52:M1048576">
    <cfRule type="cellIs" dxfId="14" priority="9" operator="greaterThan">
      <formula>0.9</formula>
    </cfRule>
  </conditionalFormatting>
  <conditionalFormatting sqref="N4:Y37">
    <cfRule type="cellIs" dxfId="13" priority="1" operator="greaterThan">
      <formula>0</formula>
    </cfRule>
  </conditionalFormatting>
  <conditionalFormatting sqref="N39:Y39">
    <cfRule type="cellIs" dxfId="12" priority="2" operator="greaterThan">
      <formula>0</formula>
    </cfRule>
  </conditionalFormatting>
  <dataValidations count="1">
    <dataValidation allowBlank="1" showInputMessage="1" showErrorMessage="1" sqref="K1:L1 K3:L7 O1:Y1 K40:M1048576 M1:M7 L39:M39 O3:Y1048576 Z1:AA1048576 A1:A1048576 F1:F1048576 N1:N1048576 K7:M38" xr:uid="{9257D687-426E-4BD9-B908-2F39FFD49E5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A3BF-D31D-476D-9EAA-3C3EA1887F14}">
  <sheetPr>
    <tabColor rgb="FFC00000"/>
  </sheetPr>
  <dimension ref="A1:AO56"/>
  <sheetViews>
    <sheetView showGridLines="0" workbookViewId="0">
      <pane xSplit="4" ySplit="7" topLeftCell="E30" activePane="bottomRight" state="frozen"/>
      <selection pane="bottomRight" activeCell="F8" sqref="F8:H10"/>
      <selection pane="bottomLeft"/>
      <selection pane="topRight"/>
    </sheetView>
  </sheetViews>
  <sheetFormatPr defaultColWidth="9.140625" defaultRowHeight="14.45"/>
  <cols>
    <col min="1" max="1" width="3.28515625" style="35" bestFit="1" customWidth="1"/>
    <col min="2" max="2" width="9.140625" style="35"/>
    <col min="3" max="3" width="22.7109375" style="35" bestFit="1" customWidth="1"/>
    <col min="4" max="4" width="27.140625" style="35" customWidth="1"/>
    <col min="5" max="5" width="15" style="35" customWidth="1"/>
    <col min="6" max="6" width="17.140625" style="60" customWidth="1"/>
    <col min="7" max="14" width="17.42578125" style="35" bestFit="1" customWidth="1"/>
    <col min="15" max="17" width="18.42578125" style="35" bestFit="1" customWidth="1"/>
    <col min="18" max="19" width="18.42578125" style="48" bestFit="1" customWidth="1"/>
    <col min="20" max="24" width="18.42578125" style="35" bestFit="1" customWidth="1"/>
    <col min="25" max="26" width="18.42578125" style="48" bestFit="1" customWidth="1"/>
    <col min="27" max="29" width="18.42578125" style="35" bestFit="1" customWidth="1"/>
    <col min="30" max="31" width="18.42578125" style="51" bestFit="1" customWidth="1"/>
    <col min="32" max="33" width="18.42578125" style="48" bestFit="1" customWidth="1"/>
    <col min="34" max="36" width="18.42578125" style="35" bestFit="1" customWidth="1"/>
    <col min="37" max="16384" width="9.140625" style="35"/>
  </cols>
  <sheetData>
    <row r="1" spans="1:41" customFormat="1">
      <c r="F1" s="57"/>
    </row>
    <row r="2" spans="1:41" s="42" customFormat="1" ht="18.75" customHeight="1">
      <c r="D2" s="43" t="s">
        <v>95</v>
      </c>
      <c r="F2" s="58">
        <f>COUNTA($D$8:$D$49)</f>
        <v>35</v>
      </c>
      <c r="G2" s="42">
        <f t="shared" ref="G2:AJ2" si="0">COUNTA($D$8:$D$49)</f>
        <v>35</v>
      </c>
      <c r="H2" s="42">
        <f t="shared" si="0"/>
        <v>35</v>
      </c>
      <c r="I2" s="42">
        <f t="shared" si="0"/>
        <v>35</v>
      </c>
      <c r="J2" s="42">
        <f t="shared" si="0"/>
        <v>35</v>
      </c>
      <c r="K2" s="46">
        <f t="shared" si="0"/>
        <v>35</v>
      </c>
      <c r="L2" s="46">
        <f t="shared" si="0"/>
        <v>35</v>
      </c>
      <c r="M2" s="42">
        <f t="shared" si="0"/>
        <v>35</v>
      </c>
      <c r="N2" s="42">
        <f t="shared" si="0"/>
        <v>35</v>
      </c>
      <c r="O2" s="42">
        <f t="shared" si="0"/>
        <v>35</v>
      </c>
      <c r="P2" s="42">
        <f t="shared" si="0"/>
        <v>35</v>
      </c>
      <c r="Q2" s="42">
        <f t="shared" si="0"/>
        <v>35</v>
      </c>
      <c r="R2" s="46">
        <f t="shared" si="0"/>
        <v>35</v>
      </c>
      <c r="S2" s="46">
        <f t="shared" si="0"/>
        <v>35</v>
      </c>
      <c r="T2" s="42">
        <f t="shared" si="0"/>
        <v>35</v>
      </c>
      <c r="U2" s="42">
        <f t="shared" si="0"/>
        <v>35</v>
      </c>
      <c r="V2" s="42">
        <f t="shared" si="0"/>
        <v>35</v>
      </c>
      <c r="W2" s="42">
        <f t="shared" si="0"/>
        <v>35</v>
      </c>
      <c r="X2" s="42">
        <f t="shared" si="0"/>
        <v>35</v>
      </c>
      <c r="Y2" s="46">
        <f t="shared" si="0"/>
        <v>35</v>
      </c>
      <c r="Z2" s="46">
        <f t="shared" si="0"/>
        <v>35</v>
      </c>
      <c r="AA2" s="42">
        <f t="shared" si="0"/>
        <v>35</v>
      </c>
      <c r="AB2" s="42">
        <f t="shared" si="0"/>
        <v>35</v>
      </c>
      <c r="AC2" s="42">
        <f t="shared" si="0"/>
        <v>35</v>
      </c>
      <c r="AD2" s="49">
        <f t="shared" si="0"/>
        <v>35</v>
      </c>
      <c r="AE2" s="49">
        <f t="shared" si="0"/>
        <v>35</v>
      </c>
      <c r="AF2" s="46">
        <f t="shared" si="0"/>
        <v>35</v>
      </c>
      <c r="AG2" s="46">
        <f t="shared" si="0"/>
        <v>35</v>
      </c>
      <c r="AH2" s="42">
        <f t="shared" si="0"/>
        <v>35</v>
      </c>
      <c r="AI2" s="42">
        <f t="shared" si="0"/>
        <v>35</v>
      </c>
      <c r="AJ2" s="42">
        <f t="shared" si="0"/>
        <v>35</v>
      </c>
    </row>
    <row r="3" spans="1:41" s="42" customFormat="1" ht="12">
      <c r="A3" s="43"/>
      <c r="C3" s="43"/>
      <c r="D3" s="43" t="s">
        <v>96</v>
      </c>
      <c r="E3" s="43"/>
      <c r="F3" s="58">
        <f>SUM(F8:F46)</f>
        <v>0</v>
      </c>
      <c r="G3" s="42">
        <f t="shared" ref="G3:AI3" si="1">SUM(G8:G46)</f>
        <v>0</v>
      </c>
      <c r="H3" s="42">
        <f t="shared" si="1"/>
        <v>0</v>
      </c>
      <c r="I3" s="42">
        <f t="shared" si="1"/>
        <v>0</v>
      </c>
      <c r="J3" s="42">
        <f t="shared" si="1"/>
        <v>0</v>
      </c>
      <c r="K3" s="46">
        <f t="shared" si="1"/>
        <v>0</v>
      </c>
      <c r="L3" s="46">
        <f t="shared" si="1"/>
        <v>0</v>
      </c>
      <c r="M3" s="42">
        <f>SUM(M8:M46)</f>
        <v>0</v>
      </c>
      <c r="N3" s="42">
        <f t="shared" si="1"/>
        <v>0</v>
      </c>
      <c r="O3" s="42">
        <f t="shared" si="1"/>
        <v>0</v>
      </c>
      <c r="P3" s="42">
        <f t="shared" si="1"/>
        <v>0</v>
      </c>
      <c r="Q3" s="42">
        <f t="shared" si="1"/>
        <v>0</v>
      </c>
      <c r="R3" s="46">
        <f>SUM(R8:R46)</f>
        <v>0</v>
      </c>
      <c r="S3" s="46">
        <f t="shared" si="1"/>
        <v>0</v>
      </c>
      <c r="T3" s="42">
        <f t="shared" si="1"/>
        <v>0</v>
      </c>
      <c r="U3" s="42">
        <f t="shared" si="1"/>
        <v>0</v>
      </c>
      <c r="V3" s="42">
        <f t="shared" si="1"/>
        <v>0</v>
      </c>
      <c r="W3" s="42">
        <f>SUM(W8:W46)</f>
        <v>0</v>
      </c>
      <c r="X3" s="42">
        <f t="shared" si="1"/>
        <v>0</v>
      </c>
      <c r="Y3" s="46">
        <f t="shared" si="1"/>
        <v>0</v>
      </c>
      <c r="Z3" s="46">
        <f t="shared" si="1"/>
        <v>0</v>
      </c>
      <c r="AA3" s="42">
        <f t="shared" si="1"/>
        <v>0</v>
      </c>
      <c r="AB3" s="42">
        <f t="shared" si="1"/>
        <v>0</v>
      </c>
      <c r="AC3" s="42">
        <f t="shared" si="1"/>
        <v>0</v>
      </c>
      <c r="AD3" s="49">
        <f>SUM(AD8:AD46)</f>
        <v>0</v>
      </c>
      <c r="AE3" s="49">
        <f t="shared" si="1"/>
        <v>0</v>
      </c>
      <c r="AF3" s="46">
        <f>SUM(AF8:AF46)</f>
        <v>0</v>
      </c>
      <c r="AG3" s="46">
        <f t="shared" si="1"/>
        <v>0</v>
      </c>
      <c r="AH3" s="42">
        <f t="shared" si="1"/>
        <v>0</v>
      </c>
      <c r="AI3" s="42">
        <f t="shared" si="1"/>
        <v>0</v>
      </c>
      <c r="AJ3" s="42">
        <f>SUM(AJ8:AJ46)</f>
        <v>0</v>
      </c>
    </row>
    <row r="4" spans="1:41" s="42" customFormat="1" ht="12">
      <c r="A4" s="43"/>
      <c r="B4" s="44"/>
      <c r="C4" s="43"/>
      <c r="D4" s="43" t="s">
        <v>97</v>
      </c>
      <c r="E4" s="43"/>
      <c r="F4" s="59">
        <f>(COUNTA($D$8:$D$46)-F$3)/(COUNTA($D$8:$D$46))</f>
        <v>1</v>
      </c>
      <c r="G4" s="45">
        <f t="shared" ref="G4:AJ4" si="2">(COUNTA($D$8:$D$46)-G$3)/(COUNTA($D$8:$D$46))</f>
        <v>1</v>
      </c>
      <c r="H4" s="45">
        <f t="shared" si="2"/>
        <v>1</v>
      </c>
      <c r="I4" s="45">
        <f t="shared" si="2"/>
        <v>1</v>
      </c>
      <c r="J4" s="45">
        <f t="shared" si="2"/>
        <v>1</v>
      </c>
      <c r="K4" s="47">
        <f t="shared" si="2"/>
        <v>1</v>
      </c>
      <c r="L4" s="47">
        <f t="shared" si="2"/>
        <v>1</v>
      </c>
      <c r="M4" s="45">
        <f t="shared" si="2"/>
        <v>1</v>
      </c>
      <c r="N4" s="45">
        <f t="shared" si="2"/>
        <v>1</v>
      </c>
      <c r="O4" s="45">
        <f t="shared" si="2"/>
        <v>1</v>
      </c>
      <c r="P4" s="45">
        <f t="shared" si="2"/>
        <v>1</v>
      </c>
      <c r="Q4" s="45">
        <f t="shared" si="2"/>
        <v>1</v>
      </c>
      <c r="R4" s="47">
        <f>(COUNTA($D$8:$D$46)-R$3)/(COUNTA($D$8:$D$46))</f>
        <v>1</v>
      </c>
      <c r="S4" s="47">
        <f t="shared" si="2"/>
        <v>1</v>
      </c>
      <c r="T4" s="45">
        <f t="shared" si="2"/>
        <v>1</v>
      </c>
      <c r="U4" s="45">
        <f t="shared" si="2"/>
        <v>1</v>
      </c>
      <c r="V4" s="45">
        <f t="shared" si="2"/>
        <v>1</v>
      </c>
      <c r="W4" s="45">
        <f t="shared" si="2"/>
        <v>1</v>
      </c>
      <c r="X4" s="45">
        <f t="shared" si="2"/>
        <v>1</v>
      </c>
      <c r="Y4" s="47">
        <f t="shared" si="2"/>
        <v>1</v>
      </c>
      <c r="Z4" s="47">
        <f t="shared" si="2"/>
        <v>1</v>
      </c>
      <c r="AA4" s="45">
        <f t="shared" si="2"/>
        <v>1</v>
      </c>
      <c r="AB4" s="45">
        <f t="shared" si="2"/>
        <v>1</v>
      </c>
      <c r="AC4" s="45">
        <f t="shared" si="2"/>
        <v>1</v>
      </c>
      <c r="AD4" s="50">
        <f t="shared" si="2"/>
        <v>1</v>
      </c>
      <c r="AE4" s="50">
        <f t="shared" si="2"/>
        <v>1</v>
      </c>
      <c r="AF4" s="47">
        <f t="shared" si="2"/>
        <v>1</v>
      </c>
      <c r="AG4" s="47">
        <f t="shared" si="2"/>
        <v>1</v>
      </c>
      <c r="AH4" s="45">
        <f t="shared" si="2"/>
        <v>1</v>
      </c>
      <c r="AI4" s="45">
        <f t="shared" si="2"/>
        <v>1</v>
      </c>
      <c r="AJ4" s="45">
        <f t="shared" si="2"/>
        <v>1</v>
      </c>
    </row>
    <row r="5" spans="1:41" s="42" customFormat="1" ht="8.25" customHeight="1">
      <c r="A5" s="43"/>
      <c r="B5" s="44"/>
      <c r="C5" s="43"/>
      <c r="D5" s="43"/>
      <c r="E5" s="43"/>
      <c r="F5" s="59"/>
      <c r="G5" s="45"/>
      <c r="H5" s="45"/>
      <c r="I5" s="45"/>
      <c r="J5" s="45"/>
      <c r="K5" s="47"/>
      <c r="L5" s="47"/>
      <c r="M5" s="45"/>
      <c r="N5" s="45"/>
      <c r="O5" s="45"/>
      <c r="P5" s="45"/>
      <c r="Q5" s="45"/>
      <c r="R5" s="47"/>
      <c r="S5" s="47"/>
      <c r="T5" s="45"/>
      <c r="U5" s="45"/>
      <c r="V5" s="45"/>
      <c r="W5" s="45"/>
      <c r="X5" s="45"/>
      <c r="Y5" s="47"/>
      <c r="Z5" s="47"/>
      <c r="AA5" s="45"/>
      <c r="AB5" s="45"/>
      <c r="AC5" s="45"/>
      <c r="AD5" s="50"/>
      <c r="AE5" s="50"/>
      <c r="AF5" s="47"/>
      <c r="AG5" s="47"/>
      <c r="AH5" s="45"/>
      <c r="AI5" s="45"/>
      <c r="AJ5" s="45"/>
    </row>
    <row r="6" spans="1:41" s="69" customFormat="1" ht="34.5" customHeight="1">
      <c r="A6" s="61"/>
      <c r="B6" s="243" t="s">
        <v>0</v>
      </c>
      <c r="C6" s="244"/>
      <c r="D6" s="244"/>
      <c r="E6" s="62" t="s">
        <v>98</v>
      </c>
      <c r="F6" s="63">
        <v>45992</v>
      </c>
      <c r="G6" s="64">
        <v>45993</v>
      </c>
      <c r="H6" s="64">
        <v>45994</v>
      </c>
      <c r="I6" s="64">
        <v>45995</v>
      </c>
      <c r="J6" s="64">
        <v>45996</v>
      </c>
      <c r="K6" s="65">
        <v>45997</v>
      </c>
      <c r="L6" s="65">
        <v>45998</v>
      </c>
      <c r="M6" s="64">
        <v>45999</v>
      </c>
      <c r="N6" s="64">
        <v>46000</v>
      </c>
      <c r="O6" s="64">
        <v>46001</v>
      </c>
      <c r="P6" s="64">
        <v>46002</v>
      </c>
      <c r="Q6" s="64">
        <v>46003</v>
      </c>
      <c r="R6" s="65">
        <v>46004</v>
      </c>
      <c r="S6" s="65">
        <v>46005</v>
      </c>
      <c r="T6" s="64">
        <v>46006</v>
      </c>
      <c r="U6" s="64">
        <v>46007</v>
      </c>
      <c r="V6" s="64">
        <v>46008</v>
      </c>
      <c r="W6" s="64">
        <v>46009</v>
      </c>
      <c r="X6" s="64">
        <v>46010</v>
      </c>
      <c r="Y6" s="65">
        <v>46011</v>
      </c>
      <c r="Z6" s="65">
        <v>46012</v>
      </c>
      <c r="AA6" s="64">
        <v>46013</v>
      </c>
      <c r="AB6" s="64">
        <v>46014</v>
      </c>
      <c r="AC6" s="64">
        <v>46015</v>
      </c>
      <c r="AD6" s="66">
        <v>46016</v>
      </c>
      <c r="AE6" s="66">
        <v>46017</v>
      </c>
      <c r="AF6" s="65">
        <v>46018</v>
      </c>
      <c r="AG6" s="65">
        <v>46019</v>
      </c>
      <c r="AH6" s="64">
        <v>46020</v>
      </c>
      <c r="AI6" s="64">
        <v>46021</v>
      </c>
      <c r="AJ6" s="67">
        <v>46022</v>
      </c>
      <c r="AK6" s="68"/>
      <c r="AL6" s="68"/>
      <c r="AM6" s="68"/>
      <c r="AN6" s="68"/>
      <c r="AO6" s="68"/>
    </row>
    <row r="7" spans="1:41" ht="15.6">
      <c r="A7" s="36"/>
      <c r="B7" s="37" t="s">
        <v>3</v>
      </c>
      <c r="C7" s="38" t="s">
        <v>4</v>
      </c>
      <c r="D7" s="36" t="s">
        <v>5</v>
      </c>
      <c r="E7" s="41" t="s">
        <v>99</v>
      </c>
      <c r="F7" s="52" t="s">
        <v>100</v>
      </c>
      <c r="G7" s="53" t="s">
        <v>101</v>
      </c>
      <c r="H7" s="53" t="s">
        <v>102</v>
      </c>
      <c r="I7" s="53" t="s">
        <v>103</v>
      </c>
      <c r="J7" s="53" t="s">
        <v>104</v>
      </c>
      <c r="K7" s="55" t="s">
        <v>105</v>
      </c>
      <c r="L7" s="55" t="s">
        <v>106</v>
      </c>
      <c r="M7" s="53" t="s">
        <v>100</v>
      </c>
      <c r="N7" s="53" t="s">
        <v>101</v>
      </c>
      <c r="O7" s="53" t="s">
        <v>102</v>
      </c>
      <c r="P7" s="53" t="s">
        <v>103</v>
      </c>
      <c r="Q7" s="53" t="s">
        <v>104</v>
      </c>
      <c r="R7" s="55" t="s">
        <v>105</v>
      </c>
      <c r="S7" s="55" t="s">
        <v>106</v>
      </c>
      <c r="T7" s="53" t="s">
        <v>100</v>
      </c>
      <c r="U7" s="53" t="s">
        <v>101</v>
      </c>
      <c r="V7" s="53" t="s">
        <v>102</v>
      </c>
      <c r="W7" s="53" t="s">
        <v>103</v>
      </c>
      <c r="X7" s="53" t="s">
        <v>104</v>
      </c>
      <c r="Y7" s="55" t="s">
        <v>105</v>
      </c>
      <c r="Z7" s="55" t="s">
        <v>106</v>
      </c>
      <c r="AA7" s="53" t="s">
        <v>100</v>
      </c>
      <c r="AB7" s="53" t="s">
        <v>101</v>
      </c>
      <c r="AC7" s="53" t="s">
        <v>102</v>
      </c>
      <c r="AD7" s="56" t="s">
        <v>103</v>
      </c>
      <c r="AE7" s="56" t="s">
        <v>104</v>
      </c>
      <c r="AF7" s="55" t="s">
        <v>105</v>
      </c>
      <c r="AG7" s="55" t="s">
        <v>106</v>
      </c>
      <c r="AH7" s="53" t="s">
        <v>100</v>
      </c>
      <c r="AI7" s="53" t="s">
        <v>101</v>
      </c>
      <c r="AJ7" s="54" t="s">
        <v>102</v>
      </c>
    </row>
    <row r="8" spans="1:41" ht="15.6">
      <c r="A8" s="8">
        <v>1</v>
      </c>
      <c r="B8" s="30" t="s">
        <v>25</v>
      </c>
      <c r="C8" s="25" t="s">
        <v>26</v>
      </c>
      <c r="D8" s="40" t="s">
        <v>27</v>
      </c>
      <c r="E8" s="19">
        <f>SUM(F8:AJ8)</f>
        <v>0</v>
      </c>
      <c r="F8" s="60">
        <f>COUNTIFS('2026 Time Off Request'!$A:$A,'Dec 2025'!$D8,'2026 Time Off Request'!$L:$L,'Dec 2025'!F$6)</f>
        <v>0</v>
      </c>
      <c r="G8" s="35">
        <f>COUNTIFS('2026 Time Off Request'!$A:$A,'Dec 2025'!$D8,'2026 Time Off Request'!$L:$L,'Dec 2025'!G$6)</f>
        <v>0</v>
      </c>
      <c r="H8" s="35">
        <f>COUNTIFS('2026 Time Off Request'!$A:$A,'Dec 2025'!$D8,'2026 Time Off Request'!$L:$L,'Dec 2025'!H$6)</f>
        <v>0</v>
      </c>
      <c r="I8" s="35">
        <f>COUNTIFS('2026 Time Off Request'!$A:$A,'Dec 2025'!$D8,'2026 Time Off Request'!$L:$L,'Dec 2025'!I$6)</f>
        <v>0</v>
      </c>
      <c r="J8" s="35">
        <f>COUNTIFS('2026 Time Off Request'!$A:$A,'Dec 2025'!$D8,'2026 Time Off Request'!$L:$L,'Dec 2025'!J$6)</f>
        <v>0</v>
      </c>
      <c r="K8" s="48">
        <f>COUNTIFS('2026 Time Off Request'!$A:$A,'Dec 2025'!$D8,'2026 Time Off Request'!$L:$L,'Dec 2025'!K$6)</f>
        <v>0</v>
      </c>
      <c r="L8" s="48">
        <f>COUNTIFS('2026 Time Off Request'!$A:$A,'Dec 2025'!$D8,'2026 Time Off Request'!$L:$L,'Dec 2025'!L$6)</f>
        <v>0</v>
      </c>
      <c r="M8" s="35">
        <f>COUNTIFS('2026 Time Off Request'!$A:$A,'Dec 2025'!$D8,'2026 Time Off Request'!$L:$L,'Dec 2025'!M$6)</f>
        <v>0</v>
      </c>
      <c r="N8" s="35">
        <f>COUNTIFS('2026 Time Off Request'!$A:$A,'Dec 2025'!$D8,'2026 Time Off Request'!$L:$L,'Dec 2025'!N$6)</f>
        <v>0</v>
      </c>
      <c r="O8" s="35">
        <f>COUNTIFS('2026 Time Off Request'!$A:$A,'Dec 2025'!$D8,'2026 Time Off Request'!$L:$L,'Dec 2025'!O$6)</f>
        <v>0</v>
      </c>
      <c r="P8" s="35">
        <f>COUNTIFS('2026 Time Off Request'!$A:$A,'Dec 2025'!$D8,'2026 Time Off Request'!$L:$L,'Dec 2025'!P$6)</f>
        <v>0</v>
      </c>
      <c r="Q8" s="35">
        <f>COUNTIFS('2026 Time Off Request'!$A:$A,'Dec 2025'!$D8,'2026 Time Off Request'!$L:$L,'Dec 2025'!Q$6)</f>
        <v>0</v>
      </c>
      <c r="R8" s="48">
        <f>COUNTIFS('2026 Time Off Request'!$A:$A,'Dec 2025'!$D8,'2026 Time Off Request'!$L:$L,'Dec 2025'!R$6)</f>
        <v>0</v>
      </c>
      <c r="S8" s="48">
        <f>COUNTIFS('2026 Time Off Request'!$A:$A,'Dec 2025'!$D8,'2026 Time Off Request'!$L:$L,'Dec 2025'!S$6)</f>
        <v>0</v>
      </c>
      <c r="T8" s="35">
        <f>COUNTIFS('2026 Time Off Request'!$A:$A,'Dec 2025'!$D8,'2026 Time Off Request'!$L:$L,'Dec 2025'!T$6)</f>
        <v>0</v>
      </c>
      <c r="U8" s="35">
        <f>COUNTIFS('2026 Time Off Request'!$A:$A,'Dec 2025'!$D8,'2026 Time Off Request'!$L:$L,'Dec 2025'!U$6)</f>
        <v>0</v>
      </c>
      <c r="V8" s="35">
        <f>COUNTIFS('2026 Time Off Request'!$A:$A,'Dec 2025'!$D8,'2026 Time Off Request'!$L:$L,'Dec 2025'!V$6)</f>
        <v>0</v>
      </c>
      <c r="W8" s="35">
        <f>COUNTIFS('2026 Time Off Request'!$A:$A,'Dec 2025'!$D8,'2026 Time Off Request'!$L:$L,'Dec 2025'!W$6)</f>
        <v>0</v>
      </c>
      <c r="X8" s="35">
        <f>COUNTIFS('2026 Time Off Request'!$A:$A,'Dec 2025'!$D8,'2026 Time Off Request'!$L:$L,'Dec 2025'!X$6)</f>
        <v>0</v>
      </c>
      <c r="Y8" s="48">
        <f>COUNTIFS('2026 Time Off Request'!$A:$A,'Dec 2025'!$D8,'2026 Time Off Request'!$L:$L,'Dec 2025'!Y$6)</f>
        <v>0</v>
      </c>
      <c r="Z8" s="48">
        <f>COUNTIFS('2026 Time Off Request'!$A:$A,'Dec 2025'!$D8,'2026 Time Off Request'!$L:$L,'Dec 2025'!Z$6)</f>
        <v>0</v>
      </c>
      <c r="AA8" s="35">
        <f>COUNTIFS('2026 Time Off Request'!$A:$A,'Dec 2025'!$D8,'2026 Time Off Request'!$L:$L,'Dec 2025'!AA$6)</f>
        <v>0</v>
      </c>
      <c r="AB8" s="35">
        <f>COUNTIFS('2026 Time Off Request'!$A:$A,'Dec 2025'!$D8,'2026 Time Off Request'!$L:$L,'Dec 2025'!AB$6)</f>
        <v>0</v>
      </c>
      <c r="AC8" s="35">
        <f>COUNTIFS('2026 Time Off Request'!$A:$A,'Dec 2025'!$D8,'2026 Time Off Request'!$L:$L,'Dec 2025'!AC$6)</f>
        <v>0</v>
      </c>
      <c r="AD8" s="51">
        <f>COUNTIFS('2026 Time Off Request'!$A:$A,'Dec 2025'!$D8,'2026 Time Off Request'!$L:$L,'Dec 2025'!AD$6)</f>
        <v>0</v>
      </c>
      <c r="AE8" s="51">
        <f>COUNTIFS('2026 Time Off Request'!$A:$A,'Dec 2025'!$D8,'2026 Time Off Request'!$L:$L,'Dec 2025'!AE$6)</f>
        <v>0</v>
      </c>
      <c r="AF8" s="48">
        <f>COUNTIFS('2026 Time Off Request'!$A:$A,'Dec 2025'!$D8,'2026 Time Off Request'!$L:$L,'Dec 2025'!AF$6)</f>
        <v>0</v>
      </c>
      <c r="AG8" s="48">
        <f>COUNTIFS('2026 Time Off Request'!$A:$A,'Dec 2025'!$D8,'2026 Time Off Request'!$L:$L,'Dec 2025'!AG$6)</f>
        <v>0</v>
      </c>
      <c r="AH8" s="35">
        <f>COUNTIFS('2026 Time Off Request'!$A:$A,'Dec 2025'!$D8,'2026 Time Off Request'!$L:$L,'Dec 2025'!AH$6)</f>
        <v>0</v>
      </c>
      <c r="AI8" s="35">
        <f>COUNTIFS('2026 Time Off Request'!$A:$A,'Dec 2025'!$D8,'2026 Time Off Request'!$L:$L,'Dec 2025'!AI$6)</f>
        <v>0</v>
      </c>
      <c r="AJ8" s="35">
        <f>COUNTIFS('2026 Time Off Request'!$A:$A,'Dec 2025'!$D8,'2026 Time Off Request'!$L:$L,'Dec 2025'!AJ$6)</f>
        <v>0</v>
      </c>
    </row>
    <row r="9" spans="1:41" ht="15.6">
      <c r="A9" s="8">
        <v>2</v>
      </c>
      <c r="B9" s="31" t="s">
        <v>25</v>
      </c>
      <c r="C9" s="26" t="s">
        <v>28</v>
      </c>
      <c r="D9" s="8" t="s">
        <v>29</v>
      </c>
      <c r="E9" s="20">
        <f t="shared" ref="E9:E42" si="3">SUM(F9:AJ9)</f>
        <v>0</v>
      </c>
      <c r="F9" s="60">
        <f>COUNTIFS('2026 Time Off Request'!$A:$A,'Dec 2025'!$D9,'2026 Time Off Request'!$L:$L,'Dec 2025'!F$6)</f>
        <v>0</v>
      </c>
      <c r="G9" s="35">
        <f>COUNTIFS('2026 Time Off Request'!$A:$A,'Dec 2025'!$D9,'2026 Time Off Request'!$L:$L,'Dec 2025'!G$6)</f>
        <v>0</v>
      </c>
      <c r="H9" s="35">
        <f>COUNTIFS('2026 Time Off Request'!$A:$A,'Dec 2025'!$D9,'2026 Time Off Request'!$L:$L,'Dec 2025'!H$6)</f>
        <v>0</v>
      </c>
      <c r="I9" s="35">
        <f>COUNTIFS('2026 Time Off Request'!$A:$A,'Dec 2025'!$D9,'2026 Time Off Request'!$L:$L,'Dec 2025'!I$6)</f>
        <v>0</v>
      </c>
      <c r="J9" s="35">
        <f>COUNTIFS('2026 Time Off Request'!$A:$A,'Dec 2025'!$D9,'2026 Time Off Request'!$L:$L,'Dec 2025'!J$6)</f>
        <v>0</v>
      </c>
      <c r="K9" s="48">
        <f>COUNTIFS('2026 Time Off Request'!$A:$A,'Dec 2025'!$D9,'2026 Time Off Request'!$L:$L,'Dec 2025'!K$6)</f>
        <v>0</v>
      </c>
      <c r="L9" s="48">
        <f>COUNTIFS('2026 Time Off Request'!$A:$A,'Dec 2025'!$D9,'2026 Time Off Request'!$L:$L,'Dec 2025'!L$6)</f>
        <v>0</v>
      </c>
      <c r="M9" s="35">
        <f>COUNTIFS('2026 Time Off Request'!$A:$A,'Dec 2025'!$D9,'2026 Time Off Request'!$L:$L,'Dec 2025'!M$6)</f>
        <v>0</v>
      </c>
      <c r="N9" s="35">
        <f>COUNTIFS('2026 Time Off Request'!$A:$A,'Dec 2025'!$D9,'2026 Time Off Request'!$L:$L,'Dec 2025'!N$6)</f>
        <v>0</v>
      </c>
      <c r="O9" s="35">
        <f>COUNTIFS('2026 Time Off Request'!$A:$A,'Dec 2025'!$D9,'2026 Time Off Request'!$L:$L,'Dec 2025'!O$6)</f>
        <v>0</v>
      </c>
      <c r="P9" s="35">
        <f>COUNTIFS('2026 Time Off Request'!$A:$A,'Dec 2025'!$D9,'2026 Time Off Request'!$L:$L,'Dec 2025'!P$6)</f>
        <v>0</v>
      </c>
      <c r="Q9" s="35">
        <f>COUNTIFS('2026 Time Off Request'!$A:$A,'Dec 2025'!$D9,'2026 Time Off Request'!$L:$L,'Dec 2025'!Q$6)</f>
        <v>0</v>
      </c>
      <c r="R9" s="48">
        <f>COUNTIFS('2026 Time Off Request'!$A:$A,'Dec 2025'!$D9,'2026 Time Off Request'!$L:$L,'Dec 2025'!R$6)</f>
        <v>0</v>
      </c>
      <c r="S9" s="48">
        <f>COUNTIFS('2026 Time Off Request'!$A:$A,'Dec 2025'!$D9,'2026 Time Off Request'!$L:$L,'Dec 2025'!S$6)</f>
        <v>0</v>
      </c>
      <c r="T9" s="35">
        <f>COUNTIFS('2026 Time Off Request'!$A:$A,'Dec 2025'!$D9,'2026 Time Off Request'!$L:$L,'Dec 2025'!T$6)</f>
        <v>0</v>
      </c>
      <c r="U9" s="35">
        <f>COUNTIFS('2026 Time Off Request'!$A:$A,'Dec 2025'!$D9,'2026 Time Off Request'!$L:$L,'Dec 2025'!U$6)</f>
        <v>0</v>
      </c>
      <c r="V9" s="35">
        <f>COUNTIFS('2026 Time Off Request'!$A:$A,'Dec 2025'!$D9,'2026 Time Off Request'!$L:$L,'Dec 2025'!V$6)</f>
        <v>0</v>
      </c>
      <c r="W9" s="35">
        <f>COUNTIFS('2026 Time Off Request'!$A:$A,'Dec 2025'!$D9,'2026 Time Off Request'!$L:$L,'Dec 2025'!W$6)</f>
        <v>0</v>
      </c>
      <c r="X9" s="35">
        <f>COUNTIFS('2026 Time Off Request'!$A:$A,'Dec 2025'!$D9,'2026 Time Off Request'!$L:$L,'Dec 2025'!X$6)</f>
        <v>0</v>
      </c>
      <c r="Y9" s="48">
        <f>COUNTIFS('2026 Time Off Request'!$A:$A,'Dec 2025'!$D9,'2026 Time Off Request'!$L:$L,'Dec 2025'!Y$6)</f>
        <v>0</v>
      </c>
      <c r="Z9" s="48">
        <f>COUNTIFS('2026 Time Off Request'!$A:$A,'Dec 2025'!$D9,'2026 Time Off Request'!$L:$L,'Dec 2025'!Z$6)</f>
        <v>0</v>
      </c>
      <c r="AA9" s="35">
        <f>COUNTIFS('2026 Time Off Request'!$A:$A,'Dec 2025'!$D9,'2026 Time Off Request'!$L:$L,'Dec 2025'!AA$6)</f>
        <v>0</v>
      </c>
      <c r="AB9" s="35">
        <f>COUNTIFS('2026 Time Off Request'!$A:$A,'Dec 2025'!$D9,'2026 Time Off Request'!$L:$L,'Dec 2025'!AB$6)</f>
        <v>0</v>
      </c>
      <c r="AC9" s="35">
        <f>COUNTIFS('2026 Time Off Request'!$A:$A,'Dec 2025'!$D9,'2026 Time Off Request'!$L:$L,'Dec 2025'!AC$6)</f>
        <v>0</v>
      </c>
      <c r="AD9" s="51">
        <f>COUNTIFS('2026 Time Off Request'!$A:$A,'Dec 2025'!$D9,'2026 Time Off Request'!$L:$L,'Dec 2025'!AD$6)</f>
        <v>0</v>
      </c>
      <c r="AE9" s="51">
        <f>COUNTIFS('2026 Time Off Request'!$A:$A,'Dec 2025'!$D9,'2026 Time Off Request'!$L:$L,'Dec 2025'!AE$6)</f>
        <v>0</v>
      </c>
      <c r="AF9" s="48">
        <f>COUNTIFS('2026 Time Off Request'!$A:$A,'Dec 2025'!$D9,'2026 Time Off Request'!$L:$L,'Dec 2025'!AF$6)</f>
        <v>0</v>
      </c>
      <c r="AG9" s="48">
        <f>COUNTIFS('2026 Time Off Request'!$A:$A,'Dec 2025'!$D9,'2026 Time Off Request'!$L:$L,'Dec 2025'!AG$6)</f>
        <v>0</v>
      </c>
      <c r="AH9" s="35">
        <f>COUNTIFS('2026 Time Off Request'!$A:$A,'Dec 2025'!$D9,'2026 Time Off Request'!$L:$L,'Dec 2025'!AH$6)</f>
        <v>0</v>
      </c>
      <c r="AI9" s="35">
        <f>COUNTIFS('2026 Time Off Request'!$A:$A,'Dec 2025'!$D9,'2026 Time Off Request'!$L:$L,'Dec 2025'!AI$6)</f>
        <v>0</v>
      </c>
      <c r="AJ9" s="35">
        <f>COUNTIFS('2026 Time Off Request'!$A:$A,'Dec 2025'!$D9,'2026 Time Off Request'!$L:$L,'Dec 2025'!AJ$6)</f>
        <v>0</v>
      </c>
    </row>
    <row r="10" spans="1:41" ht="15.6">
      <c r="A10" s="8">
        <v>3</v>
      </c>
      <c r="B10" s="31" t="s">
        <v>25</v>
      </c>
      <c r="C10" s="26" t="s">
        <v>30</v>
      </c>
      <c r="D10" s="8" t="s">
        <v>31</v>
      </c>
      <c r="E10" s="20">
        <f t="shared" si="3"/>
        <v>0</v>
      </c>
      <c r="F10" s="60">
        <f>COUNTIFS('2026 Time Off Request'!$A:$A,'Dec 2025'!$D10,'2026 Time Off Request'!$L:$L,'Dec 2025'!F$6)</f>
        <v>0</v>
      </c>
      <c r="G10" s="35">
        <f>COUNTIFS('2026 Time Off Request'!$A:$A,'Dec 2025'!$D10,'2026 Time Off Request'!$L:$L,'Dec 2025'!G$6)</f>
        <v>0</v>
      </c>
      <c r="H10" s="35">
        <f>COUNTIFS('2026 Time Off Request'!$A:$A,'Dec 2025'!$D10,'2026 Time Off Request'!$L:$L,'Dec 2025'!H$6)</f>
        <v>0</v>
      </c>
      <c r="I10" s="35">
        <f>COUNTIFS('2026 Time Off Request'!$A:$A,'Dec 2025'!$D10,'2026 Time Off Request'!$L:$L,'Dec 2025'!I$6)</f>
        <v>0</v>
      </c>
      <c r="J10" s="35">
        <f>COUNTIFS('2026 Time Off Request'!$A:$A,'Dec 2025'!$D10,'2026 Time Off Request'!$L:$L,'Dec 2025'!J$6)</f>
        <v>0</v>
      </c>
      <c r="K10" s="48">
        <f>COUNTIFS('2026 Time Off Request'!$A:$A,'Dec 2025'!$D10,'2026 Time Off Request'!$L:$L,'Dec 2025'!K$6)</f>
        <v>0</v>
      </c>
      <c r="L10" s="48">
        <f>COUNTIFS('2026 Time Off Request'!$A:$A,'Dec 2025'!$D10,'2026 Time Off Request'!$L:$L,'Dec 2025'!L$6)</f>
        <v>0</v>
      </c>
      <c r="M10" s="35">
        <f>COUNTIFS('2026 Time Off Request'!$A:$A,'Dec 2025'!$D10,'2026 Time Off Request'!$L:$L,'Dec 2025'!M$6)</f>
        <v>0</v>
      </c>
      <c r="N10" s="35">
        <f>COUNTIFS('2026 Time Off Request'!$A:$A,'Dec 2025'!$D10,'2026 Time Off Request'!$L:$L,'Dec 2025'!N$6)</f>
        <v>0</v>
      </c>
      <c r="O10" s="35">
        <f>COUNTIFS('2026 Time Off Request'!$A:$A,'Dec 2025'!$D10,'2026 Time Off Request'!$L:$L,'Dec 2025'!O$6)</f>
        <v>0</v>
      </c>
      <c r="P10" s="35">
        <f>COUNTIFS('2026 Time Off Request'!$A:$A,'Dec 2025'!$D10,'2026 Time Off Request'!$L:$L,'Dec 2025'!P$6)</f>
        <v>0</v>
      </c>
      <c r="Q10" s="35">
        <f>COUNTIFS('2026 Time Off Request'!$A:$A,'Dec 2025'!$D10,'2026 Time Off Request'!$L:$L,'Dec 2025'!Q$6)</f>
        <v>0</v>
      </c>
      <c r="R10" s="48">
        <f>COUNTIFS('2026 Time Off Request'!$A:$A,'Dec 2025'!$D10,'2026 Time Off Request'!$L:$L,'Dec 2025'!R$6)</f>
        <v>0</v>
      </c>
      <c r="S10" s="48">
        <f>COUNTIFS('2026 Time Off Request'!$A:$A,'Dec 2025'!$D10,'2026 Time Off Request'!$L:$L,'Dec 2025'!S$6)</f>
        <v>0</v>
      </c>
      <c r="T10" s="35">
        <f>COUNTIFS('2026 Time Off Request'!$A:$A,'Dec 2025'!$D10,'2026 Time Off Request'!$L:$L,'Dec 2025'!T$6)</f>
        <v>0</v>
      </c>
      <c r="U10" s="35">
        <f>COUNTIFS('2026 Time Off Request'!$A:$A,'Dec 2025'!$D10,'2026 Time Off Request'!$L:$L,'Dec 2025'!U$6)</f>
        <v>0</v>
      </c>
      <c r="V10" s="35">
        <f>COUNTIFS('2026 Time Off Request'!$A:$A,'Dec 2025'!$D10,'2026 Time Off Request'!$L:$L,'Dec 2025'!V$6)</f>
        <v>0</v>
      </c>
      <c r="W10" s="35">
        <f>COUNTIFS('2026 Time Off Request'!$A:$A,'Dec 2025'!$D10,'2026 Time Off Request'!$L:$L,'Dec 2025'!W$6)</f>
        <v>0</v>
      </c>
      <c r="X10" s="35">
        <f>COUNTIFS('2026 Time Off Request'!$A:$A,'Dec 2025'!$D10,'2026 Time Off Request'!$L:$L,'Dec 2025'!X$6)</f>
        <v>0</v>
      </c>
      <c r="Y10" s="48">
        <f>COUNTIFS('2026 Time Off Request'!$A:$A,'Dec 2025'!$D10,'2026 Time Off Request'!$L:$L,'Dec 2025'!Y$6)</f>
        <v>0</v>
      </c>
      <c r="Z10" s="48">
        <f>COUNTIFS('2026 Time Off Request'!$A:$A,'Dec 2025'!$D10,'2026 Time Off Request'!$L:$L,'Dec 2025'!Z$6)</f>
        <v>0</v>
      </c>
      <c r="AA10" s="35">
        <f>COUNTIFS('2026 Time Off Request'!$A:$A,'Dec 2025'!$D10,'2026 Time Off Request'!$L:$L,'Dec 2025'!AA$6)</f>
        <v>0</v>
      </c>
      <c r="AB10" s="35">
        <f>COUNTIFS('2026 Time Off Request'!$A:$A,'Dec 2025'!$D10,'2026 Time Off Request'!$L:$L,'Dec 2025'!AB$6)</f>
        <v>0</v>
      </c>
      <c r="AC10" s="35">
        <f>COUNTIFS('2026 Time Off Request'!$A:$A,'Dec 2025'!$D10,'2026 Time Off Request'!$L:$L,'Dec 2025'!AC$6)</f>
        <v>0</v>
      </c>
      <c r="AD10" s="51">
        <f>COUNTIFS('2026 Time Off Request'!$A:$A,'Dec 2025'!$D10,'2026 Time Off Request'!$L:$L,'Dec 2025'!AD$6)</f>
        <v>0</v>
      </c>
      <c r="AE10" s="51">
        <f>COUNTIFS('2026 Time Off Request'!$A:$A,'Dec 2025'!$D10,'2026 Time Off Request'!$L:$L,'Dec 2025'!AE$6)</f>
        <v>0</v>
      </c>
      <c r="AF10" s="48">
        <f>COUNTIFS('2026 Time Off Request'!$A:$A,'Dec 2025'!$D10,'2026 Time Off Request'!$L:$L,'Dec 2025'!AF$6)</f>
        <v>0</v>
      </c>
      <c r="AG10" s="48">
        <f>COUNTIFS('2026 Time Off Request'!$A:$A,'Dec 2025'!$D10,'2026 Time Off Request'!$L:$L,'Dec 2025'!AG$6)</f>
        <v>0</v>
      </c>
      <c r="AH10" s="35">
        <f>COUNTIFS('2026 Time Off Request'!$A:$A,'Dec 2025'!$D10,'2026 Time Off Request'!$L:$L,'Dec 2025'!AH$6)</f>
        <v>0</v>
      </c>
      <c r="AI10" s="35">
        <f>COUNTIFS('2026 Time Off Request'!$A:$A,'Dec 2025'!$D10,'2026 Time Off Request'!$L:$L,'Dec 2025'!AI$6)</f>
        <v>0</v>
      </c>
      <c r="AJ10" s="35">
        <f>COUNTIFS('2026 Time Off Request'!$A:$A,'Dec 2025'!$D10,'2026 Time Off Request'!$L:$L,'Dec 2025'!AJ$6)</f>
        <v>0</v>
      </c>
    </row>
    <row r="11" spans="1:41" ht="15.6">
      <c r="A11" s="8">
        <v>4</v>
      </c>
      <c r="B11" s="31" t="s">
        <v>25</v>
      </c>
      <c r="C11" s="26" t="s">
        <v>32</v>
      </c>
      <c r="D11" s="8" t="s">
        <v>33</v>
      </c>
      <c r="E11" s="20">
        <f t="shared" si="3"/>
        <v>0</v>
      </c>
      <c r="F11" s="60">
        <f>COUNTIFS('2026 Time Off Request'!$A:$A,'Dec 2025'!$D11,'2026 Time Off Request'!$L:$L,'Dec 2025'!F$6)</f>
        <v>0</v>
      </c>
      <c r="G11" s="35">
        <f>COUNTIFS('2026 Time Off Request'!$A:$A,'Dec 2025'!$D11,'2026 Time Off Request'!$L:$L,'Dec 2025'!G$6)</f>
        <v>0</v>
      </c>
      <c r="H11" s="35">
        <f>COUNTIFS('2026 Time Off Request'!$A:$A,'Dec 2025'!$D11,'2026 Time Off Request'!$L:$L,'Dec 2025'!H$6)</f>
        <v>0</v>
      </c>
      <c r="I11" s="35">
        <f>COUNTIFS('2026 Time Off Request'!$A:$A,'Dec 2025'!$D11,'2026 Time Off Request'!$L:$L,'Dec 2025'!I$6)</f>
        <v>0</v>
      </c>
      <c r="J11" s="35">
        <f>COUNTIFS('2026 Time Off Request'!$A:$A,'Dec 2025'!$D11,'2026 Time Off Request'!$L:$L,'Dec 2025'!J$6)</f>
        <v>0</v>
      </c>
      <c r="K11" s="48">
        <f>COUNTIFS('2026 Time Off Request'!$A:$A,'Dec 2025'!$D11,'2026 Time Off Request'!$L:$L,'Dec 2025'!K$6)</f>
        <v>0</v>
      </c>
      <c r="L11" s="48">
        <f>COUNTIFS('2026 Time Off Request'!$A:$A,'Dec 2025'!$D11,'2026 Time Off Request'!$L:$L,'Dec 2025'!L$6)</f>
        <v>0</v>
      </c>
      <c r="M11" s="35">
        <f>COUNTIFS('2026 Time Off Request'!$A:$A,'Dec 2025'!$D11,'2026 Time Off Request'!$L:$L,'Dec 2025'!M$6)</f>
        <v>0</v>
      </c>
      <c r="N11" s="35">
        <f>COUNTIFS('2026 Time Off Request'!$A:$A,'Dec 2025'!$D11,'2026 Time Off Request'!$L:$L,'Dec 2025'!N$6)</f>
        <v>0</v>
      </c>
      <c r="O11" s="35">
        <f>COUNTIFS('2026 Time Off Request'!$A:$A,'Dec 2025'!$D11,'2026 Time Off Request'!$L:$L,'Dec 2025'!O$6)</f>
        <v>0</v>
      </c>
      <c r="P11" s="35">
        <f>COUNTIFS('2026 Time Off Request'!$A:$A,'Dec 2025'!$D11,'2026 Time Off Request'!$L:$L,'Dec 2025'!P$6)</f>
        <v>0</v>
      </c>
      <c r="Q11" s="35">
        <f>COUNTIFS('2026 Time Off Request'!$A:$A,'Dec 2025'!$D11,'2026 Time Off Request'!$L:$L,'Dec 2025'!Q$6)</f>
        <v>0</v>
      </c>
      <c r="R11" s="48">
        <f>COUNTIFS('2026 Time Off Request'!$A:$A,'Dec 2025'!$D11,'2026 Time Off Request'!$L:$L,'Dec 2025'!R$6)</f>
        <v>0</v>
      </c>
      <c r="S11" s="48">
        <f>COUNTIFS('2026 Time Off Request'!$A:$A,'Dec 2025'!$D11,'2026 Time Off Request'!$L:$L,'Dec 2025'!S$6)</f>
        <v>0</v>
      </c>
      <c r="T11" s="35">
        <f>COUNTIFS('2026 Time Off Request'!$A:$A,'Dec 2025'!$D11,'2026 Time Off Request'!$L:$L,'Dec 2025'!T$6)</f>
        <v>0</v>
      </c>
      <c r="U11" s="35">
        <f>COUNTIFS('2026 Time Off Request'!$A:$A,'Dec 2025'!$D11,'2026 Time Off Request'!$L:$L,'Dec 2025'!U$6)</f>
        <v>0</v>
      </c>
      <c r="V11" s="35">
        <f>COUNTIFS('2026 Time Off Request'!$A:$A,'Dec 2025'!$D11,'2026 Time Off Request'!$L:$L,'Dec 2025'!V$6)</f>
        <v>0</v>
      </c>
      <c r="W11" s="35">
        <f>COUNTIFS('2026 Time Off Request'!$A:$A,'Dec 2025'!$D11,'2026 Time Off Request'!$L:$L,'Dec 2025'!W$6)</f>
        <v>0</v>
      </c>
      <c r="X11" s="35">
        <f>COUNTIFS('2026 Time Off Request'!$A:$A,'Dec 2025'!$D11,'2026 Time Off Request'!$L:$L,'Dec 2025'!X$6)</f>
        <v>0</v>
      </c>
      <c r="Y11" s="48">
        <f>COUNTIFS('2026 Time Off Request'!$A:$A,'Dec 2025'!$D11,'2026 Time Off Request'!$L:$L,'Dec 2025'!Y$6)</f>
        <v>0</v>
      </c>
      <c r="Z11" s="48">
        <f>COUNTIFS('2026 Time Off Request'!$A:$A,'Dec 2025'!$D11,'2026 Time Off Request'!$L:$L,'Dec 2025'!Z$6)</f>
        <v>0</v>
      </c>
      <c r="AA11" s="35">
        <f>COUNTIFS('2026 Time Off Request'!$A:$A,'Dec 2025'!$D11,'2026 Time Off Request'!$L:$L,'Dec 2025'!AA$6)</f>
        <v>0</v>
      </c>
      <c r="AB11" s="35">
        <f>COUNTIFS('2026 Time Off Request'!$A:$A,'Dec 2025'!$D11,'2026 Time Off Request'!$L:$L,'Dec 2025'!AB$6)</f>
        <v>0</v>
      </c>
      <c r="AC11" s="35">
        <f>COUNTIFS('2026 Time Off Request'!$A:$A,'Dec 2025'!$D11,'2026 Time Off Request'!$L:$L,'Dec 2025'!AC$6)</f>
        <v>0</v>
      </c>
      <c r="AD11" s="51">
        <f>COUNTIFS('2026 Time Off Request'!$A:$A,'Dec 2025'!$D11,'2026 Time Off Request'!$L:$L,'Dec 2025'!AD$6)</f>
        <v>0</v>
      </c>
      <c r="AE11" s="51">
        <f>COUNTIFS('2026 Time Off Request'!$A:$A,'Dec 2025'!$D11,'2026 Time Off Request'!$L:$L,'Dec 2025'!AE$6)</f>
        <v>0</v>
      </c>
      <c r="AF11" s="48">
        <f>COUNTIFS('2026 Time Off Request'!$A:$A,'Dec 2025'!$D11,'2026 Time Off Request'!$L:$L,'Dec 2025'!AF$6)</f>
        <v>0</v>
      </c>
      <c r="AG11" s="48">
        <f>COUNTIFS('2026 Time Off Request'!$A:$A,'Dec 2025'!$D11,'2026 Time Off Request'!$L:$L,'Dec 2025'!AG$6)</f>
        <v>0</v>
      </c>
      <c r="AH11" s="35">
        <f>COUNTIFS('2026 Time Off Request'!$A:$A,'Dec 2025'!$D11,'2026 Time Off Request'!$L:$L,'Dec 2025'!AH$6)</f>
        <v>0</v>
      </c>
      <c r="AI11" s="35">
        <f>COUNTIFS('2026 Time Off Request'!$A:$A,'Dec 2025'!$D11,'2026 Time Off Request'!$L:$L,'Dec 2025'!AI$6)</f>
        <v>0</v>
      </c>
      <c r="AJ11" s="35">
        <f>COUNTIFS('2026 Time Off Request'!$A:$A,'Dec 2025'!$D11,'2026 Time Off Request'!$L:$L,'Dec 2025'!AJ$6)</f>
        <v>0</v>
      </c>
    </row>
    <row r="12" spans="1:41" ht="15.6">
      <c r="A12" s="8">
        <v>5</v>
      </c>
      <c r="B12" s="31" t="s">
        <v>25</v>
      </c>
      <c r="C12" s="26" t="s">
        <v>34</v>
      </c>
      <c r="D12" s="8" t="s">
        <v>35</v>
      </c>
      <c r="E12" s="20">
        <f t="shared" si="3"/>
        <v>0</v>
      </c>
      <c r="F12" s="60">
        <f>COUNTIFS('2026 Time Off Request'!$A:$A,'Dec 2025'!$D12,'2026 Time Off Request'!$L:$L,'Dec 2025'!F$6)</f>
        <v>0</v>
      </c>
      <c r="G12" s="35">
        <f>COUNTIFS('2026 Time Off Request'!$A:$A,'Dec 2025'!$D12,'2026 Time Off Request'!$L:$L,'Dec 2025'!G$6)</f>
        <v>0</v>
      </c>
      <c r="H12" s="35">
        <f>COUNTIFS('2026 Time Off Request'!$A:$A,'Dec 2025'!$D12,'2026 Time Off Request'!$L:$L,'Dec 2025'!H$6)</f>
        <v>0</v>
      </c>
      <c r="I12" s="35">
        <f>COUNTIFS('2026 Time Off Request'!$A:$A,'Dec 2025'!$D12,'2026 Time Off Request'!$L:$L,'Dec 2025'!I$6)</f>
        <v>0</v>
      </c>
      <c r="J12" s="35">
        <f>COUNTIFS('2026 Time Off Request'!$A:$A,'Dec 2025'!$D12,'2026 Time Off Request'!$L:$L,'Dec 2025'!J$6)</f>
        <v>0</v>
      </c>
      <c r="K12" s="48">
        <f>COUNTIFS('2026 Time Off Request'!$A:$A,'Dec 2025'!$D12,'2026 Time Off Request'!$L:$L,'Dec 2025'!K$6)</f>
        <v>0</v>
      </c>
      <c r="L12" s="48">
        <f>COUNTIFS('2026 Time Off Request'!$A:$A,'Dec 2025'!$D12,'2026 Time Off Request'!$L:$L,'Dec 2025'!L$6)</f>
        <v>0</v>
      </c>
      <c r="M12" s="35">
        <f>COUNTIFS('2026 Time Off Request'!$A:$A,'Dec 2025'!$D12,'2026 Time Off Request'!$L:$L,'Dec 2025'!M$6)</f>
        <v>0</v>
      </c>
      <c r="N12" s="35">
        <f>COUNTIFS('2026 Time Off Request'!$A:$A,'Dec 2025'!$D12,'2026 Time Off Request'!$L:$L,'Dec 2025'!N$6)</f>
        <v>0</v>
      </c>
      <c r="O12" s="35">
        <f>COUNTIFS('2026 Time Off Request'!$A:$A,'Dec 2025'!$D12,'2026 Time Off Request'!$L:$L,'Dec 2025'!O$6)</f>
        <v>0</v>
      </c>
      <c r="P12" s="35">
        <f>COUNTIFS('2026 Time Off Request'!$A:$A,'Dec 2025'!$D12,'2026 Time Off Request'!$L:$L,'Dec 2025'!P$6)</f>
        <v>0</v>
      </c>
      <c r="Q12" s="35">
        <f>COUNTIFS('2026 Time Off Request'!$A:$A,'Dec 2025'!$D12,'2026 Time Off Request'!$L:$L,'Dec 2025'!Q$6)</f>
        <v>0</v>
      </c>
      <c r="R12" s="48">
        <f>COUNTIFS('2026 Time Off Request'!$A:$A,'Dec 2025'!$D12,'2026 Time Off Request'!$L:$L,'Dec 2025'!R$6)</f>
        <v>0</v>
      </c>
      <c r="S12" s="48">
        <f>COUNTIFS('2026 Time Off Request'!$A:$A,'Dec 2025'!$D12,'2026 Time Off Request'!$L:$L,'Dec 2025'!S$6)</f>
        <v>0</v>
      </c>
      <c r="T12" s="35">
        <f>COUNTIFS('2026 Time Off Request'!$A:$A,'Dec 2025'!$D12,'2026 Time Off Request'!$L:$L,'Dec 2025'!T$6)</f>
        <v>0</v>
      </c>
      <c r="U12" s="35">
        <f>COUNTIFS('2026 Time Off Request'!$A:$A,'Dec 2025'!$D12,'2026 Time Off Request'!$L:$L,'Dec 2025'!U$6)</f>
        <v>0</v>
      </c>
      <c r="V12" s="35">
        <f>COUNTIFS('2026 Time Off Request'!$A:$A,'Dec 2025'!$D12,'2026 Time Off Request'!$L:$L,'Dec 2025'!V$6)</f>
        <v>0</v>
      </c>
      <c r="W12" s="35">
        <f>COUNTIFS('2026 Time Off Request'!$A:$A,'Dec 2025'!$D12,'2026 Time Off Request'!$L:$L,'Dec 2025'!W$6)</f>
        <v>0</v>
      </c>
      <c r="X12" s="35">
        <f>COUNTIFS('2026 Time Off Request'!$A:$A,'Dec 2025'!$D12,'2026 Time Off Request'!$L:$L,'Dec 2025'!X$6)</f>
        <v>0</v>
      </c>
      <c r="Y12" s="48">
        <f>COUNTIFS('2026 Time Off Request'!$A:$A,'Dec 2025'!$D12,'2026 Time Off Request'!$L:$L,'Dec 2025'!Y$6)</f>
        <v>0</v>
      </c>
      <c r="Z12" s="48">
        <f>COUNTIFS('2026 Time Off Request'!$A:$A,'Dec 2025'!$D12,'2026 Time Off Request'!$L:$L,'Dec 2025'!Z$6)</f>
        <v>0</v>
      </c>
      <c r="AA12" s="35">
        <f>COUNTIFS('2026 Time Off Request'!$A:$A,'Dec 2025'!$D12,'2026 Time Off Request'!$L:$L,'Dec 2025'!AA$6)</f>
        <v>0</v>
      </c>
      <c r="AB12" s="35">
        <f>COUNTIFS('2026 Time Off Request'!$A:$A,'Dec 2025'!$D12,'2026 Time Off Request'!$L:$L,'Dec 2025'!AB$6)</f>
        <v>0</v>
      </c>
      <c r="AC12" s="35">
        <f>COUNTIFS('2026 Time Off Request'!$A:$A,'Dec 2025'!$D12,'2026 Time Off Request'!$L:$L,'Dec 2025'!AC$6)</f>
        <v>0</v>
      </c>
      <c r="AD12" s="51">
        <f>COUNTIFS('2026 Time Off Request'!$A:$A,'Dec 2025'!$D12,'2026 Time Off Request'!$L:$L,'Dec 2025'!AD$6)</f>
        <v>0</v>
      </c>
      <c r="AE12" s="51">
        <f>COUNTIFS('2026 Time Off Request'!$A:$A,'Dec 2025'!$D12,'2026 Time Off Request'!$L:$L,'Dec 2025'!AE$6)</f>
        <v>0</v>
      </c>
      <c r="AF12" s="48">
        <f>COUNTIFS('2026 Time Off Request'!$A:$A,'Dec 2025'!$D12,'2026 Time Off Request'!$L:$L,'Dec 2025'!AF$6)</f>
        <v>0</v>
      </c>
      <c r="AG12" s="48">
        <f>COUNTIFS('2026 Time Off Request'!$A:$A,'Dec 2025'!$D12,'2026 Time Off Request'!$L:$L,'Dec 2025'!AG$6)</f>
        <v>0</v>
      </c>
      <c r="AH12" s="35">
        <f>COUNTIFS('2026 Time Off Request'!$A:$A,'Dec 2025'!$D12,'2026 Time Off Request'!$L:$L,'Dec 2025'!AH$6)</f>
        <v>0</v>
      </c>
      <c r="AI12" s="35">
        <f>COUNTIFS('2026 Time Off Request'!$A:$A,'Dec 2025'!$D12,'2026 Time Off Request'!$L:$L,'Dec 2025'!AI$6)</f>
        <v>0</v>
      </c>
      <c r="AJ12" s="35">
        <f>COUNTIFS('2026 Time Off Request'!$A:$A,'Dec 2025'!$D12,'2026 Time Off Request'!$L:$L,'Dec 2025'!AJ$6)</f>
        <v>0</v>
      </c>
    </row>
    <row r="13" spans="1:41" ht="15.6">
      <c r="A13" s="8">
        <v>6</v>
      </c>
      <c r="B13" s="31" t="s">
        <v>36</v>
      </c>
      <c r="C13" s="26" t="s">
        <v>37</v>
      </c>
      <c r="D13" s="8" t="s">
        <v>38</v>
      </c>
      <c r="E13" s="20">
        <f t="shared" si="3"/>
        <v>0</v>
      </c>
      <c r="F13" s="60">
        <f>COUNTIFS('2026 Time Off Request'!$A:$A,'Dec 2025'!$D13,'2026 Time Off Request'!$L:$L,'Dec 2025'!F$6)</f>
        <v>0</v>
      </c>
      <c r="G13" s="35">
        <f>COUNTIFS('2026 Time Off Request'!$A:$A,'Dec 2025'!$D13,'2026 Time Off Request'!$L:$L,'Dec 2025'!G$6)</f>
        <v>0</v>
      </c>
      <c r="H13" s="35">
        <f>COUNTIFS('2026 Time Off Request'!$A:$A,'Dec 2025'!$D13,'2026 Time Off Request'!$L:$L,'Dec 2025'!H$6)</f>
        <v>0</v>
      </c>
      <c r="I13" s="35">
        <f>COUNTIFS('2026 Time Off Request'!$A:$A,'Dec 2025'!$D13,'2026 Time Off Request'!$L:$L,'Dec 2025'!I$6)</f>
        <v>0</v>
      </c>
      <c r="J13" s="35">
        <f>COUNTIFS('2026 Time Off Request'!$A:$A,'Dec 2025'!$D13,'2026 Time Off Request'!$L:$L,'Dec 2025'!J$6)</f>
        <v>0</v>
      </c>
      <c r="K13" s="48">
        <f>COUNTIFS('2026 Time Off Request'!$A:$A,'Dec 2025'!$D13,'2026 Time Off Request'!$L:$L,'Dec 2025'!K$6)</f>
        <v>0</v>
      </c>
      <c r="L13" s="48">
        <f>COUNTIFS('2026 Time Off Request'!$A:$A,'Dec 2025'!$D13,'2026 Time Off Request'!$L:$L,'Dec 2025'!L$6)</f>
        <v>0</v>
      </c>
      <c r="M13" s="35">
        <f>COUNTIFS('2026 Time Off Request'!$A:$A,'Dec 2025'!$D13,'2026 Time Off Request'!$L:$L,'Dec 2025'!M$6)</f>
        <v>0</v>
      </c>
      <c r="N13" s="35">
        <f>COUNTIFS('2026 Time Off Request'!$A:$A,'Dec 2025'!$D13,'2026 Time Off Request'!$L:$L,'Dec 2025'!N$6)</f>
        <v>0</v>
      </c>
      <c r="O13" s="35">
        <f>COUNTIFS('2026 Time Off Request'!$A:$A,'Dec 2025'!$D13,'2026 Time Off Request'!$L:$L,'Dec 2025'!O$6)</f>
        <v>0</v>
      </c>
      <c r="P13" s="35">
        <f>COUNTIFS('2026 Time Off Request'!$A:$A,'Dec 2025'!$D13,'2026 Time Off Request'!$L:$L,'Dec 2025'!P$6)</f>
        <v>0</v>
      </c>
      <c r="Q13" s="35">
        <f>COUNTIFS('2026 Time Off Request'!$A:$A,'Dec 2025'!$D13,'2026 Time Off Request'!$L:$L,'Dec 2025'!Q$6)</f>
        <v>0</v>
      </c>
      <c r="R13" s="48">
        <f>COUNTIFS('2026 Time Off Request'!$A:$A,'Dec 2025'!$D13,'2026 Time Off Request'!$L:$L,'Dec 2025'!R$6)</f>
        <v>0</v>
      </c>
      <c r="S13" s="48">
        <f>COUNTIFS('2026 Time Off Request'!$A:$A,'Dec 2025'!$D13,'2026 Time Off Request'!$L:$L,'Dec 2025'!S$6)</f>
        <v>0</v>
      </c>
      <c r="T13" s="35">
        <f>COUNTIFS('2026 Time Off Request'!$A:$A,'Dec 2025'!$D13,'2026 Time Off Request'!$L:$L,'Dec 2025'!T$6)</f>
        <v>0</v>
      </c>
      <c r="U13" s="35">
        <f>COUNTIFS('2026 Time Off Request'!$A:$A,'Dec 2025'!$D13,'2026 Time Off Request'!$L:$L,'Dec 2025'!U$6)</f>
        <v>0</v>
      </c>
      <c r="V13" s="35">
        <f>COUNTIFS('2026 Time Off Request'!$A:$A,'Dec 2025'!$D13,'2026 Time Off Request'!$L:$L,'Dec 2025'!V$6)</f>
        <v>0</v>
      </c>
      <c r="W13" s="35">
        <f>COUNTIFS('2026 Time Off Request'!$A:$A,'Dec 2025'!$D13,'2026 Time Off Request'!$L:$L,'Dec 2025'!W$6)</f>
        <v>0</v>
      </c>
      <c r="X13" s="35">
        <f>COUNTIFS('2026 Time Off Request'!$A:$A,'Dec 2025'!$D13,'2026 Time Off Request'!$L:$L,'Dec 2025'!X$6)</f>
        <v>0</v>
      </c>
      <c r="Y13" s="48">
        <f>COUNTIFS('2026 Time Off Request'!$A:$A,'Dec 2025'!$D13,'2026 Time Off Request'!$L:$L,'Dec 2025'!Y$6)</f>
        <v>0</v>
      </c>
      <c r="Z13" s="48">
        <f>COUNTIFS('2026 Time Off Request'!$A:$A,'Dec 2025'!$D13,'2026 Time Off Request'!$L:$L,'Dec 2025'!Z$6)</f>
        <v>0</v>
      </c>
      <c r="AA13" s="35">
        <f>COUNTIFS('2026 Time Off Request'!$A:$A,'Dec 2025'!$D13,'2026 Time Off Request'!$L:$L,'Dec 2025'!AA$6)</f>
        <v>0</v>
      </c>
      <c r="AB13" s="35">
        <f>COUNTIFS('2026 Time Off Request'!$A:$A,'Dec 2025'!$D13,'2026 Time Off Request'!$L:$L,'Dec 2025'!AB$6)</f>
        <v>0</v>
      </c>
      <c r="AC13" s="35">
        <f>COUNTIFS('2026 Time Off Request'!$A:$A,'Dec 2025'!$D13,'2026 Time Off Request'!$L:$L,'Dec 2025'!AC$6)</f>
        <v>0</v>
      </c>
      <c r="AD13" s="51">
        <f>COUNTIFS('2026 Time Off Request'!$A:$A,'Dec 2025'!$D13,'2026 Time Off Request'!$L:$L,'Dec 2025'!AD$6)</f>
        <v>0</v>
      </c>
      <c r="AE13" s="51">
        <f>COUNTIFS('2026 Time Off Request'!$A:$A,'Dec 2025'!$D13,'2026 Time Off Request'!$L:$L,'Dec 2025'!AE$6)</f>
        <v>0</v>
      </c>
      <c r="AF13" s="48">
        <f>COUNTIFS('2026 Time Off Request'!$A:$A,'Dec 2025'!$D13,'2026 Time Off Request'!$L:$L,'Dec 2025'!AF$6)</f>
        <v>0</v>
      </c>
      <c r="AG13" s="48">
        <f>COUNTIFS('2026 Time Off Request'!$A:$A,'Dec 2025'!$D13,'2026 Time Off Request'!$L:$L,'Dec 2025'!AG$6)</f>
        <v>0</v>
      </c>
      <c r="AH13" s="35">
        <f>COUNTIFS('2026 Time Off Request'!$A:$A,'Dec 2025'!$D13,'2026 Time Off Request'!$L:$L,'Dec 2025'!AH$6)</f>
        <v>0</v>
      </c>
      <c r="AI13" s="35">
        <f>COUNTIFS('2026 Time Off Request'!$A:$A,'Dec 2025'!$D13,'2026 Time Off Request'!$L:$L,'Dec 2025'!AI$6)</f>
        <v>0</v>
      </c>
      <c r="AJ13" s="35">
        <f>COUNTIFS('2026 Time Off Request'!$A:$A,'Dec 2025'!$D13,'2026 Time Off Request'!$L:$L,'Dec 2025'!AJ$6)</f>
        <v>0</v>
      </c>
    </row>
    <row r="14" spans="1:41" ht="15.6">
      <c r="A14" s="8">
        <v>7</v>
      </c>
      <c r="B14" s="31" t="s">
        <v>36</v>
      </c>
      <c r="C14" s="26" t="s">
        <v>37</v>
      </c>
      <c r="D14" s="8" t="s">
        <v>39</v>
      </c>
      <c r="E14" s="20">
        <f t="shared" si="3"/>
        <v>0</v>
      </c>
      <c r="F14" s="60">
        <f>COUNTIFS('2026 Time Off Request'!$A:$A,'Dec 2025'!$D14,'2026 Time Off Request'!$L:$L,'Dec 2025'!F$6)</f>
        <v>0</v>
      </c>
      <c r="G14" s="35">
        <f>COUNTIFS('2026 Time Off Request'!$A:$A,'Dec 2025'!$D14,'2026 Time Off Request'!$L:$L,'Dec 2025'!G$6)</f>
        <v>0</v>
      </c>
      <c r="H14" s="35">
        <f>COUNTIFS('2026 Time Off Request'!$A:$A,'Dec 2025'!$D14,'2026 Time Off Request'!$L:$L,'Dec 2025'!H$6)</f>
        <v>0</v>
      </c>
      <c r="I14" s="35">
        <f>COUNTIFS('2026 Time Off Request'!$A:$A,'Dec 2025'!$D14,'2026 Time Off Request'!$L:$L,'Dec 2025'!I$6)</f>
        <v>0</v>
      </c>
      <c r="J14" s="35">
        <f>COUNTIFS('2026 Time Off Request'!$A:$A,'Dec 2025'!$D14,'2026 Time Off Request'!$L:$L,'Dec 2025'!J$6)</f>
        <v>0</v>
      </c>
      <c r="K14" s="48">
        <f>COUNTIFS('2026 Time Off Request'!$A:$A,'Dec 2025'!$D14,'2026 Time Off Request'!$L:$L,'Dec 2025'!K$6)</f>
        <v>0</v>
      </c>
      <c r="L14" s="48">
        <f>COUNTIFS('2026 Time Off Request'!$A:$A,'Dec 2025'!$D14,'2026 Time Off Request'!$L:$L,'Dec 2025'!L$6)</f>
        <v>0</v>
      </c>
      <c r="M14" s="35">
        <f>COUNTIFS('2026 Time Off Request'!$A:$A,'Dec 2025'!$D14,'2026 Time Off Request'!$L:$L,'Dec 2025'!M$6)</f>
        <v>0</v>
      </c>
      <c r="N14" s="35">
        <f>COUNTIFS('2026 Time Off Request'!$A:$A,'Dec 2025'!$D14,'2026 Time Off Request'!$L:$L,'Dec 2025'!N$6)</f>
        <v>0</v>
      </c>
      <c r="O14" s="35">
        <f>COUNTIFS('2026 Time Off Request'!$A:$A,'Dec 2025'!$D14,'2026 Time Off Request'!$L:$L,'Dec 2025'!O$6)</f>
        <v>0</v>
      </c>
      <c r="P14" s="35">
        <f>COUNTIFS('2026 Time Off Request'!$A:$A,'Dec 2025'!$D14,'2026 Time Off Request'!$L:$L,'Dec 2025'!P$6)</f>
        <v>0</v>
      </c>
      <c r="Q14" s="35">
        <f>COUNTIFS('2026 Time Off Request'!$A:$A,'Dec 2025'!$D14,'2026 Time Off Request'!$L:$L,'Dec 2025'!Q$6)</f>
        <v>0</v>
      </c>
      <c r="R14" s="48">
        <f>COUNTIFS('2026 Time Off Request'!$A:$A,'Dec 2025'!$D14,'2026 Time Off Request'!$L:$L,'Dec 2025'!R$6)</f>
        <v>0</v>
      </c>
      <c r="S14" s="48">
        <f>COUNTIFS('2026 Time Off Request'!$A:$A,'Dec 2025'!$D14,'2026 Time Off Request'!$L:$L,'Dec 2025'!S$6)</f>
        <v>0</v>
      </c>
      <c r="T14" s="35">
        <f>COUNTIFS('2026 Time Off Request'!$A:$A,'Dec 2025'!$D14,'2026 Time Off Request'!$L:$L,'Dec 2025'!T$6)</f>
        <v>0</v>
      </c>
      <c r="U14" s="35">
        <f>COUNTIFS('2026 Time Off Request'!$A:$A,'Dec 2025'!$D14,'2026 Time Off Request'!$L:$L,'Dec 2025'!U$6)</f>
        <v>0</v>
      </c>
      <c r="V14" s="35">
        <f>COUNTIFS('2026 Time Off Request'!$A:$A,'Dec 2025'!$D14,'2026 Time Off Request'!$L:$L,'Dec 2025'!V$6)</f>
        <v>0</v>
      </c>
      <c r="W14" s="35">
        <f>COUNTIFS('2026 Time Off Request'!$A:$A,'Dec 2025'!$D14,'2026 Time Off Request'!$L:$L,'Dec 2025'!W$6)</f>
        <v>0</v>
      </c>
      <c r="X14" s="35">
        <f>COUNTIFS('2026 Time Off Request'!$A:$A,'Dec 2025'!$D14,'2026 Time Off Request'!$L:$L,'Dec 2025'!X$6)</f>
        <v>0</v>
      </c>
      <c r="Y14" s="48">
        <f>COUNTIFS('2026 Time Off Request'!$A:$A,'Dec 2025'!$D14,'2026 Time Off Request'!$L:$L,'Dec 2025'!Y$6)</f>
        <v>0</v>
      </c>
      <c r="Z14" s="48">
        <f>COUNTIFS('2026 Time Off Request'!$A:$A,'Dec 2025'!$D14,'2026 Time Off Request'!$L:$L,'Dec 2025'!Z$6)</f>
        <v>0</v>
      </c>
      <c r="AA14" s="35">
        <f>COUNTIFS('2026 Time Off Request'!$A:$A,'Dec 2025'!$D14,'2026 Time Off Request'!$L:$L,'Dec 2025'!AA$6)</f>
        <v>0</v>
      </c>
      <c r="AB14" s="35">
        <f>COUNTIFS('2026 Time Off Request'!$A:$A,'Dec 2025'!$D14,'2026 Time Off Request'!$L:$L,'Dec 2025'!AB$6)</f>
        <v>0</v>
      </c>
      <c r="AC14" s="35">
        <f>COUNTIFS('2026 Time Off Request'!$A:$A,'Dec 2025'!$D14,'2026 Time Off Request'!$L:$L,'Dec 2025'!AC$6)</f>
        <v>0</v>
      </c>
      <c r="AD14" s="51">
        <f>COUNTIFS('2026 Time Off Request'!$A:$A,'Dec 2025'!$D14,'2026 Time Off Request'!$L:$L,'Dec 2025'!AD$6)</f>
        <v>0</v>
      </c>
      <c r="AE14" s="51">
        <f>COUNTIFS('2026 Time Off Request'!$A:$A,'Dec 2025'!$D14,'2026 Time Off Request'!$L:$L,'Dec 2025'!AE$6)</f>
        <v>0</v>
      </c>
      <c r="AF14" s="48">
        <f>COUNTIFS('2026 Time Off Request'!$A:$A,'Dec 2025'!$D14,'2026 Time Off Request'!$L:$L,'Dec 2025'!AF$6)</f>
        <v>0</v>
      </c>
      <c r="AG14" s="48">
        <f>COUNTIFS('2026 Time Off Request'!$A:$A,'Dec 2025'!$D14,'2026 Time Off Request'!$L:$L,'Dec 2025'!AG$6)</f>
        <v>0</v>
      </c>
      <c r="AH14" s="35">
        <f>COUNTIFS('2026 Time Off Request'!$A:$A,'Dec 2025'!$D14,'2026 Time Off Request'!$L:$L,'Dec 2025'!AH$6)</f>
        <v>0</v>
      </c>
      <c r="AI14" s="35">
        <f>COUNTIFS('2026 Time Off Request'!$A:$A,'Dec 2025'!$D14,'2026 Time Off Request'!$L:$L,'Dec 2025'!AI$6)</f>
        <v>0</v>
      </c>
      <c r="AJ14" s="35">
        <f>COUNTIFS('2026 Time Off Request'!$A:$A,'Dec 2025'!$D14,'2026 Time Off Request'!$L:$L,'Dec 2025'!AJ$6)</f>
        <v>0</v>
      </c>
    </row>
    <row r="15" spans="1:41" ht="15.6">
      <c r="A15" s="8">
        <v>8</v>
      </c>
      <c r="B15" s="31" t="s">
        <v>36</v>
      </c>
      <c r="C15" s="26" t="s">
        <v>37</v>
      </c>
      <c r="D15" s="8" t="s">
        <v>40</v>
      </c>
      <c r="E15" s="20">
        <f t="shared" si="3"/>
        <v>0</v>
      </c>
      <c r="F15" s="60">
        <f>COUNTIFS('2026 Time Off Request'!$A:$A,'Dec 2025'!$D15,'2026 Time Off Request'!$L:$L,'Dec 2025'!F$6)</f>
        <v>0</v>
      </c>
      <c r="G15" s="35">
        <f>COUNTIFS('2026 Time Off Request'!$A:$A,'Dec 2025'!$D15,'2026 Time Off Request'!$L:$L,'Dec 2025'!G$6)</f>
        <v>0</v>
      </c>
      <c r="H15" s="35">
        <f>COUNTIFS('2026 Time Off Request'!$A:$A,'Dec 2025'!$D15,'2026 Time Off Request'!$L:$L,'Dec 2025'!H$6)</f>
        <v>0</v>
      </c>
      <c r="I15" s="35">
        <f>COUNTIFS('2026 Time Off Request'!$A:$A,'Dec 2025'!$D15,'2026 Time Off Request'!$L:$L,'Dec 2025'!I$6)</f>
        <v>0</v>
      </c>
      <c r="J15" s="35">
        <f>COUNTIFS('2026 Time Off Request'!$A:$A,'Dec 2025'!$D15,'2026 Time Off Request'!$L:$L,'Dec 2025'!J$6)</f>
        <v>0</v>
      </c>
      <c r="K15" s="48">
        <f>COUNTIFS('2026 Time Off Request'!$A:$A,'Dec 2025'!$D15,'2026 Time Off Request'!$L:$L,'Dec 2025'!K$6)</f>
        <v>0</v>
      </c>
      <c r="L15" s="48">
        <f>COUNTIFS('2026 Time Off Request'!$A:$A,'Dec 2025'!$D15,'2026 Time Off Request'!$L:$L,'Dec 2025'!L$6)</f>
        <v>0</v>
      </c>
      <c r="M15" s="35">
        <f>COUNTIFS('2026 Time Off Request'!$A:$A,'Dec 2025'!$D15,'2026 Time Off Request'!$L:$L,'Dec 2025'!M$6)</f>
        <v>0</v>
      </c>
      <c r="N15" s="35">
        <f>COUNTIFS('2026 Time Off Request'!$A:$A,'Dec 2025'!$D15,'2026 Time Off Request'!$L:$L,'Dec 2025'!N$6)</f>
        <v>0</v>
      </c>
      <c r="O15" s="35">
        <f>COUNTIFS('2026 Time Off Request'!$A:$A,'Dec 2025'!$D15,'2026 Time Off Request'!$L:$L,'Dec 2025'!O$6)</f>
        <v>0</v>
      </c>
      <c r="P15" s="35">
        <f>COUNTIFS('2026 Time Off Request'!$A:$A,'Dec 2025'!$D15,'2026 Time Off Request'!$L:$L,'Dec 2025'!P$6)</f>
        <v>0</v>
      </c>
      <c r="Q15" s="35">
        <f>COUNTIFS('2026 Time Off Request'!$A:$A,'Dec 2025'!$D15,'2026 Time Off Request'!$L:$L,'Dec 2025'!Q$6)</f>
        <v>0</v>
      </c>
      <c r="R15" s="48">
        <f>COUNTIFS('2026 Time Off Request'!$A:$A,'Dec 2025'!$D15,'2026 Time Off Request'!$L:$L,'Dec 2025'!R$6)</f>
        <v>0</v>
      </c>
      <c r="S15" s="48">
        <f>COUNTIFS('2026 Time Off Request'!$A:$A,'Dec 2025'!$D15,'2026 Time Off Request'!$L:$L,'Dec 2025'!S$6)</f>
        <v>0</v>
      </c>
      <c r="T15" s="35">
        <f>COUNTIFS('2026 Time Off Request'!$A:$A,'Dec 2025'!$D15,'2026 Time Off Request'!$L:$L,'Dec 2025'!T$6)</f>
        <v>0</v>
      </c>
      <c r="U15" s="35">
        <f>COUNTIFS('2026 Time Off Request'!$A:$A,'Dec 2025'!$D15,'2026 Time Off Request'!$L:$L,'Dec 2025'!U$6)</f>
        <v>0</v>
      </c>
      <c r="V15" s="35">
        <f>COUNTIFS('2026 Time Off Request'!$A:$A,'Dec 2025'!$D15,'2026 Time Off Request'!$L:$L,'Dec 2025'!V$6)</f>
        <v>0</v>
      </c>
      <c r="W15" s="35">
        <f>COUNTIFS('2026 Time Off Request'!$A:$A,'Dec 2025'!$D15,'2026 Time Off Request'!$L:$L,'Dec 2025'!W$6)</f>
        <v>0</v>
      </c>
      <c r="X15" s="35">
        <f>COUNTIFS('2026 Time Off Request'!$A:$A,'Dec 2025'!$D15,'2026 Time Off Request'!$L:$L,'Dec 2025'!X$6)</f>
        <v>0</v>
      </c>
      <c r="Y15" s="48">
        <f>COUNTIFS('2026 Time Off Request'!$A:$A,'Dec 2025'!$D15,'2026 Time Off Request'!$L:$L,'Dec 2025'!Y$6)</f>
        <v>0</v>
      </c>
      <c r="Z15" s="48">
        <f>COUNTIFS('2026 Time Off Request'!$A:$A,'Dec 2025'!$D15,'2026 Time Off Request'!$L:$L,'Dec 2025'!Z$6)</f>
        <v>0</v>
      </c>
      <c r="AA15" s="35">
        <f>COUNTIFS('2026 Time Off Request'!$A:$A,'Dec 2025'!$D15,'2026 Time Off Request'!$L:$L,'Dec 2025'!AA$6)</f>
        <v>0</v>
      </c>
      <c r="AB15" s="35">
        <f>COUNTIFS('2026 Time Off Request'!$A:$A,'Dec 2025'!$D15,'2026 Time Off Request'!$L:$L,'Dec 2025'!AB$6)</f>
        <v>0</v>
      </c>
      <c r="AC15" s="35">
        <f>COUNTIFS('2026 Time Off Request'!$A:$A,'Dec 2025'!$D15,'2026 Time Off Request'!$L:$L,'Dec 2025'!AC$6)</f>
        <v>0</v>
      </c>
      <c r="AD15" s="51">
        <f>COUNTIFS('2026 Time Off Request'!$A:$A,'Dec 2025'!$D15,'2026 Time Off Request'!$L:$L,'Dec 2025'!AD$6)</f>
        <v>0</v>
      </c>
      <c r="AE15" s="51">
        <f>COUNTIFS('2026 Time Off Request'!$A:$A,'Dec 2025'!$D15,'2026 Time Off Request'!$L:$L,'Dec 2025'!AE$6)</f>
        <v>0</v>
      </c>
      <c r="AF15" s="48">
        <f>COUNTIFS('2026 Time Off Request'!$A:$A,'Dec 2025'!$D15,'2026 Time Off Request'!$L:$L,'Dec 2025'!AF$6)</f>
        <v>0</v>
      </c>
      <c r="AG15" s="48">
        <f>COUNTIFS('2026 Time Off Request'!$A:$A,'Dec 2025'!$D15,'2026 Time Off Request'!$L:$L,'Dec 2025'!AG$6)</f>
        <v>0</v>
      </c>
      <c r="AH15" s="35">
        <f>COUNTIFS('2026 Time Off Request'!$A:$A,'Dec 2025'!$D15,'2026 Time Off Request'!$L:$L,'Dec 2025'!AH$6)</f>
        <v>0</v>
      </c>
      <c r="AI15" s="35">
        <f>COUNTIFS('2026 Time Off Request'!$A:$A,'Dec 2025'!$D15,'2026 Time Off Request'!$L:$L,'Dec 2025'!AI$6)</f>
        <v>0</v>
      </c>
      <c r="AJ15" s="35">
        <f>COUNTIFS('2026 Time Off Request'!$A:$A,'Dec 2025'!$D15,'2026 Time Off Request'!$L:$L,'Dec 2025'!AJ$6)</f>
        <v>0</v>
      </c>
    </row>
    <row r="16" spans="1:41" ht="15.6">
      <c r="A16" s="8">
        <v>9</v>
      </c>
      <c r="B16" s="31" t="s">
        <v>36</v>
      </c>
      <c r="C16" s="26" t="s">
        <v>37</v>
      </c>
      <c r="D16" s="8" t="s">
        <v>41</v>
      </c>
      <c r="E16" s="20">
        <f t="shared" si="3"/>
        <v>0</v>
      </c>
      <c r="F16" s="60">
        <f>COUNTIFS('2026 Time Off Request'!$A:$A,'Dec 2025'!$D16,'2026 Time Off Request'!$L:$L,'Dec 2025'!F$6)</f>
        <v>0</v>
      </c>
      <c r="G16" s="35">
        <f>COUNTIFS('2026 Time Off Request'!$A:$A,'Dec 2025'!$D16,'2026 Time Off Request'!$L:$L,'Dec 2025'!G$6)</f>
        <v>0</v>
      </c>
      <c r="H16" s="35">
        <f>COUNTIFS('2026 Time Off Request'!$A:$A,'Dec 2025'!$D16,'2026 Time Off Request'!$L:$L,'Dec 2025'!H$6)</f>
        <v>0</v>
      </c>
      <c r="I16" s="35">
        <f>COUNTIFS('2026 Time Off Request'!$A:$A,'Dec 2025'!$D16,'2026 Time Off Request'!$L:$L,'Dec 2025'!I$6)</f>
        <v>0</v>
      </c>
      <c r="J16" s="35">
        <f>COUNTIFS('2026 Time Off Request'!$A:$A,'Dec 2025'!$D16,'2026 Time Off Request'!$L:$L,'Dec 2025'!J$6)</f>
        <v>0</v>
      </c>
      <c r="K16" s="48">
        <f>COUNTIFS('2026 Time Off Request'!$A:$A,'Dec 2025'!$D16,'2026 Time Off Request'!$L:$L,'Dec 2025'!K$6)</f>
        <v>0</v>
      </c>
      <c r="L16" s="48">
        <f>COUNTIFS('2026 Time Off Request'!$A:$A,'Dec 2025'!$D16,'2026 Time Off Request'!$L:$L,'Dec 2025'!L$6)</f>
        <v>0</v>
      </c>
      <c r="M16" s="35">
        <f>COUNTIFS('2026 Time Off Request'!$A:$A,'Dec 2025'!$D16,'2026 Time Off Request'!$L:$L,'Dec 2025'!M$6)</f>
        <v>0</v>
      </c>
      <c r="N16" s="35">
        <f>COUNTIFS('2026 Time Off Request'!$A:$A,'Dec 2025'!$D16,'2026 Time Off Request'!$L:$L,'Dec 2025'!N$6)</f>
        <v>0</v>
      </c>
      <c r="O16" s="35">
        <f>COUNTIFS('2026 Time Off Request'!$A:$A,'Dec 2025'!$D16,'2026 Time Off Request'!$L:$L,'Dec 2025'!O$6)</f>
        <v>0</v>
      </c>
      <c r="P16" s="35">
        <f>COUNTIFS('2026 Time Off Request'!$A:$A,'Dec 2025'!$D16,'2026 Time Off Request'!$L:$L,'Dec 2025'!P$6)</f>
        <v>0</v>
      </c>
      <c r="Q16" s="35">
        <f>COUNTIFS('2026 Time Off Request'!$A:$A,'Dec 2025'!$D16,'2026 Time Off Request'!$L:$L,'Dec 2025'!Q$6)</f>
        <v>0</v>
      </c>
      <c r="R16" s="48">
        <f>COUNTIFS('2026 Time Off Request'!$A:$A,'Dec 2025'!$D16,'2026 Time Off Request'!$L:$L,'Dec 2025'!R$6)</f>
        <v>0</v>
      </c>
      <c r="S16" s="48">
        <f>COUNTIFS('2026 Time Off Request'!$A:$A,'Dec 2025'!$D16,'2026 Time Off Request'!$L:$L,'Dec 2025'!S$6)</f>
        <v>0</v>
      </c>
      <c r="T16" s="35">
        <f>COUNTIFS('2026 Time Off Request'!$A:$A,'Dec 2025'!$D16,'2026 Time Off Request'!$L:$L,'Dec 2025'!T$6)</f>
        <v>0</v>
      </c>
      <c r="U16" s="35">
        <f>COUNTIFS('2026 Time Off Request'!$A:$A,'Dec 2025'!$D16,'2026 Time Off Request'!$L:$L,'Dec 2025'!U$6)</f>
        <v>0</v>
      </c>
      <c r="V16" s="35">
        <f>COUNTIFS('2026 Time Off Request'!$A:$A,'Dec 2025'!$D16,'2026 Time Off Request'!$L:$L,'Dec 2025'!V$6)</f>
        <v>0</v>
      </c>
      <c r="W16" s="35">
        <f>COUNTIFS('2026 Time Off Request'!$A:$A,'Dec 2025'!$D16,'2026 Time Off Request'!$L:$L,'Dec 2025'!W$6)</f>
        <v>0</v>
      </c>
      <c r="X16" s="35">
        <f>COUNTIFS('2026 Time Off Request'!$A:$A,'Dec 2025'!$D16,'2026 Time Off Request'!$L:$L,'Dec 2025'!X$6)</f>
        <v>0</v>
      </c>
      <c r="Y16" s="48">
        <f>COUNTIFS('2026 Time Off Request'!$A:$A,'Dec 2025'!$D16,'2026 Time Off Request'!$L:$L,'Dec 2025'!Y$6)</f>
        <v>0</v>
      </c>
      <c r="Z16" s="48">
        <f>COUNTIFS('2026 Time Off Request'!$A:$A,'Dec 2025'!$D16,'2026 Time Off Request'!$L:$L,'Dec 2025'!Z$6)</f>
        <v>0</v>
      </c>
      <c r="AA16" s="35">
        <f>COUNTIFS('2026 Time Off Request'!$A:$A,'Dec 2025'!$D16,'2026 Time Off Request'!$L:$L,'Dec 2025'!AA$6)</f>
        <v>0</v>
      </c>
      <c r="AB16" s="35">
        <f>COUNTIFS('2026 Time Off Request'!$A:$A,'Dec 2025'!$D16,'2026 Time Off Request'!$L:$L,'Dec 2025'!AB$6)</f>
        <v>0</v>
      </c>
      <c r="AC16" s="35">
        <f>COUNTIFS('2026 Time Off Request'!$A:$A,'Dec 2025'!$D16,'2026 Time Off Request'!$L:$L,'Dec 2025'!AC$6)</f>
        <v>0</v>
      </c>
      <c r="AD16" s="51">
        <f>COUNTIFS('2026 Time Off Request'!$A:$A,'Dec 2025'!$D16,'2026 Time Off Request'!$L:$L,'Dec 2025'!AD$6)</f>
        <v>0</v>
      </c>
      <c r="AE16" s="51">
        <f>COUNTIFS('2026 Time Off Request'!$A:$A,'Dec 2025'!$D16,'2026 Time Off Request'!$L:$L,'Dec 2025'!AE$6)</f>
        <v>0</v>
      </c>
      <c r="AF16" s="48">
        <f>COUNTIFS('2026 Time Off Request'!$A:$A,'Dec 2025'!$D16,'2026 Time Off Request'!$L:$L,'Dec 2025'!AF$6)</f>
        <v>0</v>
      </c>
      <c r="AG16" s="48">
        <f>COUNTIFS('2026 Time Off Request'!$A:$A,'Dec 2025'!$D16,'2026 Time Off Request'!$L:$L,'Dec 2025'!AG$6)</f>
        <v>0</v>
      </c>
      <c r="AH16" s="35">
        <f>COUNTIFS('2026 Time Off Request'!$A:$A,'Dec 2025'!$D16,'2026 Time Off Request'!$L:$L,'Dec 2025'!AH$6)</f>
        <v>0</v>
      </c>
      <c r="AI16" s="35">
        <f>COUNTIFS('2026 Time Off Request'!$A:$A,'Dec 2025'!$D16,'2026 Time Off Request'!$L:$L,'Dec 2025'!AI$6)</f>
        <v>0</v>
      </c>
      <c r="AJ16" s="35">
        <f>COUNTIFS('2026 Time Off Request'!$A:$A,'Dec 2025'!$D16,'2026 Time Off Request'!$L:$L,'Dec 2025'!AJ$6)</f>
        <v>0</v>
      </c>
    </row>
    <row r="17" spans="1:36" ht="15.6">
      <c r="A17" s="8">
        <v>10</v>
      </c>
      <c r="B17" s="31" t="s">
        <v>36</v>
      </c>
      <c r="C17" s="26" t="s">
        <v>37</v>
      </c>
      <c r="D17" s="8" t="s">
        <v>42</v>
      </c>
      <c r="E17" s="20">
        <f t="shared" si="3"/>
        <v>0</v>
      </c>
      <c r="F17" s="60">
        <f>COUNTIFS('2026 Time Off Request'!$A:$A,'Dec 2025'!$D17,'2026 Time Off Request'!$L:$L,'Dec 2025'!F$6)</f>
        <v>0</v>
      </c>
      <c r="G17" s="35">
        <f>COUNTIFS('2026 Time Off Request'!$A:$A,'Dec 2025'!$D17,'2026 Time Off Request'!$L:$L,'Dec 2025'!G$6)</f>
        <v>0</v>
      </c>
      <c r="H17" s="35">
        <f>COUNTIFS('2026 Time Off Request'!$A:$A,'Dec 2025'!$D17,'2026 Time Off Request'!$L:$L,'Dec 2025'!H$6)</f>
        <v>0</v>
      </c>
      <c r="I17" s="35">
        <f>COUNTIFS('2026 Time Off Request'!$A:$A,'Dec 2025'!$D17,'2026 Time Off Request'!$L:$L,'Dec 2025'!I$6)</f>
        <v>0</v>
      </c>
      <c r="J17" s="35">
        <f>COUNTIFS('2026 Time Off Request'!$A:$A,'Dec 2025'!$D17,'2026 Time Off Request'!$L:$L,'Dec 2025'!J$6)</f>
        <v>0</v>
      </c>
      <c r="K17" s="48">
        <f>COUNTIFS('2026 Time Off Request'!$A:$A,'Dec 2025'!$D17,'2026 Time Off Request'!$L:$L,'Dec 2025'!K$6)</f>
        <v>0</v>
      </c>
      <c r="L17" s="48">
        <f>COUNTIFS('2026 Time Off Request'!$A:$A,'Dec 2025'!$D17,'2026 Time Off Request'!$L:$L,'Dec 2025'!L$6)</f>
        <v>0</v>
      </c>
      <c r="M17" s="35">
        <f>COUNTIFS('2026 Time Off Request'!$A:$A,'Dec 2025'!$D17,'2026 Time Off Request'!$L:$L,'Dec 2025'!M$6)</f>
        <v>0</v>
      </c>
      <c r="N17" s="35">
        <f>COUNTIFS('2026 Time Off Request'!$A:$A,'Dec 2025'!$D17,'2026 Time Off Request'!$L:$L,'Dec 2025'!N$6)</f>
        <v>0</v>
      </c>
      <c r="O17" s="35">
        <f>COUNTIFS('2026 Time Off Request'!$A:$A,'Dec 2025'!$D17,'2026 Time Off Request'!$L:$L,'Dec 2025'!O$6)</f>
        <v>0</v>
      </c>
      <c r="P17" s="35">
        <f>COUNTIFS('2026 Time Off Request'!$A:$A,'Dec 2025'!$D17,'2026 Time Off Request'!$L:$L,'Dec 2025'!P$6)</f>
        <v>0</v>
      </c>
      <c r="Q17" s="35">
        <f>COUNTIFS('2026 Time Off Request'!$A:$A,'Dec 2025'!$D17,'2026 Time Off Request'!$L:$L,'Dec 2025'!Q$6)</f>
        <v>0</v>
      </c>
      <c r="R17" s="48">
        <f>COUNTIFS('2026 Time Off Request'!$A:$A,'Dec 2025'!$D17,'2026 Time Off Request'!$L:$L,'Dec 2025'!R$6)</f>
        <v>0</v>
      </c>
      <c r="S17" s="48">
        <f>COUNTIFS('2026 Time Off Request'!$A:$A,'Dec 2025'!$D17,'2026 Time Off Request'!$L:$L,'Dec 2025'!S$6)</f>
        <v>0</v>
      </c>
      <c r="T17" s="35">
        <f>COUNTIFS('2026 Time Off Request'!$A:$A,'Dec 2025'!$D17,'2026 Time Off Request'!$L:$L,'Dec 2025'!T$6)</f>
        <v>0</v>
      </c>
      <c r="U17" s="35">
        <f>COUNTIFS('2026 Time Off Request'!$A:$A,'Dec 2025'!$D17,'2026 Time Off Request'!$L:$L,'Dec 2025'!U$6)</f>
        <v>0</v>
      </c>
      <c r="V17" s="35">
        <f>COUNTIFS('2026 Time Off Request'!$A:$A,'Dec 2025'!$D17,'2026 Time Off Request'!$L:$L,'Dec 2025'!V$6)</f>
        <v>0</v>
      </c>
      <c r="W17" s="35">
        <f>COUNTIFS('2026 Time Off Request'!$A:$A,'Dec 2025'!$D17,'2026 Time Off Request'!$L:$L,'Dec 2025'!W$6)</f>
        <v>0</v>
      </c>
      <c r="X17" s="35">
        <f>COUNTIFS('2026 Time Off Request'!$A:$A,'Dec 2025'!$D17,'2026 Time Off Request'!$L:$L,'Dec 2025'!X$6)</f>
        <v>0</v>
      </c>
      <c r="Y17" s="48">
        <f>COUNTIFS('2026 Time Off Request'!$A:$A,'Dec 2025'!$D17,'2026 Time Off Request'!$L:$L,'Dec 2025'!Y$6)</f>
        <v>0</v>
      </c>
      <c r="Z17" s="48">
        <f>COUNTIFS('2026 Time Off Request'!$A:$A,'Dec 2025'!$D17,'2026 Time Off Request'!$L:$L,'Dec 2025'!Z$6)</f>
        <v>0</v>
      </c>
      <c r="AA17" s="35">
        <f>COUNTIFS('2026 Time Off Request'!$A:$A,'Dec 2025'!$D17,'2026 Time Off Request'!$L:$L,'Dec 2025'!AA$6)</f>
        <v>0</v>
      </c>
      <c r="AB17" s="35">
        <f>COUNTIFS('2026 Time Off Request'!$A:$A,'Dec 2025'!$D17,'2026 Time Off Request'!$L:$L,'Dec 2025'!AB$6)</f>
        <v>0</v>
      </c>
      <c r="AC17" s="35">
        <f>COUNTIFS('2026 Time Off Request'!$A:$A,'Dec 2025'!$D17,'2026 Time Off Request'!$L:$L,'Dec 2025'!AC$6)</f>
        <v>0</v>
      </c>
      <c r="AD17" s="51">
        <f>COUNTIFS('2026 Time Off Request'!$A:$A,'Dec 2025'!$D17,'2026 Time Off Request'!$L:$L,'Dec 2025'!AD$6)</f>
        <v>0</v>
      </c>
      <c r="AE17" s="51">
        <f>COUNTIFS('2026 Time Off Request'!$A:$A,'Dec 2025'!$D17,'2026 Time Off Request'!$L:$L,'Dec 2025'!AE$6)</f>
        <v>0</v>
      </c>
      <c r="AF17" s="48">
        <f>COUNTIFS('2026 Time Off Request'!$A:$A,'Dec 2025'!$D17,'2026 Time Off Request'!$L:$L,'Dec 2025'!AF$6)</f>
        <v>0</v>
      </c>
      <c r="AG17" s="48">
        <f>COUNTIFS('2026 Time Off Request'!$A:$A,'Dec 2025'!$D17,'2026 Time Off Request'!$L:$L,'Dec 2025'!AG$6)</f>
        <v>0</v>
      </c>
      <c r="AH17" s="35">
        <f>COUNTIFS('2026 Time Off Request'!$A:$A,'Dec 2025'!$D17,'2026 Time Off Request'!$L:$L,'Dec 2025'!AH$6)</f>
        <v>0</v>
      </c>
      <c r="AI17" s="35">
        <f>COUNTIFS('2026 Time Off Request'!$A:$A,'Dec 2025'!$D17,'2026 Time Off Request'!$L:$L,'Dec 2025'!AI$6)</f>
        <v>0</v>
      </c>
      <c r="AJ17" s="35">
        <f>COUNTIFS('2026 Time Off Request'!$A:$A,'Dec 2025'!$D17,'2026 Time Off Request'!$L:$L,'Dec 2025'!AJ$6)</f>
        <v>0</v>
      </c>
    </row>
    <row r="18" spans="1:36" ht="15.6">
      <c r="A18" s="8">
        <v>11</v>
      </c>
      <c r="B18" s="31" t="s">
        <v>36</v>
      </c>
      <c r="C18" s="26" t="s">
        <v>37</v>
      </c>
      <c r="D18" s="8" t="s">
        <v>43</v>
      </c>
      <c r="E18" s="20">
        <f t="shared" si="3"/>
        <v>0</v>
      </c>
      <c r="F18" s="60">
        <f>COUNTIFS('2026 Time Off Request'!$A:$A,'Dec 2025'!$D18,'2026 Time Off Request'!$L:$L,'Dec 2025'!F$6)</f>
        <v>0</v>
      </c>
      <c r="G18" s="35">
        <f>COUNTIFS('2026 Time Off Request'!$A:$A,'Dec 2025'!$D18,'2026 Time Off Request'!$L:$L,'Dec 2025'!G$6)</f>
        <v>0</v>
      </c>
      <c r="H18" s="35">
        <f>COUNTIFS('2026 Time Off Request'!$A:$A,'Dec 2025'!$D18,'2026 Time Off Request'!$L:$L,'Dec 2025'!H$6)</f>
        <v>0</v>
      </c>
      <c r="I18" s="35">
        <f>COUNTIFS('2026 Time Off Request'!$A:$A,'Dec 2025'!$D18,'2026 Time Off Request'!$L:$L,'Dec 2025'!I$6)</f>
        <v>0</v>
      </c>
      <c r="J18" s="35">
        <f>COUNTIFS('2026 Time Off Request'!$A:$A,'Dec 2025'!$D18,'2026 Time Off Request'!$L:$L,'Dec 2025'!J$6)</f>
        <v>0</v>
      </c>
      <c r="K18" s="48">
        <f>COUNTIFS('2026 Time Off Request'!$A:$A,'Dec 2025'!$D18,'2026 Time Off Request'!$L:$L,'Dec 2025'!K$6)</f>
        <v>0</v>
      </c>
      <c r="L18" s="48">
        <f>COUNTIFS('2026 Time Off Request'!$A:$A,'Dec 2025'!$D18,'2026 Time Off Request'!$L:$L,'Dec 2025'!L$6)</f>
        <v>0</v>
      </c>
      <c r="M18" s="35">
        <f>COUNTIFS('2026 Time Off Request'!$A:$A,'Dec 2025'!$D18,'2026 Time Off Request'!$L:$L,'Dec 2025'!M$6)</f>
        <v>0</v>
      </c>
      <c r="N18" s="35">
        <f>COUNTIFS('2026 Time Off Request'!$A:$A,'Dec 2025'!$D18,'2026 Time Off Request'!$L:$L,'Dec 2025'!N$6)</f>
        <v>0</v>
      </c>
      <c r="O18" s="35">
        <f>COUNTIFS('2026 Time Off Request'!$A:$A,'Dec 2025'!$D18,'2026 Time Off Request'!$L:$L,'Dec 2025'!O$6)</f>
        <v>0</v>
      </c>
      <c r="P18" s="35">
        <f>COUNTIFS('2026 Time Off Request'!$A:$A,'Dec 2025'!$D18,'2026 Time Off Request'!$L:$L,'Dec 2025'!P$6)</f>
        <v>0</v>
      </c>
      <c r="Q18" s="35">
        <f>COUNTIFS('2026 Time Off Request'!$A:$A,'Dec 2025'!$D18,'2026 Time Off Request'!$L:$L,'Dec 2025'!Q$6)</f>
        <v>0</v>
      </c>
      <c r="R18" s="48">
        <f>COUNTIFS('2026 Time Off Request'!$A:$A,'Dec 2025'!$D18,'2026 Time Off Request'!$L:$L,'Dec 2025'!R$6)</f>
        <v>0</v>
      </c>
      <c r="S18" s="48">
        <f>COUNTIFS('2026 Time Off Request'!$A:$A,'Dec 2025'!$D18,'2026 Time Off Request'!$L:$L,'Dec 2025'!S$6)</f>
        <v>0</v>
      </c>
      <c r="T18" s="35">
        <f>COUNTIFS('2026 Time Off Request'!$A:$A,'Dec 2025'!$D18,'2026 Time Off Request'!$L:$L,'Dec 2025'!T$6)</f>
        <v>0</v>
      </c>
      <c r="U18" s="35">
        <f>COUNTIFS('2026 Time Off Request'!$A:$A,'Dec 2025'!$D18,'2026 Time Off Request'!$L:$L,'Dec 2025'!U$6)</f>
        <v>0</v>
      </c>
      <c r="V18" s="35">
        <f>COUNTIFS('2026 Time Off Request'!$A:$A,'Dec 2025'!$D18,'2026 Time Off Request'!$L:$L,'Dec 2025'!V$6)</f>
        <v>0</v>
      </c>
      <c r="W18" s="35">
        <f>COUNTIFS('2026 Time Off Request'!$A:$A,'Dec 2025'!$D18,'2026 Time Off Request'!$L:$L,'Dec 2025'!W$6)</f>
        <v>0</v>
      </c>
      <c r="X18" s="35">
        <f>COUNTIFS('2026 Time Off Request'!$A:$A,'Dec 2025'!$D18,'2026 Time Off Request'!$L:$L,'Dec 2025'!X$6)</f>
        <v>0</v>
      </c>
      <c r="Y18" s="48">
        <f>COUNTIFS('2026 Time Off Request'!$A:$A,'Dec 2025'!$D18,'2026 Time Off Request'!$L:$L,'Dec 2025'!Y$6)</f>
        <v>0</v>
      </c>
      <c r="Z18" s="48">
        <f>COUNTIFS('2026 Time Off Request'!$A:$A,'Dec 2025'!$D18,'2026 Time Off Request'!$L:$L,'Dec 2025'!Z$6)</f>
        <v>0</v>
      </c>
      <c r="AA18" s="35">
        <f>COUNTIFS('2026 Time Off Request'!$A:$A,'Dec 2025'!$D18,'2026 Time Off Request'!$L:$L,'Dec 2025'!AA$6)</f>
        <v>0</v>
      </c>
      <c r="AB18" s="35">
        <f>COUNTIFS('2026 Time Off Request'!$A:$A,'Dec 2025'!$D18,'2026 Time Off Request'!$L:$L,'Dec 2025'!AB$6)</f>
        <v>0</v>
      </c>
      <c r="AC18" s="35">
        <f>COUNTIFS('2026 Time Off Request'!$A:$A,'Dec 2025'!$D18,'2026 Time Off Request'!$L:$L,'Dec 2025'!AC$6)</f>
        <v>0</v>
      </c>
      <c r="AD18" s="51">
        <f>COUNTIFS('2026 Time Off Request'!$A:$A,'Dec 2025'!$D18,'2026 Time Off Request'!$L:$L,'Dec 2025'!AD$6)</f>
        <v>0</v>
      </c>
      <c r="AE18" s="51">
        <f>COUNTIFS('2026 Time Off Request'!$A:$A,'Dec 2025'!$D18,'2026 Time Off Request'!$L:$L,'Dec 2025'!AE$6)</f>
        <v>0</v>
      </c>
      <c r="AF18" s="48">
        <f>COUNTIFS('2026 Time Off Request'!$A:$A,'Dec 2025'!$D18,'2026 Time Off Request'!$L:$L,'Dec 2025'!AF$6)</f>
        <v>0</v>
      </c>
      <c r="AG18" s="48">
        <f>COUNTIFS('2026 Time Off Request'!$A:$A,'Dec 2025'!$D18,'2026 Time Off Request'!$L:$L,'Dec 2025'!AG$6)</f>
        <v>0</v>
      </c>
      <c r="AH18" s="35">
        <f>COUNTIFS('2026 Time Off Request'!$A:$A,'Dec 2025'!$D18,'2026 Time Off Request'!$L:$L,'Dec 2025'!AH$6)</f>
        <v>0</v>
      </c>
      <c r="AI18" s="35">
        <f>COUNTIFS('2026 Time Off Request'!$A:$A,'Dec 2025'!$D18,'2026 Time Off Request'!$L:$L,'Dec 2025'!AI$6)</f>
        <v>0</v>
      </c>
      <c r="AJ18" s="35">
        <f>COUNTIFS('2026 Time Off Request'!$A:$A,'Dec 2025'!$D18,'2026 Time Off Request'!$L:$L,'Dec 2025'!AJ$6)</f>
        <v>0</v>
      </c>
    </row>
    <row r="19" spans="1:36" ht="15.6">
      <c r="A19" s="8">
        <v>12</v>
      </c>
      <c r="B19" s="31" t="s">
        <v>36</v>
      </c>
      <c r="C19" s="26" t="s">
        <v>37</v>
      </c>
      <c r="D19" s="8" t="s">
        <v>44</v>
      </c>
      <c r="E19" s="20">
        <f t="shared" si="3"/>
        <v>0</v>
      </c>
      <c r="F19" s="60">
        <f>COUNTIFS('2026 Time Off Request'!$A:$A,'Dec 2025'!$D19,'2026 Time Off Request'!$L:$L,'Dec 2025'!F$6)</f>
        <v>0</v>
      </c>
      <c r="G19" s="35">
        <f>COUNTIFS('2026 Time Off Request'!$A:$A,'Dec 2025'!$D19,'2026 Time Off Request'!$L:$L,'Dec 2025'!G$6)</f>
        <v>0</v>
      </c>
      <c r="H19" s="35">
        <f>COUNTIFS('2026 Time Off Request'!$A:$A,'Dec 2025'!$D19,'2026 Time Off Request'!$L:$L,'Dec 2025'!H$6)</f>
        <v>0</v>
      </c>
      <c r="I19" s="35">
        <f>COUNTIFS('2026 Time Off Request'!$A:$A,'Dec 2025'!$D19,'2026 Time Off Request'!$L:$L,'Dec 2025'!I$6)</f>
        <v>0</v>
      </c>
      <c r="J19" s="35">
        <f>COUNTIFS('2026 Time Off Request'!$A:$A,'Dec 2025'!$D19,'2026 Time Off Request'!$L:$L,'Dec 2025'!J$6)</f>
        <v>0</v>
      </c>
      <c r="K19" s="48">
        <f>COUNTIFS('2026 Time Off Request'!$A:$A,'Dec 2025'!$D19,'2026 Time Off Request'!$L:$L,'Dec 2025'!K$6)</f>
        <v>0</v>
      </c>
      <c r="L19" s="48">
        <f>COUNTIFS('2026 Time Off Request'!$A:$A,'Dec 2025'!$D19,'2026 Time Off Request'!$L:$L,'Dec 2025'!L$6)</f>
        <v>0</v>
      </c>
      <c r="M19" s="35">
        <f>COUNTIFS('2026 Time Off Request'!$A:$A,'Dec 2025'!$D19,'2026 Time Off Request'!$L:$L,'Dec 2025'!M$6)</f>
        <v>0</v>
      </c>
      <c r="N19" s="35">
        <f>COUNTIFS('2026 Time Off Request'!$A:$A,'Dec 2025'!$D19,'2026 Time Off Request'!$L:$L,'Dec 2025'!N$6)</f>
        <v>0</v>
      </c>
      <c r="O19" s="35">
        <f>COUNTIFS('2026 Time Off Request'!$A:$A,'Dec 2025'!$D19,'2026 Time Off Request'!$L:$L,'Dec 2025'!O$6)</f>
        <v>0</v>
      </c>
      <c r="P19" s="35">
        <f>COUNTIFS('2026 Time Off Request'!$A:$A,'Dec 2025'!$D19,'2026 Time Off Request'!$L:$L,'Dec 2025'!P$6)</f>
        <v>0</v>
      </c>
      <c r="Q19" s="35">
        <f>COUNTIFS('2026 Time Off Request'!$A:$A,'Dec 2025'!$D19,'2026 Time Off Request'!$L:$L,'Dec 2025'!Q$6)</f>
        <v>0</v>
      </c>
      <c r="R19" s="48">
        <f>COUNTIFS('2026 Time Off Request'!$A:$A,'Dec 2025'!$D19,'2026 Time Off Request'!$L:$L,'Dec 2025'!R$6)</f>
        <v>0</v>
      </c>
      <c r="S19" s="48">
        <f>COUNTIFS('2026 Time Off Request'!$A:$A,'Dec 2025'!$D19,'2026 Time Off Request'!$L:$L,'Dec 2025'!S$6)</f>
        <v>0</v>
      </c>
      <c r="T19" s="35">
        <f>COUNTIFS('2026 Time Off Request'!$A:$A,'Dec 2025'!$D19,'2026 Time Off Request'!$L:$L,'Dec 2025'!T$6)</f>
        <v>0</v>
      </c>
      <c r="U19" s="35">
        <f>COUNTIFS('2026 Time Off Request'!$A:$A,'Dec 2025'!$D19,'2026 Time Off Request'!$L:$L,'Dec 2025'!U$6)</f>
        <v>0</v>
      </c>
      <c r="V19" s="35">
        <f>COUNTIFS('2026 Time Off Request'!$A:$A,'Dec 2025'!$D19,'2026 Time Off Request'!$L:$L,'Dec 2025'!V$6)</f>
        <v>0</v>
      </c>
      <c r="W19" s="35">
        <f>COUNTIFS('2026 Time Off Request'!$A:$A,'Dec 2025'!$D19,'2026 Time Off Request'!$L:$L,'Dec 2025'!W$6)</f>
        <v>0</v>
      </c>
      <c r="X19" s="35">
        <f>COUNTIFS('2026 Time Off Request'!$A:$A,'Dec 2025'!$D19,'2026 Time Off Request'!$L:$L,'Dec 2025'!X$6)</f>
        <v>0</v>
      </c>
      <c r="Y19" s="48">
        <f>COUNTIFS('2026 Time Off Request'!$A:$A,'Dec 2025'!$D19,'2026 Time Off Request'!$L:$L,'Dec 2025'!Y$6)</f>
        <v>0</v>
      </c>
      <c r="Z19" s="48">
        <f>COUNTIFS('2026 Time Off Request'!$A:$A,'Dec 2025'!$D19,'2026 Time Off Request'!$L:$L,'Dec 2025'!Z$6)</f>
        <v>0</v>
      </c>
      <c r="AA19" s="35">
        <f>COUNTIFS('2026 Time Off Request'!$A:$A,'Dec 2025'!$D19,'2026 Time Off Request'!$L:$L,'Dec 2025'!AA$6)</f>
        <v>0</v>
      </c>
      <c r="AB19" s="35">
        <f>COUNTIFS('2026 Time Off Request'!$A:$A,'Dec 2025'!$D19,'2026 Time Off Request'!$L:$L,'Dec 2025'!AB$6)</f>
        <v>0</v>
      </c>
      <c r="AC19" s="35">
        <f>COUNTIFS('2026 Time Off Request'!$A:$A,'Dec 2025'!$D19,'2026 Time Off Request'!$L:$L,'Dec 2025'!AC$6)</f>
        <v>0</v>
      </c>
      <c r="AD19" s="51">
        <f>COUNTIFS('2026 Time Off Request'!$A:$A,'Dec 2025'!$D19,'2026 Time Off Request'!$L:$L,'Dec 2025'!AD$6)</f>
        <v>0</v>
      </c>
      <c r="AE19" s="51">
        <f>COUNTIFS('2026 Time Off Request'!$A:$A,'Dec 2025'!$D19,'2026 Time Off Request'!$L:$L,'Dec 2025'!AE$6)</f>
        <v>0</v>
      </c>
      <c r="AF19" s="48">
        <f>COUNTIFS('2026 Time Off Request'!$A:$A,'Dec 2025'!$D19,'2026 Time Off Request'!$L:$L,'Dec 2025'!AF$6)</f>
        <v>0</v>
      </c>
      <c r="AG19" s="48">
        <f>COUNTIFS('2026 Time Off Request'!$A:$A,'Dec 2025'!$D19,'2026 Time Off Request'!$L:$L,'Dec 2025'!AG$6)</f>
        <v>0</v>
      </c>
      <c r="AH19" s="35">
        <f>COUNTIFS('2026 Time Off Request'!$A:$A,'Dec 2025'!$D19,'2026 Time Off Request'!$L:$L,'Dec 2025'!AH$6)</f>
        <v>0</v>
      </c>
      <c r="AI19" s="35">
        <f>COUNTIFS('2026 Time Off Request'!$A:$A,'Dec 2025'!$D19,'2026 Time Off Request'!$L:$L,'Dec 2025'!AI$6)</f>
        <v>0</v>
      </c>
      <c r="AJ19" s="35">
        <f>COUNTIFS('2026 Time Off Request'!$A:$A,'Dec 2025'!$D19,'2026 Time Off Request'!$L:$L,'Dec 2025'!AJ$6)</f>
        <v>0</v>
      </c>
    </row>
    <row r="20" spans="1:36" ht="15.6">
      <c r="A20" s="8">
        <v>13</v>
      </c>
      <c r="B20" s="31" t="s">
        <v>45</v>
      </c>
      <c r="C20" s="26" t="s">
        <v>37</v>
      </c>
      <c r="D20" s="8" t="s">
        <v>46</v>
      </c>
      <c r="E20" s="20">
        <f t="shared" si="3"/>
        <v>0</v>
      </c>
      <c r="F20" s="60">
        <f>COUNTIFS('2026 Time Off Request'!$A:$A,'Dec 2025'!$D20,'2026 Time Off Request'!$L:$L,'Dec 2025'!F$6)</f>
        <v>0</v>
      </c>
      <c r="G20" s="35">
        <f>COUNTIFS('2026 Time Off Request'!$A:$A,'Dec 2025'!$D20,'2026 Time Off Request'!$L:$L,'Dec 2025'!G$6)</f>
        <v>0</v>
      </c>
      <c r="H20" s="35">
        <f>COUNTIFS('2026 Time Off Request'!$A:$A,'Dec 2025'!$D20,'2026 Time Off Request'!$L:$L,'Dec 2025'!H$6)</f>
        <v>0</v>
      </c>
      <c r="I20" s="35">
        <f>COUNTIFS('2026 Time Off Request'!$A:$A,'Dec 2025'!$D20,'2026 Time Off Request'!$L:$L,'Dec 2025'!I$6)</f>
        <v>0</v>
      </c>
      <c r="J20" s="35">
        <f>COUNTIFS('2026 Time Off Request'!$A:$A,'Dec 2025'!$D20,'2026 Time Off Request'!$L:$L,'Dec 2025'!J$6)</f>
        <v>0</v>
      </c>
      <c r="K20" s="48">
        <f>COUNTIFS('2026 Time Off Request'!$A:$A,'Dec 2025'!$D20,'2026 Time Off Request'!$L:$L,'Dec 2025'!K$6)</f>
        <v>0</v>
      </c>
      <c r="L20" s="48">
        <f>COUNTIFS('2026 Time Off Request'!$A:$A,'Dec 2025'!$D20,'2026 Time Off Request'!$L:$L,'Dec 2025'!L$6)</f>
        <v>0</v>
      </c>
      <c r="M20" s="35">
        <f>COUNTIFS('2026 Time Off Request'!$A:$A,'Dec 2025'!$D20,'2026 Time Off Request'!$L:$L,'Dec 2025'!M$6)</f>
        <v>0</v>
      </c>
      <c r="N20" s="35">
        <f>COUNTIFS('2026 Time Off Request'!$A:$A,'Dec 2025'!$D20,'2026 Time Off Request'!$L:$L,'Dec 2025'!N$6)</f>
        <v>0</v>
      </c>
      <c r="O20" s="35">
        <f>COUNTIFS('2026 Time Off Request'!$A:$A,'Dec 2025'!$D20,'2026 Time Off Request'!$L:$L,'Dec 2025'!O$6)</f>
        <v>0</v>
      </c>
      <c r="P20" s="35">
        <f>COUNTIFS('2026 Time Off Request'!$A:$A,'Dec 2025'!$D20,'2026 Time Off Request'!$L:$L,'Dec 2025'!P$6)</f>
        <v>0</v>
      </c>
      <c r="Q20" s="35">
        <f>COUNTIFS('2026 Time Off Request'!$A:$A,'Dec 2025'!$D20,'2026 Time Off Request'!$L:$L,'Dec 2025'!Q$6)</f>
        <v>0</v>
      </c>
      <c r="R20" s="48">
        <f>COUNTIFS('2026 Time Off Request'!$A:$A,'Dec 2025'!$D20,'2026 Time Off Request'!$L:$L,'Dec 2025'!R$6)</f>
        <v>0</v>
      </c>
      <c r="S20" s="48">
        <f>COUNTIFS('2026 Time Off Request'!$A:$A,'Dec 2025'!$D20,'2026 Time Off Request'!$L:$L,'Dec 2025'!S$6)</f>
        <v>0</v>
      </c>
      <c r="T20" s="35">
        <f>COUNTIFS('2026 Time Off Request'!$A:$A,'Dec 2025'!$D20,'2026 Time Off Request'!$L:$L,'Dec 2025'!T$6)</f>
        <v>0</v>
      </c>
      <c r="U20" s="35">
        <f>COUNTIFS('2026 Time Off Request'!$A:$A,'Dec 2025'!$D20,'2026 Time Off Request'!$L:$L,'Dec 2025'!U$6)</f>
        <v>0</v>
      </c>
      <c r="V20" s="35">
        <f>COUNTIFS('2026 Time Off Request'!$A:$A,'Dec 2025'!$D20,'2026 Time Off Request'!$L:$L,'Dec 2025'!V$6)</f>
        <v>0</v>
      </c>
      <c r="W20" s="35">
        <f>COUNTIFS('2026 Time Off Request'!$A:$A,'Dec 2025'!$D20,'2026 Time Off Request'!$L:$L,'Dec 2025'!W$6)</f>
        <v>0</v>
      </c>
      <c r="X20" s="35">
        <f>COUNTIFS('2026 Time Off Request'!$A:$A,'Dec 2025'!$D20,'2026 Time Off Request'!$L:$L,'Dec 2025'!X$6)</f>
        <v>0</v>
      </c>
      <c r="Y20" s="48">
        <f>COUNTIFS('2026 Time Off Request'!$A:$A,'Dec 2025'!$D20,'2026 Time Off Request'!$L:$L,'Dec 2025'!Y$6)</f>
        <v>0</v>
      </c>
      <c r="Z20" s="48">
        <f>COUNTIFS('2026 Time Off Request'!$A:$A,'Dec 2025'!$D20,'2026 Time Off Request'!$L:$L,'Dec 2025'!Z$6)</f>
        <v>0</v>
      </c>
      <c r="AA20" s="35">
        <f>COUNTIFS('2026 Time Off Request'!$A:$A,'Dec 2025'!$D20,'2026 Time Off Request'!$L:$L,'Dec 2025'!AA$6)</f>
        <v>0</v>
      </c>
      <c r="AB20" s="35">
        <f>COUNTIFS('2026 Time Off Request'!$A:$A,'Dec 2025'!$D20,'2026 Time Off Request'!$L:$L,'Dec 2025'!AB$6)</f>
        <v>0</v>
      </c>
      <c r="AC20" s="35">
        <f>COUNTIFS('2026 Time Off Request'!$A:$A,'Dec 2025'!$D20,'2026 Time Off Request'!$L:$L,'Dec 2025'!AC$6)</f>
        <v>0</v>
      </c>
      <c r="AD20" s="51">
        <f>COUNTIFS('2026 Time Off Request'!$A:$A,'Dec 2025'!$D20,'2026 Time Off Request'!$L:$L,'Dec 2025'!AD$6)</f>
        <v>0</v>
      </c>
      <c r="AE20" s="51">
        <f>COUNTIFS('2026 Time Off Request'!$A:$A,'Dec 2025'!$D20,'2026 Time Off Request'!$L:$L,'Dec 2025'!AE$6)</f>
        <v>0</v>
      </c>
      <c r="AF20" s="48">
        <f>COUNTIFS('2026 Time Off Request'!$A:$A,'Dec 2025'!$D20,'2026 Time Off Request'!$L:$L,'Dec 2025'!AF$6)</f>
        <v>0</v>
      </c>
      <c r="AG20" s="48">
        <f>COUNTIFS('2026 Time Off Request'!$A:$A,'Dec 2025'!$D20,'2026 Time Off Request'!$L:$L,'Dec 2025'!AG$6)</f>
        <v>0</v>
      </c>
      <c r="AH20" s="35">
        <f>COUNTIFS('2026 Time Off Request'!$A:$A,'Dec 2025'!$D20,'2026 Time Off Request'!$L:$L,'Dec 2025'!AH$6)</f>
        <v>0</v>
      </c>
      <c r="AI20" s="35">
        <f>COUNTIFS('2026 Time Off Request'!$A:$A,'Dec 2025'!$D20,'2026 Time Off Request'!$L:$L,'Dec 2025'!AI$6)</f>
        <v>0</v>
      </c>
      <c r="AJ20" s="35">
        <f>COUNTIFS('2026 Time Off Request'!$A:$A,'Dec 2025'!$D20,'2026 Time Off Request'!$L:$L,'Dec 2025'!AJ$6)</f>
        <v>0</v>
      </c>
    </row>
    <row r="21" spans="1:36" ht="15.6">
      <c r="A21" s="8">
        <v>14</v>
      </c>
      <c r="B21" s="31" t="s">
        <v>45</v>
      </c>
      <c r="C21" s="26" t="s">
        <v>47</v>
      </c>
      <c r="D21" s="8" t="s">
        <v>48</v>
      </c>
      <c r="E21" s="20">
        <f t="shared" si="3"/>
        <v>0</v>
      </c>
      <c r="F21" s="60">
        <f>COUNTIFS('2026 Time Off Request'!$A:$A,'Dec 2025'!$D21,'2026 Time Off Request'!$L:$L,'Dec 2025'!F$6)</f>
        <v>0</v>
      </c>
      <c r="G21" s="35">
        <f>COUNTIFS('2026 Time Off Request'!$A:$A,'Dec 2025'!$D21,'2026 Time Off Request'!$L:$L,'Dec 2025'!G$6)</f>
        <v>0</v>
      </c>
      <c r="H21" s="35">
        <f>COUNTIFS('2026 Time Off Request'!$A:$A,'Dec 2025'!$D21,'2026 Time Off Request'!$L:$L,'Dec 2025'!H$6)</f>
        <v>0</v>
      </c>
      <c r="I21" s="35">
        <f>COUNTIFS('2026 Time Off Request'!$A:$A,'Dec 2025'!$D21,'2026 Time Off Request'!$L:$L,'Dec 2025'!I$6)</f>
        <v>0</v>
      </c>
      <c r="J21" s="35">
        <f>COUNTIFS('2026 Time Off Request'!$A:$A,'Dec 2025'!$D21,'2026 Time Off Request'!$L:$L,'Dec 2025'!J$6)</f>
        <v>0</v>
      </c>
      <c r="K21" s="48">
        <f>COUNTIFS('2026 Time Off Request'!$A:$A,'Dec 2025'!$D21,'2026 Time Off Request'!$L:$L,'Dec 2025'!K$6)</f>
        <v>0</v>
      </c>
      <c r="L21" s="48">
        <f>COUNTIFS('2026 Time Off Request'!$A:$A,'Dec 2025'!$D21,'2026 Time Off Request'!$L:$L,'Dec 2025'!L$6)</f>
        <v>0</v>
      </c>
      <c r="M21" s="35">
        <f>COUNTIFS('2026 Time Off Request'!$A:$A,'Dec 2025'!$D21,'2026 Time Off Request'!$L:$L,'Dec 2025'!M$6)</f>
        <v>0</v>
      </c>
      <c r="N21" s="35">
        <f>COUNTIFS('2026 Time Off Request'!$A:$A,'Dec 2025'!$D21,'2026 Time Off Request'!$L:$L,'Dec 2025'!N$6)</f>
        <v>0</v>
      </c>
      <c r="O21" s="35">
        <f>COUNTIFS('2026 Time Off Request'!$A:$A,'Dec 2025'!$D21,'2026 Time Off Request'!$L:$L,'Dec 2025'!O$6)</f>
        <v>0</v>
      </c>
      <c r="P21" s="35">
        <f>COUNTIFS('2026 Time Off Request'!$A:$A,'Dec 2025'!$D21,'2026 Time Off Request'!$L:$L,'Dec 2025'!P$6)</f>
        <v>0</v>
      </c>
      <c r="Q21" s="35">
        <f>COUNTIFS('2026 Time Off Request'!$A:$A,'Dec 2025'!$D21,'2026 Time Off Request'!$L:$L,'Dec 2025'!Q$6)</f>
        <v>0</v>
      </c>
      <c r="R21" s="48">
        <f>COUNTIFS('2026 Time Off Request'!$A:$A,'Dec 2025'!$D21,'2026 Time Off Request'!$L:$L,'Dec 2025'!R$6)</f>
        <v>0</v>
      </c>
      <c r="S21" s="48">
        <f>COUNTIFS('2026 Time Off Request'!$A:$A,'Dec 2025'!$D21,'2026 Time Off Request'!$L:$L,'Dec 2025'!S$6)</f>
        <v>0</v>
      </c>
      <c r="T21" s="35">
        <f>COUNTIFS('2026 Time Off Request'!$A:$A,'Dec 2025'!$D21,'2026 Time Off Request'!$L:$L,'Dec 2025'!T$6)</f>
        <v>0</v>
      </c>
      <c r="U21" s="35">
        <f>COUNTIFS('2026 Time Off Request'!$A:$A,'Dec 2025'!$D21,'2026 Time Off Request'!$L:$L,'Dec 2025'!U$6)</f>
        <v>0</v>
      </c>
      <c r="V21" s="35">
        <f>COUNTIFS('2026 Time Off Request'!$A:$A,'Dec 2025'!$D21,'2026 Time Off Request'!$L:$L,'Dec 2025'!V$6)</f>
        <v>0</v>
      </c>
      <c r="W21" s="35">
        <f>COUNTIFS('2026 Time Off Request'!$A:$A,'Dec 2025'!$D21,'2026 Time Off Request'!$L:$L,'Dec 2025'!W$6)</f>
        <v>0</v>
      </c>
      <c r="X21" s="35">
        <f>COUNTIFS('2026 Time Off Request'!$A:$A,'Dec 2025'!$D21,'2026 Time Off Request'!$L:$L,'Dec 2025'!X$6)</f>
        <v>0</v>
      </c>
      <c r="Y21" s="48">
        <f>COUNTIFS('2026 Time Off Request'!$A:$A,'Dec 2025'!$D21,'2026 Time Off Request'!$L:$L,'Dec 2025'!Y$6)</f>
        <v>0</v>
      </c>
      <c r="Z21" s="48">
        <f>COUNTIFS('2026 Time Off Request'!$A:$A,'Dec 2025'!$D21,'2026 Time Off Request'!$L:$L,'Dec 2025'!Z$6)</f>
        <v>0</v>
      </c>
      <c r="AA21" s="35">
        <f>COUNTIFS('2026 Time Off Request'!$A:$A,'Dec 2025'!$D21,'2026 Time Off Request'!$L:$L,'Dec 2025'!AA$6)</f>
        <v>0</v>
      </c>
      <c r="AB21" s="35">
        <f>COUNTIFS('2026 Time Off Request'!$A:$A,'Dec 2025'!$D21,'2026 Time Off Request'!$L:$L,'Dec 2025'!AB$6)</f>
        <v>0</v>
      </c>
      <c r="AC21" s="35">
        <f>COUNTIFS('2026 Time Off Request'!$A:$A,'Dec 2025'!$D21,'2026 Time Off Request'!$L:$L,'Dec 2025'!AC$6)</f>
        <v>0</v>
      </c>
      <c r="AD21" s="51">
        <f>COUNTIFS('2026 Time Off Request'!$A:$A,'Dec 2025'!$D21,'2026 Time Off Request'!$L:$L,'Dec 2025'!AD$6)</f>
        <v>0</v>
      </c>
      <c r="AE21" s="51">
        <f>COUNTIFS('2026 Time Off Request'!$A:$A,'Dec 2025'!$D21,'2026 Time Off Request'!$L:$L,'Dec 2025'!AE$6)</f>
        <v>0</v>
      </c>
      <c r="AF21" s="48">
        <f>COUNTIFS('2026 Time Off Request'!$A:$A,'Dec 2025'!$D21,'2026 Time Off Request'!$L:$L,'Dec 2025'!AF$6)</f>
        <v>0</v>
      </c>
      <c r="AG21" s="48">
        <f>COUNTIFS('2026 Time Off Request'!$A:$A,'Dec 2025'!$D21,'2026 Time Off Request'!$L:$L,'Dec 2025'!AG$6)</f>
        <v>0</v>
      </c>
      <c r="AH21" s="35">
        <f>COUNTIFS('2026 Time Off Request'!$A:$A,'Dec 2025'!$D21,'2026 Time Off Request'!$L:$L,'Dec 2025'!AH$6)</f>
        <v>0</v>
      </c>
      <c r="AI21" s="35">
        <f>COUNTIFS('2026 Time Off Request'!$A:$A,'Dec 2025'!$D21,'2026 Time Off Request'!$L:$L,'Dec 2025'!AI$6)</f>
        <v>0</v>
      </c>
      <c r="AJ21" s="35">
        <f>COUNTIFS('2026 Time Off Request'!$A:$A,'Dec 2025'!$D21,'2026 Time Off Request'!$L:$L,'Dec 2025'!AJ$6)</f>
        <v>0</v>
      </c>
    </row>
    <row r="22" spans="1:36" ht="15.6">
      <c r="A22" s="8">
        <v>15</v>
      </c>
      <c r="B22" s="31" t="s">
        <v>49</v>
      </c>
      <c r="C22" s="26" t="s">
        <v>50</v>
      </c>
      <c r="D22" s="8" t="s">
        <v>51</v>
      </c>
      <c r="E22" s="20">
        <f t="shared" si="3"/>
        <v>0</v>
      </c>
      <c r="F22" s="60">
        <f>COUNTIFS('2026 Time Off Request'!$A:$A,'Dec 2025'!$D22,'2026 Time Off Request'!$L:$L,'Dec 2025'!F$6)</f>
        <v>0</v>
      </c>
      <c r="G22" s="35">
        <f>COUNTIFS('2026 Time Off Request'!$A:$A,'Dec 2025'!$D22,'2026 Time Off Request'!$L:$L,'Dec 2025'!G$6)</f>
        <v>0</v>
      </c>
      <c r="H22" s="35">
        <f>COUNTIFS('2026 Time Off Request'!$A:$A,'Dec 2025'!$D22,'2026 Time Off Request'!$L:$L,'Dec 2025'!H$6)</f>
        <v>0</v>
      </c>
      <c r="I22" s="35">
        <f>COUNTIFS('2026 Time Off Request'!$A:$A,'Dec 2025'!$D22,'2026 Time Off Request'!$L:$L,'Dec 2025'!I$6)</f>
        <v>0</v>
      </c>
      <c r="J22" s="35">
        <f>COUNTIFS('2026 Time Off Request'!$A:$A,'Dec 2025'!$D22,'2026 Time Off Request'!$L:$L,'Dec 2025'!J$6)</f>
        <v>0</v>
      </c>
      <c r="K22" s="48">
        <f>COUNTIFS('2026 Time Off Request'!$A:$A,'Dec 2025'!$D22,'2026 Time Off Request'!$L:$L,'Dec 2025'!K$6)</f>
        <v>0</v>
      </c>
      <c r="L22" s="48">
        <f>COUNTIFS('2026 Time Off Request'!$A:$A,'Dec 2025'!$D22,'2026 Time Off Request'!$L:$L,'Dec 2025'!L$6)</f>
        <v>0</v>
      </c>
      <c r="M22" s="35">
        <f>COUNTIFS('2026 Time Off Request'!$A:$A,'Dec 2025'!$D22,'2026 Time Off Request'!$L:$L,'Dec 2025'!M$6)</f>
        <v>0</v>
      </c>
      <c r="N22" s="35">
        <f>COUNTIFS('2026 Time Off Request'!$A:$A,'Dec 2025'!$D22,'2026 Time Off Request'!$L:$L,'Dec 2025'!N$6)</f>
        <v>0</v>
      </c>
      <c r="O22" s="35">
        <f>COUNTIFS('2026 Time Off Request'!$A:$A,'Dec 2025'!$D22,'2026 Time Off Request'!$L:$L,'Dec 2025'!O$6)</f>
        <v>0</v>
      </c>
      <c r="P22" s="35">
        <f>COUNTIFS('2026 Time Off Request'!$A:$A,'Dec 2025'!$D22,'2026 Time Off Request'!$L:$L,'Dec 2025'!P$6)</f>
        <v>0</v>
      </c>
      <c r="Q22" s="35">
        <f>COUNTIFS('2026 Time Off Request'!$A:$A,'Dec 2025'!$D22,'2026 Time Off Request'!$L:$L,'Dec 2025'!Q$6)</f>
        <v>0</v>
      </c>
      <c r="R22" s="48">
        <f>COUNTIFS('2026 Time Off Request'!$A:$A,'Dec 2025'!$D22,'2026 Time Off Request'!$L:$L,'Dec 2025'!R$6)</f>
        <v>0</v>
      </c>
      <c r="S22" s="48">
        <f>COUNTIFS('2026 Time Off Request'!$A:$A,'Dec 2025'!$D22,'2026 Time Off Request'!$L:$L,'Dec 2025'!S$6)</f>
        <v>0</v>
      </c>
      <c r="T22" s="35">
        <f>COUNTIFS('2026 Time Off Request'!$A:$A,'Dec 2025'!$D22,'2026 Time Off Request'!$L:$L,'Dec 2025'!T$6)</f>
        <v>0</v>
      </c>
      <c r="U22" s="35">
        <f>COUNTIFS('2026 Time Off Request'!$A:$A,'Dec 2025'!$D22,'2026 Time Off Request'!$L:$L,'Dec 2025'!U$6)</f>
        <v>0</v>
      </c>
      <c r="V22" s="35">
        <f>COUNTIFS('2026 Time Off Request'!$A:$A,'Dec 2025'!$D22,'2026 Time Off Request'!$L:$L,'Dec 2025'!V$6)</f>
        <v>0</v>
      </c>
      <c r="W22" s="35">
        <f>COUNTIFS('2026 Time Off Request'!$A:$A,'Dec 2025'!$D22,'2026 Time Off Request'!$L:$L,'Dec 2025'!W$6)</f>
        <v>0</v>
      </c>
      <c r="X22" s="35">
        <f>COUNTIFS('2026 Time Off Request'!$A:$A,'Dec 2025'!$D22,'2026 Time Off Request'!$L:$L,'Dec 2025'!X$6)</f>
        <v>0</v>
      </c>
      <c r="Y22" s="48">
        <f>COUNTIFS('2026 Time Off Request'!$A:$A,'Dec 2025'!$D22,'2026 Time Off Request'!$L:$L,'Dec 2025'!Y$6)</f>
        <v>0</v>
      </c>
      <c r="Z22" s="48">
        <f>COUNTIFS('2026 Time Off Request'!$A:$A,'Dec 2025'!$D22,'2026 Time Off Request'!$L:$L,'Dec 2025'!Z$6)</f>
        <v>0</v>
      </c>
      <c r="AA22" s="35">
        <f>COUNTIFS('2026 Time Off Request'!$A:$A,'Dec 2025'!$D22,'2026 Time Off Request'!$L:$L,'Dec 2025'!AA$6)</f>
        <v>0</v>
      </c>
      <c r="AB22" s="35">
        <f>COUNTIFS('2026 Time Off Request'!$A:$A,'Dec 2025'!$D22,'2026 Time Off Request'!$L:$L,'Dec 2025'!AB$6)</f>
        <v>0</v>
      </c>
      <c r="AC22" s="35">
        <f>COUNTIFS('2026 Time Off Request'!$A:$A,'Dec 2025'!$D22,'2026 Time Off Request'!$L:$L,'Dec 2025'!AC$6)</f>
        <v>0</v>
      </c>
      <c r="AD22" s="51">
        <f>COUNTIFS('2026 Time Off Request'!$A:$A,'Dec 2025'!$D22,'2026 Time Off Request'!$L:$L,'Dec 2025'!AD$6)</f>
        <v>0</v>
      </c>
      <c r="AE22" s="51">
        <f>COUNTIFS('2026 Time Off Request'!$A:$A,'Dec 2025'!$D22,'2026 Time Off Request'!$L:$L,'Dec 2025'!AE$6)</f>
        <v>0</v>
      </c>
      <c r="AF22" s="48">
        <f>COUNTIFS('2026 Time Off Request'!$A:$A,'Dec 2025'!$D22,'2026 Time Off Request'!$L:$L,'Dec 2025'!AF$6)</f>
        <v>0</v>
      </c>
      <c r="AG22" s="48">
        <f>COUNTIFS('2026 Time Off Request'!$A:$A,'Dec 2025'!$D22,'2026 Time Off Request'!$L:$L,'Dec 2025'!AG$6)</f>
        <v>0</v>
      </c>
      <c r="AH22" s="35">
        <f>COUNTIFS('2026 Time Off Request'!$A:$A,'Dec 2025'!$D22,'2026 Time Off Request'!$L:$L,'Dec 2025'!AH$6)</f>
        <v>0</v>
      </c>
      <c r="AI22" s="35">
        <f>COUNTIFS('2026 Time Off Request'!$A:$A,'Dec 2025'!$D22,'2026 Time Off Request'!$L:$L,'Dec 2025'!AI$6)</f>
        <v>0</v>
      </c>
      <c r="AJ22" s="35">
        <f>COUNTIFS('2026 Time Off Request'!$A:$A,'Dec 2025'!$D22,'2026 Time Off Request'!$L:$L,'Dec 2025'!AJ$6)</f>
        <v>0</v>
      </c>
    </row>
    <row r="23" spans="1:36" ht="15.6">
      <c r="A23" s="8">
        <v>16</v>
      </c>
      <c r="B23" s="31" t="s">
        <v>45</v>
      </c>
      <c r="C23" s="26" t="s">
        <v>52</v>
      </c>
      <c r="D23" s="8" t="s">
        <v>53</v>
      </c>
      <c r="E23" s="20">
        <f t="shared" si="3"/>
        <v>0</v>
      </c>
      <c r="F23" s="60">
        <f>COUNTIFS('2026 Time Off Request'!$A:$A,'Dec 2025'!$D23,'2026 Time Off Request'!$L:$L,'Dec 2025'!F$6)</f>
        <v>0</v>
      </c>
      <c r="G23" s="35">
        <f>COUNTIFS('2026 Time Off Request'!$A:$A,'Dec 2025'!$D23,'2026 Time Off Request'!$L:$L,'Dec 2025'!G$6)</f>
        <v>0</v>
      </c>
      <c r="H23" s="35">
        <f>COUNTIFS('2026 Time Off Request'!$A:$A,'Dec 2025'!$D23,'2026 Time Off Request'!$L:$L,'Dec 2025'!H$6)</f>
        <v>0</v>
      </c>
      <c r="I23" s="35">
        <f>COUNTIFS('2026 Time Off Request'!$A:$A,'Dec 2025'!$D23,'2026 Time Off Request'!$L:$L,'Dec 2025'!I$6)</f>
        <v>0</v>
      </c>
      <c r="J23" s="35">
        <f>COUNTIFS('2026 Time Off Request'!$A:$A,'Dec 2025'!$D23,'2026 Time Off Request'!$L:$L,'Dec 2025'!J$6)</f>
        <v>0</v>
      </c>
      <c r="K23" s="48">
        <f>COUNTIFS('2026 Time Off Request'!$A:$A,'Dec 2025'!$D23,'2026 Time Off Request'!$L:$L,'Dec 2025'!K$6)</f>
        <v>0</v>
      </c>
      <c r="L23" s="48">
        <f>COUNTIFS('2026 Time Off Request'!$A:$A,'Dec 2025'!$D23,'2026 Time Off Request'!$L:$L,'Dec 2025'!L$6)</f>
        <v>0</v>
      </c>
      <c r="M23" s="35">
        <f>COUNTIFS('2026 Time Off Request'!$A:$A,'Dec 2025'!$D23,'2026 Time Off Request'!$L:$L,'Dec 2025'!M$6)</f>
        <v>0</v>
      </c>
      <c r="N23" s="35">
        <f>COUNTIFS('2026 Time Off Request'!$A:$A,'Dec 2025'!$D23,'2026 Time Off Request'!$L:$L,'Dec 2025'!N$6)</f>
        <v>0</v>
      </c>
      <c r="O23" s="35">
        <f>COUNTIFS('2026 Time Off Request'!$A:$A,'Dec 2025'!$D23,'2026 Time Off Request'!$L:$L,'Dec 2025'!O$6)</f>
        <v>0</v>
      </c>
      <c r="P23" s="35">
        <f>COUNTIFS('2026 Time Off Request'!$A:$A,'Dec 2025'!$D23,'2026 Time Off Request'!$L:$L,'Dec 2025'!P$6)</f>
        <v>0</v>
      </c>
      <c r="Q23" s="35">
        <f>COUNTIFS('2026 Time Off Request'!$A:$A,'Dec 2025'!$D23,'2026 Time Off Request'!$L:$L,'Dec 2025'!Q$6)</f>
        <v>0</v>
      </c>
      <c r="R23" s="48">
        <f>COUNTIFS('2026 Time Off Request'!$A:$A,'Dec 2025'!$D23,'2026 Time Off Request'!$L:$L,'Dec 2025'!R$6)</f>
        <v>0</v>
      </c>
      <c r="S23" s="48">
        <f>COUNTIFS('2026 Time Off Request'!$A:$A,'Dec 2025'!$D23,'2026 Time Off Request'!$L:$L,'Dec 2025'!S$6)</f>
        <v>0</v>
      </c>
      <c r="T23" s="35">
        <f>COUNTIFS('2026 Time Off Request'!$A:$A,'Dec 2025'!$D23,'2026 Time Off Request'!$L:$L,'Dec 2025'!T$6)</f>
        <v>0</v>
      </c>
      <c r="U23" s="35">
        <f>COUNTIFS('2026 Time Off Request'!$A:$A,'Dec 2025'!$D23,'2026 Time Off Request'!$L:$L,'Dec 2025'!U$6)</f>
        <v>0</v>
      </c>
      <c r="V23" s="35">
        <f>COUNTIFS('2026 Time Off Request'!$A:$A,'Dec 2025'!$D23,'2026 Time Off Request'!$L:$L,'Dec 2025'!V$6)</f>
        <v>0</v>
      </c>
      <c r="W23" s="35">
        <f>COUNTIFS('2026 Time Off Request'!$A:$A,'Dec 2025'!$D23,'2026 Time Off Request'!$L:$L,'Dec 2025'!W$6)</f>
        <v>0</v>
      </c>
      <c r="X23" s="35">
        <f>COUNTIFS('2026 Time Off Request'!$A:$A,'Dec 2025'!$D23,'2026 Time Off Request'!$L:$L,'Dec 2025'!X$6)</f>
        <v>0</v>
      </c>
      <c r="Y23" s="48">
        <f>COUNTIFS('2026 Time Off Request'!$A:$A,'Dec 2025'!$D23,'2026 Time Off Request'!$L:$L,'Dec 2025'!Y$6)</f>
        <v>0</v>
      </c>
      <c r="Z23" s="48">
        <f>COUNTIFS('2026 Time Off Request'!$A:$A,'Dec 2025'!$D23,'2026 Time Off Request'!$L:$L,'Dec 2025'!Z$6)</f>
        <v>0</v>
      </c>
      <c r="AA23" s="35">
        <f>COUNTIFS('2026 Time Off Request'!$A:$A,'Dec 2025'!$D23,'2026 Time Off Request'!$L:$L,'Dec 2025'!AA$6)</f>
        <v>0</v>
      </c>
      <c r="AB23" s="35">
        <f>COUNTIFS('2026 Time Off Request'!$A:$A,'Dec 2025'!$D23,'2026 Time Off Request'!$L:$L,'Dec 2025'!AB$6)</f>
        <v>0</v>
      </c>
      <c r="AC23" s="35">
        <f>COUNTIFS('2026 Time Off Request'!$A:$A,'Dec 2025'!$D23,'2026 Time Off Request'!$L:$L,'Dec 2025'!AC$6)</f>
        <v>0</v>
      </c>
      <c r="AD23" s="51">
        <f>COUNTIFS('2026 Time Off Request'!$A:$A,'Dec 2025'!$D23,'2026 Time Off Request'!$L:$L,'Dec 2025'!AD$6)</f>
        <v>0</v>
      </c>
      <c r="AE23" s="51">
        <f>COUNTIFS('2026 Time Off Request'!$A:$A,'Dec 2025'!$D23,'2026 Time Off Request'!$L:$L,'Dec 2025'!AE$6)</f>
        <v>0</v>
      </c>
      <c r="AF23" s="48">
        <f>COUNTIFS('2026 Time Off Request'!$A:$A,'Dec 2025'!$D23,'2026 Time Off Request'!$L:$L,'Dec 2025'!AF$6)</f>
        <v>0</v>
      </c>
      <c r="AG23" s="48">
        <f>COUNTIFS('2026 Time Off Request'!$A:$A,'Dec 2025'!$D23,'2026 Time Off Request'!$L:$L,'Dec 2025'!AG$6)</f>
        <v>0</v>
      </c>
      <c r="AH23" s="35">
        <f>COUNTIFS('2026 Time Off Request'!$A:$A,'Dec 2025'!$D23,'2026 Time Off Request'!$L:$L,'Dec 2025'!AH$6)</f>
        <v>0</v>
      </c>
      <c r="AI23" s="35">
        <f>COUNTIFS('2026 Time Off Request'!$A:$A,'Dec 2025'!$D23,'2026 Time Off Request'!$L:$L,'Dec 2025'!AI$6)</f>
        <v>0</v>
      </c>
      <c r="AJ23" s="35">
        <f>COUNTIFS('2026 Time Off Request'!$A:$A,'Dec 2025'!$D23,'2026 Time Off Request'!$L:$L,'Dec 2025'!AJ$6)</f>
        <v>0</v>
      </c>
    </row>
    <row r="24" spans="1:36" ht="15.6">
      <c r="A24" s="8">
        <v>17</v>
      </c>
      <c r="B24" s="31" t="s">
        <v>45</v>
      </c>
      <c r="C24" s="26" t="s">
        <v>55</v>
      </c>
      <c r="D24" s="8" t="s">
        <v>56</v>
      </c>
      <c r="E24" s="20">
        <f t="shared" si="3"/>
        <v>0</v>
      </c>
      <c r="F24" s="60">
        <f>COUNTIFS('2026 Time Off Request'!$A:$A,'Dec 2025'!$D24,'2026 Time Off Request'!$L:$L,'Dec 2025'!F$6)</f>
        <v>0</v>
      </c>
      <c r="G24" s="35">
        <f>COUNTIFS('2026 Time Off Request'!$A:$A,'Dec 2025'!$D24,'2026 Time Off Request'!$L:$L,'Dec 2025'!G$6)</f>
        <v>0</v>
      </c>
      <c r="H24" s="35">
        <f>COUNTIFS('2026 Time Off Request'!$A:$A,'Dec 2025'!$D24,'2026 Time Off Request'!$L:$L,'Dec 2025'!H$6)</f>
        <v>0</v>
      </c>
      <c r="I24" s="35">
        <f>COUNTIFS('2026 Time Off Request'!$A:$A,'Dec 2025'!$D24,'2026 Time Off Request'!$L:$L,'Dec 2025'!I$6)</f>
        <v>0</v>
      </c>
      <c r="J24" s="35">
        <f>COUNTIFS('2026 Time Off Request'!$A:$A,'Dec 2025'!$D24,'2026 Time Off Request'!$L:$L,'Dec 2025'!J$6)</f>
        <v>0</v>
      </c>
      <c r="K24" s="48">
        <f>COUNTIFS('2026 Time Off Request'!$A:$A,'Dec 2025'!$D24,'2026 Time Off Request'!$L:$L,'Dec 2025'!K$6)</f>
        <v>0</v>
      </c>
      <c r="L24" s="48">
        <f>COUNTIFS('2026 Time Off Request'!$A:$A,'Dec 2025'!$D24,'2026 Time Off Request'!$L:$L,'Dec 2025'!L$6)</f>
        <v>0</v>
      </c>
      <c r="M24" s="35">
        <f>COUNTIFS('2026 Time Off Request'!$A:$A,'Dec 2025'!$D24,'2026 Time Off Request'!$L:$L,'Dec 2025'!M$6)</f>
        <v>0</v>
      </c>
      <c r="N24" s="35">
        <f>COUNTIFS('2026 Time Off Request'!$A:$A,'Dec 2025'!$D24,'2026 Time Off Request'!$L:$L,'Dec 2025'!N$6)</f>
        <v>0</v>
      </c>
      <c r="O24" s="35">
        <f>COUNTIFS('2026 Time Off Request'!$A:$A,'Dec 2025'!$D24,'2026 Time Off Request'!$L:$L,'Dec 2025'!O$6)</f>
        <v>0</v>
      </c>
      <c r="P24" s="35">
        <f>COUNTIFS('2026 Time Off Request'!$A:$A,'Dec 2025'!$D24,'2026 Time Off Request'!$L:$L,'Dec 2025'!P$6)</f>
        <v>0</v>
      </c>
      <c r="Q24" s="35">
        <f>COUNTIFS('2026 Time Off Request'!$A:$A,'Dec 2025'!$D24,'2026 Time Off Request'!$L:$L,'Dec 2025'!Q$6)</f>
        <v>0</v>
      </c>
      <c r="R24" s="48">
        <f>COUNTIFS('2026 Time Off Request'!$A:$A,'Dec 2025'!$D24,'2026 Time Off Request'!$L:$L,'Dec 2025'!R$6)</f>
        <v>0</v>
      </c>
      <c r="S24" s="48">
        <f>COUNTIFS('2026 Time Off Request'!$A:$A,'Dec 2025'!$D24,'2026 Time Off Request'!$L:$L,'Dec 2025'!S$6)</f>
        <v>0</v>
      </c>
      <c r="T24" s="35">
        <f>COUNTIFS('2026 Time Off Request'!$A:$A,'Dec 2025'!$D24,'2026 Time Off Request'!$L:$L,'Dec 2025'!T$6)</f>
        <v>0</v>
      </c>
      <c r="U24" s="35">
        <f>COUNTIFS('2026 Time Off Request'!$A:$A,'Dec 2025'!$D24,'2026 Time Off Request'!$L:$L,'Dec 2025'!U$6)</f>
        <v>0</v>
      </c>
      <c r="V24" s="35">
        <f>COUNTIFS('2026 Time Off Request'!$A:$A,'Dec 2025'!$D24,'2026 Time Off Request'!$L:$L,'Dec 2025'!V$6)</f>
        <v>0</v>
      </c>
      <c r="W24" s="35">
        <f>COUNTIFS('2026 Time Off Request'!$A:$A,'Dec 2025'!$D24,'2026 Time Off Request'!$L:$L,'Dec 2025'!W$6)</f>
        <v>0</v>
      </c>
      <c r="X24" s="35">
        <f>COUNTIFS('2026 Time Off Request'!$A:$A,'Dec 2025'!$D24,'2026 Time Off Request'!$L:$L,'Dec 2025'!X$6)</f>
        <v>0</v>
      </c>
      <c r="Y24" s="48">
        <f>COUNTIFS('2026 Time Off Request'!$A:$A,'Dec 2025'!$D24,'2026 Time Off Request'!$L:$L,'Dec 2025'!Y$6)</f>
        <v>0</v>
      </c>
      <c r="Z24" s="48">
        <f>COUNTIFS('2026 Time Off Request'!$A:$A,'Dec 2025'!$D24,'2026 Time Off Request'!$L:$L,'Dec 2025'!Z$6)</f>
        <v>0</v>
      </c>
      <c r="AA24" s="35">
        <f>COUNTIFS('2026 Time Off Request'!$A:$A,'Dec 2025'!$D24,'2026 Time Off Request'!$L:$L,'Dec 2025'!AA$6)</f>
        <v>0</v>
      </c>
      <c r="AB24" s="35">
        <f>COUNTIFS('2026 Time Off Request'!$A:$A,'Dec 2025'!$D24,'2026 Time Off Request'!$L:$L,'Dec 2025'!AB$6)</f>
        <v>0</v>
      </c>
      <c r="AC24" s="35">
        <f>COUNTIFS('2026 Time Off Request'!$A:$A,'Dec 2025'!$D24,'2026 Time Off Request'!$L:$L,'Dec 2025'!AC$6)</f>
        <v>0</v>
      </c>
      <c r="AD24" s="51">
        <f>COUNTIFS('2026 Time Off Request'!$A:$A,'Dec 2025'!$D24,'2026 Time Off Request'!$L:$L,'Dec 2025'!AD$6)</f>
        <v>0</v>
      </c>
      <c r="AE24" s="51">
        <f>COUNTIFS('2026 Time Off Request'!$A:$A,'Dec 2025'!$D24,'2026 Time Off Request'!$L:$L,'Dec 2025'!AE$6)</f>
        <v>0</v>
      </c>
      <c r="AF24" s="48">
        <f>COUNTIFS('2026 Time Off Request'!$A:$A,'Dec 2025'!$D24,'2026 Time Off Request'!$L:$L,'Dec 2025'!AF$6)</f>
        <v>0</v>
      </c>
      <c r="AG24" s="48">
        <f>COUNTIFS('2026 Time Off Request'!$A:$A,'Dec 2025'!$D24,'2026 Time Off Request'!$L:$L,'Dec 2025'!AG$6)</f>
        <v>0</v>
      </c>
      <c r="AH24" s="35">
        <f>COUNTIFS('2026 Time Off Request'!$A:$A,'Dec 2025'!$D24,'2026 Time Off Request'!$L:$L,'Dec 2025'!AH$6)</f>
        <v>0</v>
      </c>
      <c r="AI24" s="35">
        <f>COUNTIFS('2026 Time Off Request'!$A:$A,'Dec 2025'!$D24,'2026 Time Off Request'!$L:$L,'Dec 2025'!AI$6)</f>
        <v>0</v>
      </c>
      <c r="AJ24" s="35">
        <f>COUNTIFS('2026 Time Off Request'!$A:$A,'Dec 2025'!$D24,'2026 Time Off Request'!$L:$L,'Dec 2025'!AJ$6)</f>
        <v>0</v>
      </c>
    </row>
    <row r="25" spans="1:36" ht="15.6">
      <c r="A25" s="8">
        <v>18</v>
      </c>
      <c r="B25" s="31" t="s">
        <v>45</v>
      </c>
      <c r="C25" s="26" t="s">
        <v>55</v>
      </c>
      <c r="D25" s="8" t="s">
        <v>107</v>
      </c>
      <c r="E25" s="20">
        <f t="shared" si="3"/>
        <v>0</v>
      </c>
      <c r="F25" s="60">
        <f>COUNTIFS('2026 Time Off Request'!$A:$A,'Dec 2025'!$D25,'2026 Time Off Request'!$L:$L,'Dec 2025'!F$6)</f>
        <v>0</v>
      </c>
      <c r="G25" s="35">
        <f>COUNTIFS('2026 Time Off Request'!$A:$A,'Dec 2025'!$D25,'2026 Time Off Request'!$L:$L,'Dec 2025'!G$6)</f>
        <v>0</v>
      </c>
      <c r="H25" s="35">
        <f>COUNTIFS('2026 Time Off Request'!$A:$A,'Dec 2025'!$D25,'2026 Time Off Request'!$L:$L,'Dec 2025'!H$6)</f>
        <v>0</v>
      </c>
      <c r="I25" s="35">
        <f>COUNTIFS('2026 Time Off Request'!$A:$A,'Dec 2025'!$D25,'2026 Time Off Request'!$L:$L,'Dec 2025'!I$6)</f>
        <v>0</v>
      </c>
      <c r="J25" s="35">
        <f>COUNTIFS('2026 Time Off Request'!$A:$A,'Dec 2025'!$D25,'2026 Time Off Request'!$L:$L,'Dec 2025'!J$6)</f>
        <v>0</v>
      </c>
      <c r="K25" s="48">
        <f>COUNTIFS('2026 Time Off Request'!$A:$A,'Dec 2025'!$D25,'2026 Time Off Request'!$L:$L,'Dec 2025'!K$6)</f>
        <v>0</v>
      </c>
      <c r="L25" s="48">
        <f>COUNTIFS('2026 Time Off Request'!$A:$A,'Dec 2025'!$D25,'2026 Time Off Request'!$L:$L,'Dec 2025'!L$6)</f>
        <v>0</v>
      </c>
      <c r="M25" s="35">
        <f>COUNTIFS('2026 Time Off Request'!$A:$A,'Dec 2025'!$D25,'2026 Time Off Request'!$L:$L,'Dec 2025'!M$6)</f>
        <v>0</v>
      </c>
      <c r="N25" s="35">
        <f>COUNTIFS('2026 Time Off Request'!$A:$A,'Dec 2025'!$D25,'2026 Time Off Request'!$L:$L,'Dec 2025'!N$6)</f>
        <v>0</v>
      </c>
      <c r="O25" s="35">
        <f>COUNTIFS('2026 Time Off Request'!$A:$A,'Dec 2025'!$D25,'2026 Time Off Request'!$L:$L,'Dec 2025'!O$6)</f>
        <v>0</v>
      </c>
      <c r="P25" s="35">
        <f>COUNTIFS('2026 Time Off Request'!$A:$A,'Dec 2025'!$D25,'2026 Time Off Request'!$L:$L,'Dec 2025'!P$6)</f>
        <v>0</v>
      </c>
      <c r="Q25" s="35">
        <f>COUNTIFS('2026 Time Off Request'!$A:$A,'Dec 2025'!$D25,'2026 Time Off Request'!$L:$L,'Dec 2025'!Q$6)</f>
        <v>0</v>
      </c>
      <c r="R25" s="48">
        <f>COUNTIFS('2026 Time Off Request'!$A:$A,'Dec 2025'!$D25,'2026 Time Off Request'!$L:$L,'Dec 2025'!R$6)</f>
        <v>0</v>
      </c>
      <c r="S25" s="48">
        <f>COUNTIFS('2026 Time Off Request'!$A:$A,'Dec 2025'!$D25,'2026 Time Off Request'!$L:$L,'Dec 2025'!S$6)</f>
        <v>0</v>
      </c>
      <c r="T25" s="35">
        <f>COUNTIFS('2026 Time Off Request'!$A:$A,'Dec 2025'!$D25,'2026 Time Off Request'!$L:$L,'Dec 2025'!T$6)</f>
        <v>0</v>
      </c>
      <c r="U25" s="35">
        <f>COUNTIFS('2026 Time Off Request'!$A:$A,'Dec 2025'!$D25,'2026 Time Off Request'!$L:$L,'Dec 2025'!U$6)</f>
        <v>0</v>
      </c>
      <c r="V25" s="35">
        <f>COUNTIFS('2026 Time Off Request'!$A:$A,'Dec 2025'!$D25,'2026 Time Off Request'!$L:$L,'Dec 2025'!V$6)</f>
        <v>0</v>
      </c>
      <c r="W25" s="35">
        <f>COUNTIFS('2026 Time Off Request'!$A:$A,'Dec 2025'!$D25,'2026 Time Off Request'!$L:$L,'Dec 2025'!W$6)</f>
        <v>0</v>
      </c>
      <c r="X25" s="35">
        <f>COUNTIFS('2026 Time Off Request'!$A:$A,'Dec 2025'!$D25,'2026 Time Off Request'!$L:$L,'Dec 2025'!X$6)</f>
        <v>0</v>
      </c>
      <c r="Y25" s="48">
        <f>COUNTIFS('2026 Time Off Request'!$A:$A,'Dec 2025'!$D25,'2026 Time Off Request'!$L:$L,'Dec 2025'!Y$6)</f>
        <v>0</v>
      </c>
      <c r="Z25" s="48">
        <f>COUNTIFS('2026 Time Off Request'!$A:$A,'Dec 2025'!$D25,'2026 Time Off Request'!$L:$L,'Dec 2025'!Z$6)</f>
        <v>0</v>
      </c>
      <c r="AA25" s="35">
        <f>COUNTIFS('2026 Time Off Request'!$A:$A,'Dec 2025'!$D25,'2026 Time Off Request'!$L:$L,'Dec 2025'!AA$6)</f>
        <v>0</v>
      </c>
      <c r="AB25" s="35">
        <f>COUNTIFS('2026 Time Off Request'!$A:$A,'Dec 2025'!$D25,'2026 Time Off Request'!$L:$L,'Dec 2025'!AB$6)</f>
        <v>0</v>
      </c>
      <c r="AC25" s="35">
        <f>COUNTIFS('2026 Time Off Request'!$A:$A,'Dec 2025'!$D25,'2026 Time Off Request'!$L:$L,'Dec 2025'!AC$6)</f>
        <v>0</v>
      </c>
      <c r="AD25" s="51">
        <f>COUNTIFS('2026 Time Off Request'!$A:$A,'Dec 2025'!$D25,'2026 Time Off Request'!$L:$L,'Dec 2025'!AD$6)</f>
        <v>0</v>
      </c>
      <c r="AE25" s="51">
        <f>COUNTIFS('2026 Time Off Request'!$A:$A,'Dec 2025'!$D25,'2026 Time Off Request'!$L:$L,'Dec 2025'!AE$6)</f>
        <v>0</v>
      </c>
      <c r="AF25" s="48">
        <f>COUNTIFS('2026 Time Off Request'!$A:$A,'Dec 2025'!$D25,'2026 Time Off Request'!$L:$L,'Dec 2025'!AF$6)</f>
        <v>0</v>
      </c>
      <c r="AG25" s="48">
        <f>COUNTIFS('2026 Time Off Request'!$A:$A,'Dec 2025'!$D25,'2026 Time Off Request'!$L:$L,'Dec 2025'!AG$6)</f>
        <v>0</v>
      </c>
      <c r="AH25" s="35">
        <f>COUNTIFS('2026 Time Off Request'!$A:$A,'Dec 2025'!$D25,'2026 Time Off Request'!$L:$L,'Dec 2025'!AH$6)</f>
        <v>0</v>
      </c>
      <c r="AI25" s="35">
        <f>COUNTIFS('2026 Time Off Request'!$A:$A,'Dec 2025'!$D25,'2026 Time Off Request'!$L:$L,'Dec 2025'!AI$6)</f>
        <v>0</v>
      </c>
      <c r="AJ25" s="35">
        <f>COUNTIFS('2026 Time Off Request'!$A:$A,'Dec 2025'!$D25,'2026 Time Off Request'!$L:$L,'Dec 2025'!AJ$6)</f>
        <v>0</v>
      </c>
    </row>
    <row r="26" spans="1:36" ht="15.6">
      <c r="A26" s="8">
        <v>19</v>
      </c>
      <c r="B26" s="31" t="s">
        <v>45</v>
      </c>
      <c r="C26" s="26" t="s">
        <v>58</v>
      </c>
      <c r="D26" s="8" t="s">
        <v>59</v>
      </c>
      <c r="E26" s="20">
        <f t="shared" si="3"/>
        <v>0</v>
      </c>
      <c r="F26" s="60">
        <f>COUNTIFS('2026 Time Off Request'!$A:$A,'Dec 2025'!$D26,'2026 Time Off Request'!$L:$L,'Dec 2025'!F$6)</f>
        <v>0</v>
      </c>
      <c r="G26" s="35">
        <f>COUNTIFS('2026 Time Off Request'!$A:$A,'Dec 2025'!$D26,'2026 Time Off Request'!$L:$L,'Dec 2025'!G$6)</f>
        <v>0</v>
      </c>
      <c r="H26" s="35">
        <f>COUNTIFS('2026 Time Off Request'!$A:$A,'Dec 2025'!$D26,'2026 Time Off Request'!$L:$L,'Dec 2025'!H$6)</f>
        <v>0</v>
      </c>
      <c r="I26" s="35">
        <f>COUNTIFS('2026 Time Off Request'!$A:$A,'Dec 2025'!$D26,'2026 Time Off Request'!$L:$L,'Dec 2025'!I$6)</f>
        <v>0</v>
      </c>
      <c r="J26" s="35">
        <f>COUNTIFS('2026 Time Off Request'!$A:$A,'Dec 2025'!$D26,'2026 Time Off Request'!$L:$L,'Dec 2025'!J$6)</f>
        <v>0</v>
      </c>
      <c r="K26" s="48">
        <f>COUNTIFS('2026 Time Off Request'!$A:$A,'Dec 2025'!$D26,'2026 Time Off Request'!$L:$L,'Dec 2025'!K$6)</f>
        <v>0</v>
      </c>
      <c r="L26" s="48">
        <f>COUNTIFS('2026 Time Off Request'!$A:$A,'Dec 2025'!$D26,'2026 Time Off Request'!$L:$L,'Dec 2025'!L$6)</f>
        <v>0</v>
      </c>
      <c r="M26" s="35">
        <f>COUNTIFS('2026 Time Off Request'!$A:$A,'Dec 2025'!$D26,'2026 Time Off Request'!$L:$L,'Dec 2025'!M$6)</f>
        <v>0</v>
      </c>
      <c r="N26" s="35">
        <f>COUNTIFS('2026 Time Off Request'!$A:$A,'Dec 2025'!$D26,'2026 Time Off Request'!$L:$L,'Dec 2025'!N$6)</f>
        <v>0</v>
      </c>
      <c r="O26" s="35">
        <f>COUNTIFS('2026 Time Off Request'!$A:$A,'Dec 2025'!$D26,'2026 Time Off Request'!$L:$L,'Dec 2025'!O$6)</f>
        <v>0</v>
      </c>
      <c r="P26" s="35">
        <f>COUNTIFS('2026 Time Off Request'!$A:$A,'Dec 2025'!$D26,'2026 Time Off Request'!$L:$L,'Dec 2025'!P$6)</f>
        <v>0</v>
      </c>
      <c r="Q26" s="35">
        <f>COUNTIFS('2026 Time Off Request'!$A:$A,'Dec 2025'!$D26,'2026 Time Off Request'!$L:$L,'Dec 2025'!Q$6)</f>
        <v>0</v>
      </c>
      <c r="R26" s="48">
        <f>COUNTIFS('2026 Time Off Request'!$A:$A,'Dec 2025'!$D26,'2026 Time Off Request'!$L:$L,'Dec 2025'!R$6)</f>
        <v>0</v>
      </c>
      <c r="S26" s="48">
        <f>COUNTIFS('2026 Time Off Request'!$A:$A,'Dec 2025'!$D26,'2026 Time Off Request'!$L:$L,'Dec 2025'!S$6)</f>
        <v>0</v>
      </c>
      <c r="T26" s="35">
        <f>COUNTIFS('2026 Time Off Request'!$A:$A,'Dec 2025'!$D26,'2026 Time Off Request'!$L:$L,'Dec 2025'!T$6)</f>
        <v>0</v>
      </c>
      <c r="U26" s="35">
        <f>COUNTIFS('2026 Time Off Request'!$A:$A,'Dec 2025'!$D26,'2026 Time Off Request'!$L:$L,'Dec 2025'!U$6)</f>
        <v>0</v>
      </c>
      <c r="V26" s="35">
        <f>COUNTIFS('2026 Time Off Request'!$A:$A,'Dec 2025'!$D26,'2026 Time Off Request'!$L:$L,'Dec 2025'!V$6)</f>
        <v>0</v>
      </c>
      <c r="W26" s="35">
        <f>COUNTIFS('2026 Time Off Request'!$A:$A,'Dec 2025'!$D26,'2026 Time Off Request'!$L:$L,'Dec 2025'!W$6)</f>
        <v>0</v>
      </c>
      <c r="X26" s="35">
        <f>COUNTIFS('2026 Time Off Request'!$A:$A,'Dec 2025'!$D26,'2026 Time Off Request'!$L:$L,'Dec 2025'!X$6)</f>
        <v>0</v>
      </c>
      <c r="Y26" s="48">
        <f>COUNTIFS('2026 Time Off Request'!$A:$A,'Dec 2025'!$D26,'2026 Time Off Request'!$L:$L,'Dec 2025'!Y$6)</f>
        <v>0</v>
      </c>
      <c r="Z26" s="48">
        <f>COUNTIFS('2026 Time Off Request'!$A:$A,'Dec 2025'!$D26,'2026 Time Off Request'!$L:$L,'Dec 2025'!Z$6)</f>
        <v>0</v>
      </c>
      <c r="AA26" s="35">
        <f>COUNTIFS('2026 Time Off Request'!$A:$A,'Dec 2025'!$D26,'2026 Time Off Request'!$L:$L,'Dec 2025'!AA$6)</f>
        <v>0</v>
      </c>
      <c r="AB26" s="35">
        <f>COUNTIFS('2026 Time Off Request'!$A:$A,'Dec 2025'!$D26,'2026 Time Off Request'!$L:$L,'Dec 2025'!AB$6)</f>
        <v>0</v>
      </c>
      <c r="AC26" s="35">
        <f>COUNTIFS('2026 Time Off Request'!$A:$A,'Dec 2025'!$D26,'2026 Time Off Request'!$L:$L,'Dec 2025'!AC$6)</f>
        <v>0</v>
      </c>
      <c r="AD26" s="51">
        <f>COUNTIFS('2026 Time Off Request'!$A:$A,'Dec 2025'!$D26,'2026 Time Off Request'!$L:$L,'Dec 2025'!AD$6)</f>
        <v>0</v>
      </c>
      <c r="AE26" s="51">
        <f>COUNTIFS('2026 Time Off Request'!$A:$A,'Dec 2025'!$D26,'2026 Time Off Request'!$L:$L,'Dec 2025'!AE$6)</f>
        <v>0</v>
      </c>
      <c r="AF26" s="48">
        <f>COUNTIFS('2026 Time Off Request'!$A:$A,'Dec 2025'!$D26,'2026 Time Off Request'!$L:$L,'Dec 2025'!AF$6)</f>
        <v>0</v>
      </c>
      <c r="AG26" s="48">
        <f>COUNTIFS('2026 Time Off Request'!$A:$A,'Dec 2025'!$D26,'2026 Time Off Request'!$L:$L,'Dec 2025'!AG$6)</f>
        <v>0</v>
      </c>
      <c r="AH26" s="35">
        <f>COUNTIFS('2026 Time Off Request'!$A:$A,'Dec 2025'!$D26,'2026 Time Off Request'!$L:$L,'Dec 2025'!AH$6)</f>
        <v>0</v>
      </c>
      <c r="AI26" s="35">
        <f>COUNTIFS('2026 Time Off Request'!$A:$A,'Dec 2025'!$D26,'2026 Time Off Request'!$L:$L,'Dec 2025'!AI$6)</f>
        <v>0</v>
      </c>
      <c r="AJ26" s="35">
        <f>COUNTIFS('2026 Time Off Request'!$A:$A,'Dec 2025'!$D26,'2026 Time Off Request'!$L:$L,'Dec 2025'!AJ$6)</f>
        <v>0</v>
      </c>
    </row>
    <row r="27" spans="1:36" ht="15.6">
      <c r="A27" s="8">
        <v>20</v>
      </c>
      <c r="B27" s="31" t="s">
        <v>45</v>
      </c>
      <c r="C27" s="26" t="s">
        <v>60</v>
      </c>
      <c r="D27" s="8" t="s">
        <v>61</v>
      </c>
      <c r="E27" s="20">
        <f t="shared" si="3"/>
        <v>0</v>
      </c>
      <c r="F27" s="60">
        <f>COUNTIFS('2026 Time Off Request'!$A:$A,'Dec 2025'!$D27,'2026 Time Off Request'!$L:$L,'Dec 2025'!F$6)</f>
        <v>0</v>
      </c>
      <c r="G27" s="35">
        <f>COUNTIFS('2026 Time Off Request'!$A:$A,'Dec 2025'!$D27,'2026 Time Off Request'!$L:$L,'Dec 2025'!G$6)</f>
        <v>0</v>
      </c>
      <c r="H27" s="35">
        <f>COUNTIFS('2026 Time Off Request'!$A:$A,'Dec 2025'!$D27,'2026 Time Off Request'!$L:$L,'Dec 2025'!H$6)</f>
        <v>0</v>
      </c>
      <c r="I27" s="35">
        <f>COUNTIFS('2026 Time Off Request'!$A:$A,'Dec 2025'!$D27,'2026 Time Off Request'!$L:$L,'Dec 2025'!I$6)</f>
        <v>0</v>
      </c>
      <c r="J27" s="35">
        <f>COUNTIFS('2026 Time Off Request'!$A:$A,'Dec 2025'!$D27,'2026 Time Off Request'!$L:$L,'Dec 2025'!J$6)</f>
        <v>0</v>
      </c>
      <c r="K27" s="48">
        <f>COUNTIFS('2026 Time Off Request'!$A:$A,'Dec 2025'!$D27,'2026 Time Off Request'!$L:$L,'Dec 2025'!K$6)</f>
        <v>0</v>
      </c>
      <c r="L27" s="48">
        <f>COUNTIFS('2026 Time Off Request'!$A:$A,'Dec 2025'!$D27,'2026 Time Off Request'!$L:$L,'Dec 2025'!L$6)</f>
        <v>0</v>
      </c>
      <c r="M27" s="35">
        <f>COUNTIFS('2026 Time Off Request'!$A:$A,'Dec 2025'!$D27,'2026 Time Off Request'!$L:$L,'Dec 2025'!M$6)</f>
        <v>0</v>
      </c>
      <c r="N27" s="35">
        <f>COUNTIFS('2026 Time Off Request'!$A:$A,'Dec 2025'!$D27,'2026 Time Off Request'!$L:$L,'Dec 2025'!N$6)</f>
        <v>0</v>
      </c>
      <c r="O27" s="35">
        <f>COUNTIFS('2026 Time Off Request'!$A:$A,'Dec 2025'!$D27,'2026 Time Off Request'!$L:$L,'Dec 2025'!O$6)</f>
        <v>0</v>
      </c>
      <c r="P27" s="35">
        <f>COUNTIFS('2026 Time Off Request'!$A:$A,'Dec 2025'!$D27,'2026 Time Off Request'!$L:$L,'Dec 2025'!P$6)</f>
        <v>0</v>
      </c>
      <c r="Q27" s="35">
        <f>COUNTIFS('2026 Time Off Request'!$A:$A,'Dec 2025'!$D27,'2026 Time Off Request'!$L:$L,'Dec 2025'!Q$6)</f>
        <v>0</v>
      </c>
      <c r="R27" s="48">
        <f>COUNTIFS('2026 Time Off Request'!$A:$A,'Dec 2025'!$D27,'2026 Time Off Request'!$L:$L,'Dec 2025'!R$6)</f>
        <v>0</v>
      </c>
      <c r="S27" s="48">
        <f>COUNTIFS('2026 Time Off Request'!$A:$A,'Dec 2025'!$D27,'2026 Time Off Request'!$L:$L,'Dec 2025'!S$6)</f>
        <v>0</v>
      </c>
      <c r="T27" s="35">
        <f>COUNTIFS('2026 Time Off Request'!$A:$A,'Dec 2025'!$D27,'2026 Time Off Request'!$L:$L,'Dec 2025'!T$6)</f>
        <v>0</v>
      </c>
      <c r="U27" s="35">
        <f>COUNTIFS('2026 Time Off Request'!$A:$A,'Dec 2025'!$D27,'2026 Time Off Request'!$L:$L,'Dec 2025'!U$6)</f>
        <v>0</v>
      </c>
      <c r="V27" s="35">
        <f>COUNTIFS('2026 Time Off Request'!$A:$A,'Dec 2025'!$D27,'2026 Time Off Request'!$L:$L,'Dec 2025'!V$6)</f>
        <v>0</v>
      </c>
      <c r="W27" s="35">
        <f>COUNTIFS('2026 Time Off Request'!$A:$A,'Dec 2025'!$D27,'2026 Time Off Request'!$L:$L,'Dec 2025'!W$6)</f>
        <v>0</v>
      </c>
      <c r="X27" s="35">
        <f>COUNTIFS('2026 Time Off Request'!$A:$A,'Dec 2025'!$D27,'2026 Time Off Request'!$L:$L,'Dec 2025'!X$6)</f>
        <v>0</v>
      </c>
      <c r="Y27" s="48">
        <f>COUNTIFS('2026 Time Off Request'!$A:$A,'Dec 2025'!$D27,'2026 Time Off Request'!$L:$L,'Dec 2025'!Y$6)</f>
        <v>0</v>
      </c>
      <c r="Z27" s="48">
        <f>COUNTIFS('2026 Time Off Request'!$A:$A,'Dec 2025'!$D27,'2026 Time Off Request'!$L:$L,'Dec 2025'!Z$6)</f>
        <v>0</v>
      </c>
      <c r="AA27" s="35">
        <f>COUNTIFS('2026 Time Off Request'!$A:$A,'Dec 2025'!$D27,'2026 Time Off Request'!$L:$L,'Dec 2025'!AA$6)</f>
        <v>0</v>
      </c>
      <c r="AB27" s="35">
        <f>COUNTIFS('2026 Time Off Request'!$A:$A,'Dec 2025'!$D27,'2026 Time Off Request'!$L:$L,'Dec 2025'!AB$6)</f>
        <v>0</v>
      </c>
      <c r="AC27" s="35">
        <f>COUNTIFS('2026 Time Off Request'!$A:$A,'Dec 2025'!$D27,'2026 Time Off Request'!$L:$L,'Dec 2025'!AC$6)</f>
        <v>0</v>
      </c>
      <c r="AD27" s="51">
        <f>COUNTIFS('2026 Time Off Request'!$A:$A,'Dec 2025'!$D27,'2026 Time Off Request'!$L:$L,'Dec 2025'!AD$6)</f>
        <v>0</v>
      </c>
      <c r="AE27" s="51">
        <f>COUNTIFS('2026 Time Off Request'!$A:$A,'Dec 2025'!$D27,'2026 Time Off Request'!$L:$L,'Dec 2025'!AE$6)</f>
        <v>0</v>
      </c>
      <c r="AF27" s="48">
        <f>COUNTIFS('2026 Time Off Request'!$A:$A,'Dec 2025'!$D27,'2026 Time Off Request'!$L:$L,'Dec 2025'!AF$6)</f>
        <v>0</v>
      </c>
      <c r="AG27" s="48">
        <f>COUNTIFS('2026 Time Off Request'!$A:$A,'Dec 2025'!$D27,'2026 Time Off Request'!$L:$L,'Dec 2025'!AG$6)</f>
        <v>0</v>
      </c>
      <c r="AH27" s="35">
        <f>COUNTIFS('2026 Time Off Request'!$A:$A,'Dec 2025'!$D27,'2026 Time Off Request'!$L:$L,'Dec 2025'!AH$6)</f>
        <v>0</v>
      </c>
      <c r="AI27" s="35">
        <f>COUNTIFS('2026 Time Off Request'!$A:$A,'Dec 2025'!$D27,'2026 Time Off Request'!$L:$L,'Dec 2025'!AI$6)</f>
        <v>0</v>
      </c>
      <c r="AJ27" s="35">
        <f>COUNTIFS('2026 Time Off Request'!$A:$A,'Dec 2025'!$D27,'2026 Time Off Request'!$L:$L,'Dec 2025'!AJ$6)</f>
        <v>0</v>
      </c>
    </row>
    <row r="28" spans="1:36" ht="15.6">
      <c r="A28" s="8">
        <v>21</v>
      </c>
      <c r="B28" s="31" t="s">
        <v>49</v>
      </c>
      <c r="C28" s="26" t="s">
        <v>64</v>
      </c>
      <c r="D28" s="8" t="s">
        <v>65</v>
      </c>
      <c r="E28" s="20">
        <f t="shared" si="3"/>
        <v>0</v>
      </c>
      <c r="F28" s="60">
        <f>COUNTIFS('2026 Time Off Request'!$A:$A,'Dec 2025'!$D28,'2026 Time Off Request'!$L:$L,'Dec 2025'!F$6)</f>
        <v>0</v>
      </c>
      <c r="G28" s="35">
        <f>COUNTIFS('2026 Time Off Request'!$A:$A,'Dec 2025'!$D28,'2026 Time Off Request'!$L:$L,'Dec 2025'!G$6)</f>
        <v>0</v>
      </c>
      <c r="H28" s="35">
        <f>COUNTIFS('2026 Time Off Request'!$A:$A,'Dec 2025'!$D28,'2026 Time Off Request'!$L:$L,'Dec 2025'!H$6)</f>
        <v>0</v>
      </c>
      <c r="I28" s="35">
        <f>COUNTIFS('2026 Time Off Request'!$A:$A,'Dec 2025'!$D28,'2026 Time Off Request'!$L:$L,'Dec 2025'!I$6)</f>
        <v>0</v>
      </c>
      <c r="J28" s="35">
        <f>COUNTIFS('2026 Time Off Request'!$A:$A,'Dec 2025'!$D28,'2026 Time Off Request'!$L:$L,'Dec 2025'!J$6)</f>
        <v>0</v>
      </c>
      <c r="K28" s="48">
        <f>COUNTIFS('2026 Time Off Request'!$A:$A,'Dec 2025'!$D28,'2026 Time Off Request'!$L:$L,'Dec 2025'!K$6)</f>
        <v>0</v>
      </c>
      <c r="L28" s="48">
        <f>COUNTIFS('2026 Time Off Request'!$A:$A,'Dec 2025'!$D28,'2026 Time Off Request'!$L:$L,'Dec 2025'!L$6)</f>
        <v>0</v>
      </c>
      <c r="M28" s="35">
        <f>COUNTIFS('2026 Time Off Request'!$A:$A,'Dec 2025'!$D28,'2026 Time Off Request'!$L:$L,'Dec 2025'!M$6)</f>
        <v>0</v>
      </c>
      <c r="N28" s="35">
        <f>COUNTIFS('2026 Time Off Request'!$A:$A,'Dec 2025'!$D28,'2026 Time Off Request'!$L:$L,'Dec 2025'!N$6)</f>
        <v>0</v>
      </c>
      <c r="O28" s="35">
        <f>COUNTIFS('2026 Time Off Request'!$A:$A,'Dec 2025'!$D28,'2026 Time Off Request'!$L:$L,'Dec 2025'!O$6)</f>
        <v>0</v>
      </c>
      <c r="P28" s="35">
        <f>COUNTIFS('2026 Time Off Request'!$A:$A,'Dec 2025'!$D28,'2026 Time Off Request'!$L:$L,'Dec 2025'!P$6)</f>
        <v>0</v>
      </c>
      <c r="Q28" s="35">
        <f>COUNTIFS('2026 Time Off Request'!$A:$A,'Dec 2025'!$D28,'2026 Time Off Request'!$L:$L,'Dec 2025'!Q$6)</f>
        <v>0</v>
      </c>
      <c r="R28" s="48">
        <f>COUNTIFS('2026 Time Off Request'!$A:$A,'Dec 2025'!$D28,'2026 Time Off Request'!$L:$L,'Dec 2025'!R$6)</f>
        <v>0</v>
      </c>
      <c r="S28" s="48">
        <f>COUNTIFS('2026 Time Off Request'!$A:$A,'Dec 2025'!$D28,'2026 Time Off Request'!$L:$L,'Dec 2025'!S$6)</f>
        <v>0</v>
      </c>
      <c r="T28" s="35">
        <f>COUNTIFS('2026 Time Off Request'!$A:$A,'Dec 2025'!$D28,'2026 Time Off Request'!$L:$L,'Dec 2025'!T$6)</f>
        <v>0</v>
      </c>
      <c r="U28" s="35">
        <f>COUNTIFS('2026 Time Off Request'!$A:$A,'Dec 2025'!$D28,'2026 Time Off Request'!$L:$L,'Dec 2025'!U$6)</f>
        <v>0</v>
      </c>
      <c r="V28" s="35">
        <f>COUNTIFS('2026 Time Off Request'!$A:$A,'Dec 2025'!$D28,'2026 Time Off Request'!$L:$L,'Dec 2025'!V$6)</f>
        <v>0</v>
      </c>
      <c r="W28" s="35">
        <f>COUNTIFS('2026 Time Off Request'!$A:$A,'Dec 2025'!$D28,'2026 Time Off Request'!$L:$L,'Dec 2025'!W$6)</f>
        <v>0</v>
      </c>
      <c r="X28" s="35">
        <f>COUNTIFS('2026 Time Off Request'!$A:$A,'Dec 2025'!$D28,'2026 Time Off Request'!$L:$L,'Dec 2025'!X$6)</f>
        <v>0</v>
      </c>
      <c r="Y28" s="48">
        <f>COUNTIFS('2026 Time Off Request'!$A:$A,'Dec 2025'!$D28,'2026 Time Off Request'!$L:$L,'Dec 2025'!Y$6)</f>
        <v>0</v>
      </c>
      <c r="Z28" s="48">
        <f>COUNTIFS('2026 Time Off Request'!$A:$A,'Dec 2025'!$D28,'2026 Time Off Request'!$L:$L,'Dec 2025'!Z$6)</f>
        <v>0</v>
      </c>
      <c r="AA28" s="35">
        <f>COUNTIFS('2026 Time Off Request'!$A:$A,'Dec 2025'!$D28,'2026 Time Off Request'!$L:$L,'Dec 2025'!AA$6)</f>
        <v>0</v>
      </c>
      <c r="AB28" s="35">
        <f>COUNTIFS('2026 Time Off Request'!$A:$A,'Dec 2025'!$D28,'2026 Time Off Request'!$L:$L,'Dec 2025'!AB$6)</f>
        <v>0</v>
      </c>
      <c r="AC28" s="35">
        <f>COUNTIFS('2026 Time Off Request'!$A:$A,'Dec 2025'!$D28,'2026 Time Off Request'!$L:$L,'Dec 2025'!AC$6)</f>
        <v>0</v>
      </c>
      <c r="AD28" s="51">
        <f>COUNTIFS('2026 Time Off Request'!$A:$A,'Dec 2025'!$D28,'2026 Time Off Request'!$L:$L,'Dec 2025'!AD$6)</f>
        <v>0</v>
      </c>
      <c r="AE28" s="51">
        <f>COUNTIFS('2026 Time Off Request'!$A:$A,'Dec 2025'!$D28,'2026 Time Off Request'!$L:$L,'Dec 2025'!AE$6)</f>
        <v>0</v>
      </c>
      <c r="AF28" s="48">
        <f>COUNTIFS('2026 Time Off Request'!$A:$A,'Dec 2025'!$D28,'2026 Time Off Request'!$L:$L,'Dec 2025'!AF$6)</f>
        <v>0</v>
      </c>
      <c r="AG28" s="48">
        <f>COUNTIFS('2026 Time Off Request'!$A:$A,'Dec 2025'!$D28,'2026 Time Off Request'!$L:$L,'Dec 2025'!AG$6)</f>
        <v>0</v>
      </c>
      <c r="AH28" s="35">
        <f>COUNTIFS('2026 Time Off Request'!$A:$A,'Dec 2025'!$D28,'2026 Time Off Request'!$L:$L,'Dec 2025'!AH$6)</f>
        <v>0</v>
      </c>
      <c r="AI28" s="35">
        <f>COUNTIFS('2026 Time Off Request'!$A:$A,'Dec 2025'!$D28,'2026 Time Off Request'!$L:$L,'Dec 2025'!AI$6)</f>
        <v>0</v>
      </c>
      <c r="AJ28" s="35">
        <f>COUNTIFS('2026 Time Off Request'!$A:$A,'Dec 2025'!$D28,'2026 Time Off Request'!$L:$L,'Dec 2025'!AJ$6)</f>
        <v>0</v>
      </c>
    </row>
    <row r="29" spans="1:36" ht="15.6">
      <c r="A29" s="8">
        <v>22</v>
      </c>
      <c r="B29" s="31" t="s">
        <v>49</v>
      </c>
      <c r="C29" s="26" t="s">
        <v>66</v>
      </c>
      <c r="D29" s="8" t="s">
        <v>67</v>
      </c>
      <c r="E29" s="20">
        <f t="shared" si="3"/>
        <v>0</v>
      </c>
      <c r="F29" s="60">
        <f>COUNTIFS('2026 Time Off Request'!$A:$A,'Dec 2025'!$D29,'2026 Time Off Request'!$L:$L,'Dec 2025'!F$6)</f>
        <v>0</v>
      </c>
      <c r="G29" s="35">
        <f>COUNTIFS('2026 Time Off Request'!$A:$A,'Dec 2025'!$D29,'2026 Time Off Request'!$L:$L,'Dec 2025'!G$6)</f>
        <v>0</v>
      </c>
      <c r="H29" s="35">
        <f>COUNTIFS('2026 Time Off Request'!$A:$A,'Dec 2025'!$D29,'2026 Time Off Request'!$L:$L,'Dec 2025'!H$6)</f>
        <v>0</v>
      </c>
      <c r="I29" s="35">
        <f>COUNTIFS('2026 Time Off Request'!$A:$A,'Dec 2025'!$D29,'2026 Time Off Request'!$L:$L,'Dec 2025'!I$6)</f>
        <v>0</v>
      </c>
      <c r="J29" s="35">
        <f>COUNTIFS('2026 Time Off Request'!$A:$A,'Dec 2025'!$D29,'2026 Time Off Request'!$L:$L,'Dec 2025'!J$6)</f>
        <v>0</v>
      </c>
      <c r="K29" s="48">
        <f>COUNTIFS('2026 Time Off Request'!$A:$A,'Dec 2025'!$D29,'2026 Time Off Request'!$L:$L,'Dec 2025'!K$6)</f>
        <v>0</v>
      </c>
      <c r="L29" s="48">
        <f>COUNTIFS('2026 Time Off Request'!$A:$A,'Dec 2025'!$D29,'2026 Time Off Request'!$L:$L,'Dec 2025'!L$6)</f>
        <v>0</v>
      </c>
      <c r="M29" s="35">
        <f>COUNTIFS('2026 Time Off Request'!$A:$A,'Dec 2025'!$D29,'2026 Time Off Request'!$L:$L,'Dec 2025'!M$6)</f>
        <v>0</v>
      </c>
      <c r="N29" s="35">
        <f>COUNTIFS('2026 Time Off Request'!$A:$A,'Dec 2025'!$D29,'2026 Time Off Request'!$L:$L,'Dec 2025'!N$6)</f>
        <v>0</v>
      </c>
      <c r="O29" s="35">
        <f>COUNTIFS('2026 Time Off Request'!$A:$A,'Dec 2025'!$D29,'2026 Time Off Request'!$L:$L,'Dec 2025'!O$6)</f>
        <v>0</v>
      </c>
      <c r="P29" s="35">
        <f>COUNTIFS('2026 Time Off Request'!$A:$A,'Dec 2025'!$D29,'2026 Time Off Request'!$L:$L,'Dec 2025'!P$6)</f>
        <v>0</v>
      </c>
      <c r="Q29" s="35">
        <f>COUNTIFS('2026 Time Off Request'!$A:$A,'Dec 2025'!$D29,'2026 Time Off Request'!$L:$L,'Dec 2025'!Q$6)</f>
        <v>0</v>
      </c>
      <c r="R29" s="48">
        <f>COUNTIFS('2026 Time Off Request'!$A:$A,'Dec 2025'!$D29,'2026 Time Off Request'!$L:$L,'Dec 2025'!R$6)</f>
        <v>0</v>
      </c>
      <c r="S29" s="48">
        <f>COUNTIFS('2026 Time Off Request'!$A:$A,'Dec 2025'!$D29,'2026 Time Off Request'!$L:$L,'Dec 2025'!S$6)</f>
        <v>0</v>
      </c>
      <c r="T29" s="35">
        <f>COUNTIFS('2026 Time Off Request'!$A:$A,'Dec 2025'!$D29,'2026 Time Off Request'!$L:$L,'Dec 2025'!T$6)</f>
        <v>0</v>
      </c>
      <c r="U29" s="35">
        <f>COUNTIFS('2026 Time Off Request'!$A:$A,'Dec 2025'!$D29,'2026 Time Off Request'!$L:$L,'Dec 2025'!U$6)</f>
        <v>0</v>
      </c>
      <c r="V29" s="35">
        <f>COUNTIFS('2026 Time Off Request'!$A:$A,'Dec 2025'!$D29,'2026 Time Off Request'!$L:$L,'Dec 2025'!V$6)</f>
        <v>0</v>
      </c>
      <c r="W29" s="35">
        <f>COUNTIFS('2026 Time Off Request'!$A:$A,'Dec 2025'!$D29,'2026 Time Off Request'!$L:$L,'Dec 2025'!W$6)</f>
        <v>0</v>
      </c>
      <c r="X29" s="35">
        <f>COUNTIFS('2026 Time Off Request'!$A:$A,'Dec 2025'!$D29,'2026 Time Off Request'!$L:$L,'Dec 2025'!X$6)</f>
        <v>0</v>
      </c>
      <c r="Y29" s="48">
        <f>COUNTIFS('2026 Time Off Request'!$A:$A,'Dec 2025'!$D29,'2026 Time Off Request'!$L:$L,'Dec 2025'!Y$6)</f>
        <v>0</v>
      </c>
      <c r="Z29" s="48">
        <f>COUNTIFS('2026 Time Off Request'!$A:$A,'Dec 2025'!$D29,'2026 Time Off Request'!$L:$L,'Dec 2025'!Z$6)</f>
        <v>0</v>
      </c>
      <c r="AA29" s="35">
        <f>COUNTIFS('2026 Time Off Request'!$A:$A,'Dec 2025'!$D29,'2026 Time Off Request'!$L:$L,'Dec 2025'!AA$6)</f>
        <v>0</v>
      </c>
      <c r="AB29" s="35">
        <f>COUNTIFS('2026 Time Off Request'!$A:$A,'Dec 2025'!$D29,'2026 Time Off Request'!$L:$L,'Dec 2025'!AB$6)</f>
        <v>0</v>
      </c>
      <c r="AC29" s="35">
        <f>COUNTIFS('2026 Time Off Request'!$A:$A,'Dec 2025'!$D29,'2026 Time Off Request'!$L:$L,'Dec 2025'!AC$6)</f>
        <v>0</v>
      </c>
      <c r="AD29" s="51">
        <f>COUNTIFS('2026 Time Off Request'!$A:$A,'Dec 2025'!$D29,'2026 Time Off Request'!$L:$L,'Dec 2025'!AD$6)</f>
        <v>0</v>
      </c>
      <c r="AE29" s="51">
        <f>COUNTIFS('2026 Time Off Request'!$A:$A,'Dec 2025'!$D29,'2026 Time Off Request'!$L:$L,'Dec 2025'!AE$6)</f>
        <v>0</v>
      </c>
      <c r="AF29" s="48">
        <f>COUNTIFS('2026 Time Off Request'!$A:$A,'Dec 2025'!$D29,'2026 Time Off Request'!$L:$L,'Dec 2025'!AF$6)</f>
        <v>0</v>
      </c>
      <c r="AG29" s="48">
        <f>COUNTIFS('2026 Time Off Request'!$A:$A,'Dec 2025'!$D29,'2026 Time Off Request'!$L:$L,'Dec 2025'!AG$6)</f>
        <v>0</v>
      </c>
      <c r="AH29" s="35">
        <f>COUNTIFS('2026 Time Off Request'!$A:$A,'Dec 2025'!$D29,'2026 Time Off Request'!$L:$L,'Dec 2025'!AH$6)</f>
        <v>0</v>
      </c>
      <c r="AI29" s="35">
        <f>COUNTIFS('2026 Time Off Request'!$A:$A,'Dec 2025'!$D29,'2026 Time Off Request'!$L:$L,'Dec 2025'!AI$6)</f>
        <v>0</v>
      </c>
      <c r="AJ29" s="35">
        <f>COUNTIFS('2026 Time Off Request'!$A:$A,'Dec 2025'!$D29,'2026 Time Off Request'!$L:$L,'Dec 2025'!AJ$6)</f>
        <v>0</v>
      </c>
    </row>
    <row r="30" spans="1:36" ht="15.6">
      <c r="A30" s="8">
        <v>23</v>
      </c>
      <c r="B30" s="31" t="s">
        <v>45</v>
      </c>
      <c r="C30" s="26" t="s">
        <v>68</v>
      </c>
      <c r="D30" s="8" t="s">
        <v>69</v>
      </c>
      <c r="E30" s="20">
        <f t="shared" si="3"/>
        <v>0</v>
      </c>
      <c r="F30" s="60">
        <f>COUNTIFS('2026 Time Off Request'!$A:$A,'Dec 2025'!$D30,'2026 Time Off Request'!$L:$L,'Dec 2025'!F$6)</f>
        <v>0</v>
      </c>
      <c r="G30" s="35">
        <f>COUNTIFS('2026 Time Off Request'!$A:$A,'Dec 2025'!$D30,'2026 Time Off Request'!$L:$L,'Dec 2025'!G$6)</f>
        <v>0</v>
      </c>
      <c r="H30" s="35">
        <f>COUNTIFS('2026 Time Off Request'!$A:$A,'Dec 2025'!$D30,'2026 Time Off Request'!$L:$L,'Dec 2025'!H$6)</f>
        <v>0</v>
      </c>
      <c r="I30" s="35">
        <f>COUNTIFS('2026 Time Off Request'!$A:$A,'Dec 2025'!$D30,'2026 Time Off Request'!$L:$L,'Dec 2025'!I$6)</f>
        <v>0</v>
      </c>
      <c r="J30" s="35">
        <f>COUNTIFS('2026 Time Off Request'!$A:$A,'Dec 2025'!$D30,'2026 Time Off Request'!$L:$L,'Dec 2025'!J$6)</f>
        <v>0</v>
      </c>
      <c r="K30" s="48">
        <f>COUNTIFS('2026 Time Off Request'!$A:$A,'Dec 2025'!$D30,'2026 Time Off Request'!$L:$L,'Dec 2025'!K$6)</f>
        <v>0</v>
      </c>
      <c r="L30" s="48">
        <f>COUNTIFS('2026 Time Off Request'!$A:$A,'Dec 2025'!$D30,'2026 Time Off Request'!$L:$L,'Dec 2025'!L$6)</f>
        <v>0</v>
      </c>
      <c r="M30" s="35">
        <f>COUNTIFS('2026 Time Off Request'!$A:$A,'Dec 2025'!$D30,'2026 Time Off Request'!$L:$L,'Dec 2025'!M$6)</f>
        <v>0</v>
      </c>
      <c r="N30" s="35">
        <f>COUNTIFS('2026 Time Off Request'!$A:$A,'Dec 2025'!$D30,'2026 Time Off Request'!$L:$L,'Dec 2025'!N$6)</f>
        <v>0</v>
      </c>
      <c r="O30" s="35">
        <f>COUNTIFS('2026 Time Off Request'!$A:$A,'Dec 2025'!$D30,'2026 Time Off Request'!$L:$L,'Dec 2025'!O$6)</f>
        <v>0</v>
      </c>
      <c r="P30" s="35">
        <f>COUNTIFS('2026 Time Off Request'!$A:$A,'Dec 2025'!$D30,'2026 Time Off Request'!$L:$L,'Dec 2025'!P$6)</f>
        <v>0</v>
      </c>
      <c r="Q30" s="35">
        <f>COUNTIFS('2026 Time Off Request'!$A:$A,'Dec 2025'!$D30,'2026 Time Off Request'!$L:$L,'Dec 2025'!Q$6)</f>
        <v>0</v>
      </c>
      <c r="R30" s="48">
        <f>COUNTIFS('2026 Time Off Request'!$A:$A,'Dec 2025'!$D30,'2026 Time Off Request'!$L:$L,'Dec 2025'!R$6)</f>
        <v>0</v>
      </c>
      <c r="S30" s="48">
        <f>COUNTIFS('2026 Time Off Request'!$A:$A,'Dec 2025'!$D30,'2026 Time Off Request'!$L:$L,'Dec 2025'!S$6)</f>
        <v>0</v>
      </c>
      <c r="T30" s="35">
        <f>COUNTIFS('2026 Time Off Request'!$A:$A,'Dec 2025'!$D30,'2026 Time Off Request'!$L:$L,'Dec 2025'!T$6)</f>
        <v>0</v>
      </c>
      <c r="U30" s="35">
        <f>COUNTIFS('2026 Time Off Request'!$A:$A,'Dec 2025'!$D30,'2026 Time Off Request'!$L:$L,'Dec 2025'!U$6)</f>
        <v>0</v>
      </c>
      <c r="V30" s="35">
        <f>COUNTIFS('2026 Time Off Request'!$A:$A,'Dec 2025'!$D30,'2026 Time Off Request'!$L:$L,'Dec 2025'!V$6)</f>
        <v>0</v>
      </c>
      <c r="W30" s="35">
        <f>COUNTIFS('2026 Time Off Request'!$A:$A,'Dec 2025'!$D30,'2026 Time Off Request'!$L:$L,'Dec 2025'!W$6)</f>
        <v>0</v>
      </c>
      <c r="X30" s="35">
        <f>COUNTIFS('2026 Time Off Request'!$A:$A,'Dec 2025'!$D30,'2026 Time Off Request'!$L:$L,'Dec 2025'!X$6)</f>
        <v>0</v>
      </c>
      <c r="Y30" s="48">
        <f>COUNTIFS('2026 Time Off Request'!$A:$A,'Dec 2025'!$D30,'2026 Time Off Request'!$L:$L,'Dec 2025'!Y$6)</f>
        <v>0</v>
      </c>
      <c r="Z30" s="48">
        <f>COUNTIFS('2026 Time Off Request'!$A:$A,'Dec 2025'!$D30,'2026 Time Off Request'!$L:$L,'Dec 2025'!Z$6)</f>
        <v>0</v>
      </c>
      <c r="AA30" s="35">
        <f>COUNTIFS('2026 Time Off Request'!$A:$A,'Dec 2025'!$D30,'2026 Time Off Request'!$L:$L,'Dec 2025'!AA$6)</f>
        <v>0</v>
      </c>
      <c r="AB30" s="35">
        <f>COUNTIFS('2026 Time Off Request'!$A:$A,'Dec 2025'!$D30,'2026 Time Off Request'!$L:$L,'Dec 2025'!AB$6)</f>
        <v>0</v>
      </c>
      <c r="AC30" s="35">
        <f>COUNTIFS('2026 Time Off Request'!$A:$A,'Dec 2025'!$D30,'2026 Time Off Request'!$L:$L,'Dec 2025'!AC$6)</f>
        <v>0</v>
      </c>
      <c r="AD30" s="51">
        <f>COUNTIFS('2026 Time Off Request'!$A:$A,'Dec 2025'!$D30,'2026 Time Off Request'!$L:$L,'Dec 2025'!AD$6)</f>
        <v>0</v>
      </c>
      <c r="AE30" s="51">
        <f>COUNTIFS('2026 Time Off Request'!$A:$A,'Dec 2025'!$D30,'2026 Time Off Request'!$L:$L,'Dec 2025'!AE$6)</f>
        <v>0</v>
      </c>
      <c r="AF30" s="48">
        <f>COUNTIFS('2026 Time Off Request'!$A:$A,'Dec 2025'!$D30,'2026 Time Off Request'!$L:$L,'Dec 2025'!AF$6)</f>
        <v>0</v>
      </c>
      <c r="AG30" s="48">
        <f>COUNTIFS('2026 Time Off Request'!$A:$A,'Dec 2025'!$D30,'2026 Time Off Request'!$L:$L,'Dec 2025'!AG$6)</f>
        <v>0</v>
      </c>
      <c r="AH30" s="35">
        <f>COUNTIFS('2026 Time Off Request'!$A:$A,'Dec 2025'!$D30,'2026 Time Off Request'!$L:$L,'Dec 2025'!AH$6)</f>
        <v>0</v>
      </c>
      <c r="AI30" s="35">
        <f>COUNTIFS('2026 Time Off Request'!$A:$A,'Dec 2025'!$D30,'2026 Time Off Request'!$L:$L,'Dec 2025'!AI$6)</f>
        <v>0</v>
      </c>
      <c r="AJ30" s="35">
        <f>COUNTIFS('2026 Time Off Request'!$A:$A,'Dec 2025'!$D30,'2026 Time Off Request'!$L:$L,'Dec 2025'!AJ$6)</f>
        <v>0</v>
      </c>
    </row>
    <row r="31" spans="1:36" ht="15.6">
      <c r="A31" s="8">
        <v>24</v>
      </c>
      <c r="B31" s="31" t="s">
        <v>45</v>
      </c>
      <c r="C31" s="26" t="s">
        <v>70</v>
      </c>
      <c r="D31" s="8" t="s">
        <v>71</v>
      </c>
      <c r="E31" s="20">
        <f t="shared" si="3"/>
        <v>0</v>
      </c>
      <c r="F31" s="60">
        <f>COUNTIFS('2026 Time Off Request'!$A:$A,'Dec 2025'!$D31,'2026 Time Off Request'!$L:$L,'Dec 2025'!F$6)</f>
        <v>0</v>
      </c>
      <c r="G31" s="35">
        <f>COUNTIFS('2026 Time Off Request'!$A:$A,'Dec 2025'!$D31,'2026 Time Off Request'!$L:$L,'Dec 2025'!G$6)</f>
        <v>0</v>
      </c>
      <c r="H31" s="35">
        <f>COUNTIFS('2026 Time Off Request'!$A:$A,'Dec 2025'!$D31,'2026 Time Off Request'!$L:$L,'Dec 2025'!H$6)</f>
        <v>0</v>
      </c>
      <c r="I31" s="35">
        <f>COUNTIFS('2026 Time Off Request'!$A:$A,'Dec 2025'!$D31,'2026 Time Off Request'!$L:$L,'Dec 2025'!I$6)</f>
        <v>0</v>
      </c>
      <c r="J31" s="35">
        <f>COUNTIFS('2026 Time Off Request'!$A:$A,'Dec 2025'!$D31,'2026 Time Off Request'!$L:$L,'Dec 2025'!J$6)</f>
        <v>0</v>
      </c>
      <c r="K31" s="48">
        <f>COUNTIFS('2026 Time Off Request'!$A:$A,'Dec 2025'!$D31,'2026 Time Off Request'!$L:$L,'Dec 2025'!K$6)</f>
        <v>0</v>
      </c>
      <c r="L31" s="48">
        <f>COUNTIFS('2026 Time Off Request'!$A:$A,'Dec 2025'!$D31,'2026 Time Off Request'!$L:$L,'Dec 2025'!L$6)</f>
        <v>0</v>
      </c>
      <c r="M31" s="35">
        <f>COUNTIFS('2026 Time Off Request'!$A:$A,'Dec 2025'!$D31,'2026 Time Off Request'!$L:$L,'Dec 2025'!M$6)</f>
        <v>0</v>
      </c>
      <c r="N31" s="35">
        <f>COUNTIFS('2026 Time Off Request'!$A:$A,'Dec 2025'!$D31,'2026 Time Off Request'!$L:$L,'Dec 2025'!N$6)</f>
        <v>0</v>
      </c>
      <c r="O31" s="35">
        <f>COUNTIFS('2026 Time Off Request'!$A:$A,'Dec 2025'!$D31,'2026 Time Off Request'!$L:$L,'Dec 2025'!O$6)</f>
        <v>0</v>
      </c>
      <c r="P31" s="35">
        <f>COUNTIFS('2026 Time Off Request'!$A:$A,'Dec 2025'!$D31,'2026 Time Off Request'!$L:$L,'Dec 2025'!P$6)</f>
        <v>0</v>
      </c>
      <c r="Q31" s="35">
        <f>COUNTIFS('2026 Time Off Request'!$A:$A,'Dec 2025'!$D31,'2026 Time Off Request'!$L:$L,'Dec 2025'!Q$6)</f>
        <v>0</v>
      </c>
      <c r="R31" s="48">
        <f>COUNTIFS('2026 Time Off Request'!$A:$A,'Dec 2025'!$D31,'2026 Time Off Request'!$L:$L,'Dec 2025'!R$6)</f>
        <v>0</v>
      </c>
      <c r="S31" s="48">
        <f>COUNTIFS('2026 Time Off Request'!$A:$A,'Dec 2025'!$D31,'2026 Time Off Request'!$L:$L,'Dec 2025'!S$6)</f>
        <v>0</v>
      </c>
      <c r="T31" s="35">
        <f>COUNTIFS('2026 Time Off Request'!$A:$A,'Dec 2025'!$D31,'2026 Time Off Request'!$L:$L,'Dec 2025'!T$6)</f>
        <v>0</v>
      </c>
      <c r="U31" s="35">
        <f>COUNTIFS('2026 Time Off Request'!$A:$A,'Dec 2025'!$D31,'2026 Time Off Request'!$L:$L,'Dec 2025'!U$6)</f>
        <v>0</v>
      </c>
      <c r="V31" s="35">
        <f>COUNTIFS('2026 Time Off Request'!$A:$A,'Dec 2025'!$D31,'2026 Time Off Request'!$L:$L,'Dec 2025'!V$6)</f>
        <v>0</v>
      </c>
      <c r="W31" s="35">
        <f>COUNTIFS('2026 Time Off Request'!$A:$A,'Dec 2025'!$D31,'2026 Time Off Request'!$L:$L,'Dec 2025'!W$6)</f>
        <v>0</v>
      </c>
      <c r="X31" s="35">
        <f>COUNTIFS('2026 Time Off Request'!$A:$A,'Dec 2025'!$D31,'2026 Time Off Request'!$L:$L,'Dec 2025'!X$6)</f>
        <v>0</v>
      </c>
      <c r="Y31" s="48">
        <f>COUNTIFS('2026 Time Off Request'!$A:$A,'Dec 2025'!$D31,'2026 Time Off Request'!$L:$L,'Dec 2025'!Y$6)</f>
        <v>0</v>
      </c>
      <c r="Z31" s="48">
        <f>COUNTIFS('2026 Time Off Request'!$A:$A,'Dec 2025'!$D31,'2026 Time Off Request'!$L:$L,'Dec 2025'!Z$6)</f>
        <v>0</v>
      </c>
      <c r="AA31" s="35">
        <f>COUNTIFS('2026 Time Off Request'!$A:$A,'Dec 2025'!$D31,'2026 Time Off Request'!$L:$L,'Dec 2025'!AA$6)</f>
        <v>0</v>
      </c>
      <c r="AB31" s="35">
        <f>COUNTIFS('2026 Time Off Request'!$A:$A,'Dec 2025'!$D31,'2026 Time Off Request'!$L:$L,'Dec 2025'!AB$6)</f>
        <v>0</v>
      </c>
      <c r="AC31" s="35">
        <f>COUNTIFS('2026 Time Off Request'!$A:$A,'Dec 2025'!$D31,'2026 Time Off Request'!$L:$L,'Dec 2025'!AC$6)</f>
        <v>0</v>
      </c>
      <c r="AD31" s="51">
        <f>COUNTIFS('2026 Time Off Request'!$A:$A,'Dec 2025'!$D31,'2026 Time Off Request'!$L:$L,'Dec 2025'!AD$6)</f>
        <v>0</v>
      </c>
      <c r="AE31" s="51">
        <f>COUNTIFS('2026 Time Off Request'!$A:$A,'Dec 2025'!$D31,'2026 Time Off Request'!$L:$L,'Dec 2025'!AE$6)</f>
        <v>0</v>
      </c>
      <c r="AF31" s="48">
        <f>COUNTIFS('2026 Time Off Request'!$A:$A,'Dec 2025'!$D31,'2026 Time Off Request'!$L:$L,'Dec 2025'!AF$6)</f>
        <v>0</v>
      </c>
      <c r="AG31" s="48">
        <f>COUNTIFS('2026 Time Off Request'!$A:$A,'Dec 2025'!$D31,'2026 Time Off Request'!$L:$L,'Dec 2025'!AG$6)</f>
        <v>0</v>
      </c>
      <c r="AH31" s="35">
        <f>COUNTIFS('2026 Time Off Request'!$A:$A,'Dec 2025'!$D31,'2026 Time Off Request'!$L:$L,'Dec 2025'!AH$6)</f>
        <v>0</v>
      </c>
      <c r="AI31" s="35">
        <f>COUNTIFS('2026 Time Off Request'!$A:$A,'Dec 2025'!$D31,'2026 Time Off Request'!$L:$L,'Dec 2025'!AI$6)</f>
        <v>0</v>
      </c>
      <c r="AJ31" s="35">
        <f>COUNTIFS('2026 Time Off Request'!$A:$A,'Dec 2025'!$D31,'2026 Time Off Request'!$L:$L,'Dec 2025'!AJ$6)</f>
        <v>0</v>
      </c>
    </row>
    <row r="32" spans="1:36" ht="15.6">
      <c r="A32" s="8">
        <v>25</v>
      </c>
      <c r="B32" s="31" t="s">
        <v>45</v>
      </c>
      <c r="C32" s="26" t="s">
        <v>70</v>
      </c>
      <c r="D32" s="8" t="s">
        <v>72</v>
      </c>
      <c r="E32" s="20">
        <f t="shared" si="3"/>
        <v>0</v>
      </c>
      <c r="F32" s="60">
        <f>COUNTIFS('2026 Time Off Request'!$A:$A,'Dec 2025'!$D32,'2026 Time Off Request'!$L:$L,'Dec 2025'!F$6)</f>
        <v>0</v>
      </c>
      <c r="G32" s="35">
        <f>COUNTIFS('2026 Time Off Request'!$A:$A,'Dec 2025'!$D32,'2026 Time Off Request'!$L:$L,'Dec 2025'!G$6)</f>
        <v>0</v>
      </c>
      <c r="H32" s="35">
        <f>COUNTIFS('2026 Time Off Request'!$A:$A,'Dec 2025'!$D32,'2026 Time Off Request'!$L:$L,'Dec 2025'!H$6)</f>
        <v>0</v>
      </c>
      <c r="I32" s="35">
        <f>COUNTIFS('2026 Time Off Request'!$A:$A,'Dec 2025'!$D32,'2026 Time Off Request'!$L:$L,'Dec 2025'!I$6)</f>
        <v>0</v>
      </c>
      <c r="J32" s="35">
        <f>COUNTIFS('2026 Time Off Request'!$A:$A,'Dec 2025'!$D32,'2026 Time Off Request'!$L:$L,'Dec 2025'!J$6)</f>
        <v>0</v>
      </c>
      <c r="K32" s="48">
        <f>COUNTIFS('2026 Time Off Request'!$A:$A,'Dec 2025'!$D32,'2026 Time Off Request'!$L:$L,'Dec 2025'!K$6)</f>
        <v>0</v>
      </c>
      <c r="L32" s="48">
        <f>COUNTIFS('2026 Time Off Request'!$A:$A,'Dec 2025'!$D32,'2026 Time Off Request'!$L:$L,'Dec 2025'!L$6)</f>
        <v>0</v>
      </c>
      <c r="M32" s="35">
        <f>COUNTIFS('2026 Time Off Request'!$A:$A,'Dec 2025'!$D32,'2026 Time Off Request'!$L:$L,'Dec 2025'!M$6)</f>
        <v>0</v>
      </c>
      <c r="N32" s="35">
        <f>COUNTIFS('2026 Time Off Request'!$A:$A,'Dec 2025'!$D32,'2026 Time Off Request'!$L:$L,'Dec 2025'!N$6)</f>
        <v>0</v>
      </c>
      <c r="O32" s="35">
        <f>COUNTIFS('2026 Time Off Request'!$A:$A,'Dec 2025'!$D32,'2026 Time Off Request'!$L:$L,'Dec 2025'!O$6)</f>
        <v>0</v>
      </c>
      <c r="P32" s="35">
        <f>COUNTIFS('2026 Time Off Request'!$A:$A,'Dec 2025'!$D32,'2026 Time Off Request'!$L:$L,'Dec 2025'!P$6)</f>
        <v>0</v>
      </c>
      <c r="Q32" s="35">
        <f>COUNTIFS('2026 Time Off Request'!$A:$A,'Dec 2025'!$D32,'2026 Time Off Request'!$L:$L,'Dec 2025'!Q$6)</f>
        <v>0</v>
      </c>
      <c r="R32" s="48">
        <f>COUNTIFS('2026 Time Off Request'!$A:$A,'Dec 2025'!$D32,'2026 Time Off Request'!$L:$L,'Dec 2025'!R$6)</f>
        <v>0</v>
      </c>
      <c r="S32" s="48">
        <f>COUNTIFS('2026 Time Off Request'!$A:$A,'Dec 2025'!$D32,'2026 Time Off Request'!$L:$L,'Dec 2025'!S$6)</f>
        <v>0</v>
      </c>
      <c r="T32" s="35">
        <f>COUNTIFS('2026 Time Off Request'!$A:$A,'Dec 2025'!$D32,'2026 Time Off Request'!$L:$L,'Dec 2025'!T$6)</f>
        <v>0</v>
      </c>
      <c r="U32" s="35">
        <f>COUNTIFS('2026 Time Off Request'!$A:$A,'Dec 2025'!$D32,'2026 Time Off Request'!$L:$L,'Dec 2025'!U$6)</f>
        <v>0</v>
      </c>
      <c r="V32" s="35">
        <f>COUNTIFS('2026 Time Off Request'!$A:$A,'Dec 2025'!$D32,'2026 Time Off Request'!$L:$L,'Dec 2025'!V$6)</f>
        <v>0</v>
      </c>
      <c r="W32" s="35">
        <f>COUNTIFS('2026 Time Off Request'!$A:$A,'Dec 2025'!$D32,'2026 Time Off Request'!$L:$L,'Dec 2025'!W$6)</f>
        <v>0</v>
      </c>
      <c r="X32" s="35">
        <f>COUNTIFS('2026 Time Off Request'!$A:$A,'Dec 2025'!$D32,'2026 Time Off Request'!$L:$L,'Dec 2025'!X$6)</f>
        <v>0</v>
      </c>
      <c r="Y32" s="48">
        <f>COUNTIFS('2026 Time Off Request'!$A:$A,'Dec 2025'!$D32,'2026 Time Off Request'!$L:$L,'Dec 2025'!Y$6)</f>
        <v>0</v>
      </c>
      <c r="Z32" s="48">
        <f>COUNTIFS('2026 Time Off Request'!$A:$A,'Dec 2025'!$D32,'2026 Time Off Request'!$L:$L,'Dec 2025'!Z$6)</f>
        <v>0</v>
      </c>
      <c r="AA32" s="35">
        <f>COUNTIFS('2026 Time Off Request'!$A:$A,'Dec 2025'!$D32,'2026 Time Off Request'!$L:$L,'Dec 2025'!AA$6)</f>
        <v>0</v>
      </c>
      <c r="AB32" s="35">
        <f>COUNTIFS('2026 Time Off Request'!$A:$A,'Dec 2025'!$D32,'2026 Time Off Request'!$L:$L,'Dec 2025'!AB$6)</f>
        <v>0</v>
      </c>
      <c r="AC32" s="35">
        <f>COUNTIFS('2026 Time Off Request'!$A:$A,'Dec 2025'!$D32,'2026 Time Off Request'!$L:$L,'Dec 2025'!AC$6)</f>
        <v>0</v>
      </c>
      <c r="AD32" s="51">
        <f>COUNTIFS('2026 Time Off Request'!$A:$A,'Dec 2025'!$D32,'2026 Time Off Request'!$L:$L,'Dec 2025'!AD$6)</f>
        <v>0</v>
      </c>
      <c r="AE32" s="51">
        <f>COUNTIFS('2026 Time Off Request'!$A:$A,'Dec 2025'!$D32,'2026 Time Off Request'!$L:$L,'Dec 2025'!AE$6)</f>
        <v>0</v>
      </c>
      <c r="AF32" s="48">
        <f>COUNTIFS('2026 Time Off Request'!$A:$A,'Dec 2025'!$D32,'2026 Time Off Request'!$L:$L,'Dec 2025'!AF$6)</f>
        <v>0</v>
      </c>
      <c r="AG32" s="48">
        <f>COUNTIFS('2026 Time Off Request'!$A:$A,'Dec 2025'!$D32,'2026 Time Off Request'!$L:$L,'Dec 2025'!AG$6)</f>
        <v>0</v>
      </c>
      <c r="AH32" s="35">
        <f>COUNTIFS('2026 Time Off Request'!$A:$A,'Dec 2025'!$D32,'2026 Time Off Request'!$L:$L,'Dec 2025'!AH$6)</f>
        <v>0</v>
      </c>
      <c r="AI32" s="35">
        <f>COUNTIFS('2026 Time Off Request'!$A:$A,'Dec 2025'!$D32,'2026 Time Off Request'!$L:$L,'Dec 2025'!AI$6)</f>
        <v>0</v>
      </c>
      <c r="AJ32" s="35">
        <f>COUNTIFS('2026 Time Off Request'!$A:$A,'Dec 2025'!$D32,'2026 Time Off Request'!$L:$L,'Dec 2025'!AJ$6)</f>
        <v>0</v>
      </c>
    </row>
    <row r="33" spans="1:36" ht="15.6">
      <c r="A33" s="8">
        <v>26</v>
      </c>
      <c r="B33" s="31" t="s">
        <v>49</v>
      </c>
      <c r="C33" s="26" t="s">
        <v>75</v>
      </c>
      <c r="D33" s="8" t="s">
        <v>76</v>
      </c>
      <c r="E33" s="20">
        <f t="shared" si="3"/>
        <v>0</v>
      </c>
      <c r="F33" s="60">
        <f>COUNTIFS('2026 Time Off Request'!$A:$A,'Dec 2025'!$D33,'2026 Time Off Request'!$L:$L,'Dec 2025'!F$6)</f>
        <v>0</v>
      </c>
      <c r="G33" s="35">
        <f>COUNTIFS('2026 Time Off Request'!$A:$A,'Dec 2025'!$D33,'2026 Time Off Request'!$L:$L,'Dec 2025'!G$6)</f>
        <v>0</v>
      </c>
      <c r="H33" s="35">
        <f>COUNTIFS('2026 Time Off Request'!$A:$A,'Dec 2025'!$D33,'2026 Time Off Request'!$L:$L,'Dec 2025'!H$6)</f>
        <v>0</v>
      </c>
      <c r="I33" s="35">
        <f>COUNTIFS('2026 Time Off Request'!$A:$A,'Dec 2025'!$D33,'2026 Time Off Request'!$L:$L,'Dec 2025'!I$6)</f>
        <v>0</v>
      </c>
      <c r="J33" s="35">
        <f>COUNTIFS('2026 Time Off Request'!$A:$A,'Dec 2025'!$D33,'2026 Time Off Request'!$L:$L,'Dec 2025'!J$6)</f>
        <v>0</v>
      </c>
      <c r="K33" s="48">
        <f>COUNTIFS('2026 Time Off Request'!$A:$A,'Dec 2025'!$D33,'2026 Time Off Request'!$L:$L,'Dec 2025'!K$6)</f>
        <v>0</v>
      </c>
      <c r="L33" s="48">
        <f>COUNTIFS('2026 Time Off Request'!$A:$A,'Dec 2025'!$D33,'2026 Time Off Request'!$L:$L,'Dec 2025'!L$6)</f>
        <v>0</v>
      </c>
      <c r="M33" s="35">
        <f>COUNTIFS('2026 Time Off Request'!$A:$A,'Dec 2025'!$D33,'2026 Time Off Request'!$L:$L,'Dec 2025'!M$6)</f>
        <v>0</v>
      </c>
      <c r="N33" s="35">
        <f>COUNTIFS('2026 Time Off Request'!$A:$A,'Dec 2025'!$D33,'2026 Time Off Request'!$L:$L,'Dec 2025'!N$6)</f>
        <v>0</v>
      </c>
      <c r="O33" s="35">
        <f>COUNTIFS('2026 Time Off Request'!$A:$A,'Dec 2025'!$D33,'2026 Time Off Request'!$L:$L,'Dec 2025'!O$6)</f>
        <v>0</v>
      </c>
      <c r="P33" s="35">
        <f>COUNTIFS('2026 Time Off Request'!$A:$A,'Dec 2025'!$D33,'2026 Time Off Request'!$L:$L,'Dec 2025'!P$6)</f>
        <v>0</v>
      </c>
      <c r="Q33" s="35">
        <f>COUNTIFS('2026 Time Off Request'!$A:$A,'Dec 2025'!$D33,'2026 Time Off Request'!$L:$L,'Dec 2025'!Q$6)</f>
        <v>0</v>
      </c>
      <c r="R33" s="48">
        <f>COUNTIFS('2026 Time Off Request'!$A:$A,'Dec 2025'!$D33,'2026 Time Off Request'!$L:$L,'Dec 2025'!R$6)</f>
        <v>0</v>
      </c>
      <c r="S33" s="48">
        <f>COUNTIFS('2026 Time Off Request'!$A:$A,'Dec 2025'!$D33,'2026 Time Off Request'!$L:$L,'Dec 2025'!S$6)</f>
        <v>0</v>
      </c>
      <c r="T33" s="35">
        <f>COUNTIFS('2026 Time Off Request'!$A:$A,'Dec 2025'!$D33,'2026 Time Off Request'!$L:$L,'Dec 2025'!T$6)</f>
        <v>0</v>
      </c>
      <c r="U33" s="35">
        <f>COUNTIFS('2026 Time Off Request'!$A:$A,'Dec 2025'!$D33,'2026 Time Off Request'!$L:$L,'Dec 2025'!U$6)</f>
        <v>0</v>
      </c>
      <c r="V33" s="35">
        <f>COUNTIFS('2026 Time Off Request'!$A:$A,'Dec 2025'!$D33,'2026 Time Off Request'!$L:$L,'Dec 2025'!V$6)</f>
        <v>0</v>
      </c>
      <c r="W33" s="35">
        <f>COUNTIFS('2026 Time Off Request'!$A:$A,'Dec 2025'!$D33,'2026 Time Off Request'!$L:$L,'Dec 2025'!W$6)</f>
        <v>0</v>
      </c>
      <c r="X33" s="35">
        <f>COUNTIFS('2026 Time Off Request'!$A:$A,'Dec 2025'!$D33,'2026 Time Off Request'!$L:$L,'Dec 2025'!X$6)</f>
        <v>0</v>
      </c>
      <c r="Y33" s="48">
        <f>COUNTIFS('2026 Time Off Request'!$A:$A,'Dec 2025'!$D33,'2026 Time Off Request'!$L:$L,'Dec 2025'!Y$6)</f>
        <v>0</v>
      </c>
      <c r="Z33" s="48">
        <f>COUNTIFS('2026 Time Off Request'!$A:$A,'Dec 2025'!$D33,'2026 Time Off Request'!$L:$L,'Dec 2025'!Z$6)</f>
        <v>0</v>
      </c>
      <c r="AA33" s="35">
        <f>COUNTIFS('2026 Time Off Request'!$A:$A,'Dec 2025'!$D33,'2026 Time Off Request'!$L:$L,'Dec 2025'!AA$6)</f>
        <v>0</v>
      </c>
      <c r="AB33" s="35">
        <f>COUNTIFS('2026 Time Off Request'!$A:$A,'Dec 2025'!$D33,'2026 Time Off Request'!$L:$L,'Dec 2025'!AB$6)</f>
        <v>0</v>
      </c>
      <c r="AC33" s="35">
        <f>COUNTIFS('2026 Time Off Request'!$A:$A,'Dec 2025'!$D33,'2026 Time Off Request'!$L:$L,'Dec 2025'!AC$6)</f>
        <v>0</v>
      </c>
      <c r="AD33" s="51">
        <f>COUNTIFS('2026 Time Off Request'!$A:$A,'Dec 2025'!$D33,'2026 Time Off Request'!$L:$L,'Dec 2025'!AD$6)</f>
        <v>0</v>
      </c>
      <c r="AE33" s="51">
        <f>COUNTIFS('2026 Time Off Request'!$A:$A,'Dec 2025'!$D33,'2026 Time Off Request'!$L:$L,'Dec 2025'!AE$6)</f>
        <v>0</v>
      </c>
      <c r="AF33" s="48">
        <f>COUNTIFS('2026 Time Off Request'!$A:$A,'Dec 2025'!$D33,'2026 Time Off Request'!$L:$L,'Dec 2025'!AF$6)</f>
        <v>0</v>
      </c>
      <c r="AG33" s="48">
        <f>COUNTIFS('2026 Time Off Request'!$A:$A,'Dec 2025'!$D33,'2026 Time Off Request'!$L:$L,'Dec 2025'!AG$6)</f>
        <v>0</v>
      </c>
      <c r="AH33" s="35">
        <f>COUNTIFS('2026 Time Off Request'!$A:$A,'Dec 2025'!$D33,'2026 Time Off Request'!$L:$L,'Dec 2025'!AH$6)</f>
        <v>0</v>
      </c>
      <c r="AI33" s="35">
        <f>COUNTIFS('2026 Time Off Request'!$A:$A,'Dec 2025'!$D33,'2026 Time Off Request'!$L:$L,'Dec 2025'!AI$6)</f>
        <v>0</v>
      </c>
      <c r="AJ33" s="35">
        <f>COUNTIFS('2026 Time Off Request'!$A:$A,'Dec 2025'!$D33,'2026 Time Off Request'!$L:$L,'Dec 2025'!AJ$6)</f>
        <v>0</v>
      </c>
    </row>
    <row r="34" spans="1:36" ht="15.6">
      <c r="A34" s="8">
        <v>27</v>
      </c>
      <c r="B34" s="31" t="s">
        <v>45</v>
      </c>
      <c r="C34" s="26" t="s">
        <v>77</v>
      </c>
      <c r="D34" s="8" t="s">
        <v>78</v>
      </c>
      <c r="E34" s="20">
        <f t="shared" si="3"/>
        <v>0</v>
      </c>
      <c r="F34" s="60">
        <f>COUNTIFS('2026 Time Off Request'!$A:$A,'Dec 2025'!$D34,'2026 Time Off Request'!$L:$L,'Dec 2025'!F$6)</f>
        <v>0</v>
      </c>
      <c r="G34" s="35">
        <f>COUNTIFS('2026 Time Off Request'!$A:$A,'Dec 2025'!$D34,'2026 Time Off Request'!$L:$L,'Dec 2025'!G$6)</f>
        <v>0</v>
      </c>
      <c r="H34" s="35">
        <f>COUNTIFS('2026 Time Off Request'!$A:$A,'Dec 2025'!$D34,'2026 Time Off Request'!$L:$L,'Dec 2025'!H$6)</f>
        <v>0</v>
      </c>
      <c r="I34" s="35">
        <f>COUNTIFS('2026 Time Off Request'!$A:$A,'Dec 2025'!$D34,'2026 Time Off Request'!$L:$L,'Dec 2025'!I$6)</f>
        <v>0</v>
      </c>
      <c r="J34" s="35">
        <f>COUNTIFS('2026 Time Off Request'!$A:$A,'Dec 2025'!$D34,'2026 Time Off Request'!$L:$L,'Dec 2025'!J$6)</f>
        <v>0</v>
      </c>
      <c r="K34" s="48">
        <f>COUNTIFS('2026 Time Off Request'!$A:$A,'Dec 2025'!$D34,'2026 Time Off Request'!$L:$L,'Dec 2025'!K$6)</f>
        <v>0</v>
      </c>
      <c r="L34" s="48">
        <f>COUNTIFS('2026 Time Off Request'!$A:$A,'Dec 2025'!$D34,'2026 Time Off Request'!$L:$L,'Dec 2025'!L$6)</f>
        <v>0</v>
      </c>
      <c r="M34" s="35">
        <f>COUNTIFS('2026 Time Off Request'!$A:$A,'Dec 2025'!$D34,'2026 Time Off Request'!$L:$L,'Dec 2025'!M$6)</f>
        <v>0</v>
      </c>
      <c r="N34" s="35">
        <f>COUNTIFS('2026 Time Off Request'!$A:$A,'Dec 2025'!$D34,'2026 Time Off Request'!$L:$L,'Dec 2025'!N$6)</f>
        <v>0</v>
      </c>
      <c r="O34" s="35">
        <f>COUNTIFS('2026 Time Off Request'!$A:$A,'Dec 2025'!$D34,'2026 Time Off Request'!$L:$L,'Dec 2025'!O$6)</f>
        <v>0</v>
      </c>
      <c r="P34" s="35">
        <f>COUNTIFS('2026 Time Off Request'!$A:$A,'Dec 2025'!$D34,'2026 Time Off Request'!$L:$L,'Dec 2025'!P$6)</f>
        <v>0</v>
      </c>
      <c r="Q34" s="35">
        <f>COUNTIFS('2026 Time Off Request'!$A:$A,'Dec 2025'!$D34,'2026 Time Off Request'!$L:$L,'Dec 2025'!Q$6)</f>
        <v>0</v>
      </c>
      <c r="R34" s="48">
        <f>COUNTIFS('2026 Time Off Request'!$A:$A,'Dec 2025'!$D34,'2026 Time Off Request'!$L:$L,'Dec 2025'!R$6)</f>
        <v>0</v>
      </c>
      <c r="S34" s="48">
        <f>COUNTIFS('2026 Time Off Request'!$A:$A,'Dec 2025'!$D34,'2026 Time Off Request'!$L:$L,'Dec 2025'!S$6)</f>
        <v>0</v>
      </c>
      <c r="T34" s="35">
        <f>COUNTIFS('2026 Time Off Request'!$A:$A,'Dec 2025'!$D34,'2026 Time Off Request'!$L:$L,'Dec 2025'!T$6)</f>
        <v>0</v>
      </c>
      <c r="U34" s="35">
        <f>COUNTIFS('2026 Time Off Request'!$A:$A,'Dec 2025'!$D34,'2026 Time Off Request'!$L:$L,'Dec 2025'!U$6)</f>
        <v>0</v>
      </c>
      <c r="V34" s="35">
        <f>COUNTIFS('2026 Time Off Request'!$A:$A,'Dec 2025'!$D34,'2026 Time Off Request'!$L:$L,'Dec 2025'!V$6)</f>
        <v>0</v>
      </c>
      <c r="W34" s="35">
        <f>COUNTIFS('2026 Time Off Request'!$A:$A,'Dec 2025'!$D34,'2026 Time Off Request'!$L:$L,'Dec 2025'!W$6)</f>
        <v>0</v>
      </c>
      <c r="X34" s="35">
        <f>COUNTIFS('2026 Time Off Request'!$A:$A,'Dec 2025'!$D34,'2026 Time Off Request'!$L:$L,'Dec 2025'!X$6)</f>
        <v>0</v>
      </c>
      <c r="Y34" s="48">
        <f>COUNTIFS('2026 Time Off Request'!$A:$A,'Dec 2025'!$D34,'2026 Time Off Request'!$L:$L,'Dec 2025'!Y$6)</f>
        <v>0</v>
      </c>
      <c r="Z34" s="48">
        <f>COUNTIFS('2026 Time Off Request'!$A:$A,'Dec 2025'!$D34,'2026 Time Off Request'!$L:$L,'Dec 2025'!Z$6)</f>
        <v>0</v>
      </c>
      <c r="AA34" s="35">
        <f>COUNTIFS('2026 Time Off Request'!$A:$A,'Dec 2025'!$D34,'2026 Time Off Request'!$L:$L,'Dec 2025'!AA$6)</f>
        <v>0</v>
      </c>
      <c r="AB34" s="35">
        <f>COUNTIFS('2026 Time Off Request'!$A:$A,'Dec 2025'!$D34,'2026 Time Off Request'!$L:$L,'Dec 2025'!AB$6)</f>
        <v>0</v>
      </c>
      <c r="AC34" s="35">
        <f>COUNTIFS('2026 Time Off Request'!$A:$A,'Dec 2025'!$D34,'2026 Time Off Request'!$L:$L,'Dec 2025'!AC$6)</f>
        <v>0</v>
      </c>
      <c r="AD34" s="51">
        <f>COUNTIFS('2026 Time Off Request'!$A:$A,'Dec 2025'!$D34,'2026 Time Off Request'!$L:$L,'Dec 2025'!AD$6)</f>
        <v>0</v>
      </c>
      <c r="AE34" s="51">
        <f>COUNTIFS('2026 Time Off Request'!$A:$A,'Dec 2025'!$D34,'2026 Time Off Request'!$L:$L,'Dec 2025'!AE$6)</f>
        <v>0</v>
      </c>
      <c r="AF34" s="48">
        <f>COUNTIFS('2026 Time Off Request'!$A:$A,'Dec 2025'!$D34,'2026 Time Off Request'!$L:$L,'Dec 2025'!AF$6)</f>
        <v>0</v>
      </c>
      <c r="AG34" s="48">
        <f>COUNTIFS('2026 Time Off Request'!$A:$A,'Dec 2025'!$D34,'2026 Time Off Request'!$L:$L,'Dec 2025'!AG$6)</f>
        <v>0</v>
      </c>
      <c r="AH34" s="35">
        <f>COUNTIFS('2026 Time Off Request'!$A:$A,'Dec 2025'!$D34,'2026 Time Off Request'!$L:$L,'Dec 2025'!AH$6)</f>
        <v>0</v>
      </c>
      <c r="AI34" s="35">
        <f>COUNTIFS('2026 Time Off Request'!$A:$A,'Dec 2025'!$D34,'2026 Time Off Request'!$L:$L,'Dec 2025'!AI$6)</f>
        <v>0</v>
      </c>
      <c r="AJ34" s="35">
        <f>COUNTIFS('2026 Time Off Request'!$A:$A,'Dec 2025'!$D34,'2026 Time Off Request'!$L:$L,'Dec 2025'!AJ$6)</f>
        <v>0</v>
      </c>
    </row>
    <row r="35" spans="1:36" ht="15.6">
      <c r="A35" s="8">
        <v>28</v>
      </c>
      <c r="B35" s="31" t="s">
        <v>45</v>
      </c>
      <c r="C35" s="26" t="s">
        <v>77</v>
      </c>
      <c r="D35" s="8" t="s">
        <v>79</v>
      </c>
      <c r="E35" s="20">
        <f t="shared" si="3"/>
        <v>0</v>
      </c>
      <c r="F35" s="60">
        <f>COUNTIFS('2026 Time Off Request'!$A:$A,'Dec 2025'!$D35,'2026 Time Off Request'!$L:$L,'Dec 2025'!F$6)</f>
        <v>0</v>
      </c>
      <c r="G35" s="35">
        <f>COUNTIFS('2026 Time Off Request'!$A:$A,'Dec 2025'!$D35,'2026 Time Off Request'!$L:$L,'Dec 2025'!G$6)</f>
        <v>0</v>
      </c>
      <c r="H35" s="35">
        <f>COUNTIFS('2026 Time Off Request'!$A:$A,'Dec 2025'!$D35,'2026 Time Off Request'!$L:$L,'Dec 2025'!H$6)</f>
        <v>0</v>
      </c>
      <c r="I35" s="35">
        <f>COUNTIFS('2026 Time Off Request'!$A:$A,'Dec 2025'!$D35,'2026 Time Off Request'!$L:$L,'Dec 2025'!I$6)</f>
        <v>0</v>
      </c>
      <c r="J35" s="35">
        <f>COUNTIFS('2026 Time Off Request'!$A:$A,'Dec 2025'!$D35,'2026 Time Off Request'!$L:$L,'Dec 2025'!J$6)</f>
        <v>0</v>
      </c>
      <c r="K35" s="48">
        <f>COUNTIFS('2026 Time Off Request'!$A:$A,'Dec 2025'!$D35,'2026 Time Off Request'!$L:$L,'Dec 2025'!K$6)</f>
        <v>0</v>
      </c>
      <c r="L35" s="48">
        <f>COUNTIFS('2026 Time Off Request'!$A:$A,'Dec 2025'!$D35,'2026 Time Off Request'!$L:$L,'Dec 2025'!L$6)</f>
        <v>0</v>
      </c>
      <c r="M35" s="35">
        <f>COUNTIFS('2026 Time Off Request'!$A:$A,'Dec 2025'!$D35,'2026 Time Off Request'!$L:$L,'Dec 2025'!M$6)</f>
        <v>0</v>
      </c>
      <c r="N35" s="35">
        <f>COUNTIFS('2026 Time Off Request'!$A:$A,'Dec 2025'!$D35,'2026 Time Off Request'!$L:$L,'Dec 2025'!N$6)</f>
        <v>0</v>
      </c>
      <c r="O35" s="35">
        <f>COUNTIFS('2026 Time Off Request'!$A:$A,'Dec 2025'!$D35,'2026 Time Off Request'!$L:$L,'Dec 2025'!O$6)</f>
        <v>0</v>
      </c>
      <c r="P35" s="35">
        <f>COUNTIFS('2026 Time Off Request'!$A:$A,'Dec 2025'!$D35,'2026 Time Off Request'!$L:$L,'Dec 2025'!P$6)</f>
        <v>0</v>
      </c>
      <c r="Q35" s="35">
        <f>COUNTIFS('2026 Time Off Request'!$A:$A,'Dec 2025'!$D35,'2026 Time Off Request'!$L:$L,'Dec 2025'!Q$6)</f>
        <v>0</v>
      </c>
      <c r="R35" s="48">
        <f>COUNTIFS('2026 Time Off Request'!$A:$A,'Dec 2025'!$D35,'2026 Time Off Request'!$L:$L,'Dec 2025'!R$6)</f>
        <v>0</v>
      </c>
      <c r="S35" s="48">
        <f>COUNTIFS('2026 Time Off Request'!$A:$A,'Dec 2025'!$D35,'2026 Time Off Request'!$L:$L,'Dec 2025'!S$6)</f>
        <v>0</v>
      </c>
      <c r="T35" s="35">
        <f>COUNTIFS('2026 Time Off Request'!$A:$A,'Dec 2025'!$D35,'2026 Time Off Request'!$L:$L,'Dec 2025'!T$6)</f>
        <v>0</v>
      </c>
      <c r="U35" s="35">
        <f>COUNTIFS('2026 Time Off Request'!$A:$A,'Dec 2025'!$D35,'2026 Time Off Request'!$L:$L,'Dec 2025'!U$6)</f>
        <v>0</v>
      </c>
      <c r="V35" s="35">
        <f>COUNTIFS('2026 Time Off Request'!$A:$A,'Dec 2025'!$D35,'2026 Time Off Request'!$L:$L,'Dec 2025'!V$6)</f>
        <v>0</v>
      </c>
      <c r="W35" s="35">
        <f>COUNTIFS('2026 Time Off Request'!$A:$A,'Dec 2025'!$D35,'2026 Time Off Request'!$L:$L,'Dec 2025'!W$6)</f>
        <v>0</v>
      </c>
      <c r="X35" s="35">
        <f>COUNTIFS('2026 Time Off Request'!$A:$A,'Dec 2025'!$D35,'2026 Time Off Request'!$L:$L,'Dec 2025'!X$6)</f>
        <v>0</v>
      </c>
      <c r="Y35" s="48">
        <f>COUNTIFS('2026 Time Off Request'!$A:$A,'Dec 2025'!$D35,'2026 Time Off Request'!$L:$L,'Dec 2025'!Y$6)</f>
        <v>0</v>
      </c>
      <c r="Z35" s="48">
        <f>COUNTIFS('2026 Time Off Request'!$A:$A,'Dec 2025'!$D35,'2026 Time Off Request'!$L:$L,'Dec 2025'!Z$6)</f>
        <v>0</v>
      </c>
      <c r="AA35" s="35">
        <f>COUNTIFS('2026 Time Off Request'!$A:$A,'Dec 2025'!$D35,'2026 Time Off Request'!$L:$L,'Dec 2025'!AA$6)</f>
        <v>0</v>
      </c>
      <c r="AB35" s="35">
        <f>COUNTIFS('2026 Time Off Request'!$A:$A,'Dec 2025'!$D35,'2026 Time Off Request'!$L:$L,'Dec 2025'!AB$6)</f>
        <v>0</v>
      </c>
      <c r="AC35" s="35">
        <f>COUNTIFS('2026 Time Off Request'!$A:$A,'Dec 2025'!$D35,'2026 Time Off Request'!$L:$L,'Dec 2025'!AC$6)</f>
        <v>0</v>
      </c>
      <c r="AD35" s="51">
        <f>COUNTIFS('2026 Time Off Request'!$A:$A,'Dec 2025'!$D35,'2026 Time Off Request'!$L:$L,'Dec 2025'!AD$6)</f>
        <v>0</v>
      </c>
      <c r="AE35" s="51">
        <f>COUNTIFS('2026 Time Off Request'!$A:$A,'Dec 2025'!$D35,'2026 Time Off Request'!$L:$L,'Dec 2025'!AE$6)</f>
        <v>0</v>
      </c>
      <c r="AF35" s="48">
        <f>COUNTIFS('2026 Time Off Request'!$A:$A,'Dec 2025'!$D35,'2026 Time Off Request'!$L:$L,'Dec 2025'!AF$6)</f>
        <v>0</v>
      </c>
      <c r="AG35" s="48">
        <f>COUNTIFS('2026 Time Off Request'!$A:$A,'Dec 2025'!$D35,'2026 Time Off Request'!$L:$L,'Dec 2025'!AG$6)</f>
        <v>0</v>
      </c>
      <c r="AH35" s="35">
        <f>COUNTIFS('2026 Time Off Request'!$A:$A,'Dec 2025'!$D35,'2026 Time Off Request'!$L:$L,'Dec 2025'!AH$6)</f>
        <v>0</v>
      </c>
      <c r="AI35" s="35">
        <f>COUNTIFS('2026 Time Off Request'!$A:$A,'Dec 2025'!$D35,'2026 Time Off Request'!$L:$L,'Dec 2025'!AI$6)</f>
        <v>0</v>
      </c>
      <c r="AJ35" s="35">
        <f>COUNTIFS('2026 Time Off Request'!$A:$A,'Dec 2025'!$D35,'2026 Time Off Request'!$L:$L,'Dec 2025'!AJ$6)</f>
        <v>0</v>
      </c>
    </row>
    <row r="36" spans="1:36" ht="15.6">
      <c r="A36" s="8">
        <v>29</v>
      </c>
      <c r="B36" s="31" t="s">
        <v>45</v>
      </c>
      <c r="C36" s="26" t="s">
        <v>77</v>
      </c>
      <c r="D36" s="8" t="s">
        <v>80</v>
      </c>
      <c r="E36" s="20">
        <f>SUM(F36:AJ36)</f>
        <v>0</v>
      </c>
      <c r="F36" s="60">
        <f>COUNTIFS('2026 Time Off Request'!$A:$A,'Dec 2025'!$D36,'2026 Time Off Request'!$L:$L,'Dec 2025'!F$6)</f>
        <v>0</v>
      </c>
      <c r="G36" s="35">
        <f>COUNTIFS('2026 Time Off Request'!$A:$A,'Dec 2025'!$D36,'2026 Time Off Request'!$L:$L,'Dec 2025'!G$6)</f>
        <v>0</v>
      </c>
      <c r="H36" s="35">
        <f>COUNTIFS('2026 Time Off Request'!$A:$A,'Dec 2025'!$D36,'2026 Time Off Request'!$L:$L,'Dec 2025'!H$6)</f>
        <v>0</v>
      </c>
      <c r="I36" s="35">
        <f>COUNTIFS('2026 Time Off Request'!$A:$A,'Dec 2025'!$D36,'2026 Time Off Request'!$L:$L,'Dec 2025'!I$6)</f>
        <v>0</v>
      </c>
      <c r="J36" s="35">
        <f>COUNTIFS('2026 Time Off Request'!$A:$A,'Dec 2025'!$D36,'2026 Time Off Request'!$L:$L,'Dec 2025'!J$6)</f>
        <v>0</v>
      </c>
      <c r="K36" s="48">
        <f>COUNTIFS('2026 Time Off Request'!$A:$A,'Dec 2025'!$D36,'2026 Time Off Request'!$L:$L,'Dec 2025'!K$6)</f>
        <v>0</v>
      </c>
      <c r="L36" s="48">
        <f>COUNTIFS('2026 Time Off Request'!$A:$A,'Dec 2025'!$D36,'2026 Time Off Request'!$L:$L,'Dec 2025'!L$6)</f>
        <v>0</v>
      </c>
      <c r="M36" s="35">
        <f>COUNTIFS('2026 Time Off Request'!$A:$A,'Dec 2025'!$D36,'2026 Time Off Request'!$L:$L,'Dec 2025'!M$6)</f>
        <v>0</v>
      </c>
      <c r="N36" s="35">
        <f>COUNTIFS('2026 Time Off Request'!$A:$A,'Dec 2025'!$D36,'2026 Time Off Request'!$L:$L,'Dec 2025'!N$6)</f>
        <v>0</v>
      </c>
      <c r="O36" s="35">
        <f>COUNTIFS('2026 Time Off Request'!$A:$A,'Dec 2025'!$D36,'2026 Time Off Request'!$L:$L,'Dec 2025'!O$6)</f>
        <v>0</v>
      </c>
      <c r="P36" s="35">
        <f>COUNTIFS('2026 Time Off Request'!$A:$A,'Dec 2025'!$D36,'2026 Time Off Request'!$L:$L,'Dec 2025'!P$6)</f>
        <v>0</v>
      </c>
      <c r="Q36" s="35">
        <f>COUNTIFS('2026 Time Off Request'!$A:$A,'Dec 2025'!$D36,'2026 Time Off Request'!$L:$L,'Dec 2025'!Q$6)</f>
        <v>0</v>
      </c>
      <c r="R36" s="48">
        <f>COUNTIFS('2026 Time Off Request'!$A:$A,'Dec 2025'!$D36,'2026 Time Off Request'!$L:$L,'Dec 2025'!R$6)</f>
        <v>0</v>
      </c>
      <c r="S36" s="48">
        <f>COUNTIFS('2026 Time Off Request'!$A:$A,'Dec 2025'!$D36,'2026 Time Off Request'!$L:$L,'Dec 2025'!S$6)</f>
        <v>0</v>
      </c>
      <c r="T36" s="35">
        <f>COUNTIFS('2026 Time Off Request'!$A:$A,'Dec 2025'!$D36,'2026 Time Off Request'!$L:$L,'Dec 2025'!T$6)</f>
        <v>0</v>
      </c>
      <c r="U36" s="35">
        <f>COUNTIFS('2026 Time Off Request'!$A:$A,'Dec 2025'!$D36,'2026 Time Off Request'!$L:$L,'Dec 2025'!U$6)</f>
        <v>0</v>
      </c>
      <c r="V36" s="35">
        <f>COUNTIFS('2026 Time Off Request'!$A:$A,'Dec 2025'!$D36,'2026 Time Off Request'!$L:$L,'Dec 2025'!V$6)</f>
        <v>0</v>
      </c>
      <c r="W36" s="35">
        <f>COUNTIFS('2026 Time Off Request'!$A:$A,'Dec 2025'!$D36,'2026 Time Off Request'!$L:$L,'Dec 2025'!W$6)</f>
        <v>0</v>
      </c>
      <c r="X36" s="35">
        <f>COUNTIFS('2026 Time Off Request'!$A:$A,'Dec 2025'!$D36,'2026 Time Off Request'!$L:$L,'Dec 2025'!X$6)</f>
        <v>0</v>
      </c>
      <c r="Y36" s="48">
        <f>COUNTIFS('2026 Time Off Request'!$A:$A,'Dec 2025'!$D36,'2026 Time Off Request'!$L:$L,'Dec 2025'!Y$6)</f>
        <v>0</v>
      </c>
      <c r="Z36" s="48">
        <f>COUNTIFS('2026 Time Off Request'!$A:$A,'Dec 2025'!$D36,'2026 Time Off Request'!$L:$L,'Dec 2025'!Z$6)</f>
        <v>0</v>
      </c>
      <c r="AA36" s="35">
        <f>COUNTIFS('2026 Time Off Request'!$A:$A,'Dec 2025'!$D36,'2026 Time Off Request'!$L:$L,'Dec 2025'!AA$6)</f>
        <v>0</v>
      </c>
      <c r="AB36" s="35">
        <f>COUNTIFS('2026 Time Off Request'!$A:$A,'Dec 2025'!$D36,'2026 Time Off Request'!$L:$L,'Dec 2025'!AB$6)</f>
        <v>0</v>
      </c>
      <c r="AC36" s="35">
        <f>COUNTIFS('2026 Time Off Request'!$A:$A,'Dec 2025'!$D36,'2026 Time Off Request'!$L:$L,'Dec 2025'!AC$6)</f>
        <v>0</v>
      </c>
      <c r="AD36" s="51">
        <f>COUNTIFS('2026 Time Off Request'!$A:$A,'Dec 2025'!$D36,'2026 Time Off Request'!$L:$L,'Dec 2025'!AD$6)</f>
        <v>0</v>
      </c>
      <c r="AE36" s="51">
        <f>COUNTIFS('2026 Time Off Request'!$A:$A,'Dec 2025'!$D36,'2026 Time Off Request'!$L:$L,'Dec 2025'!AE$6)</f>
        <v>0</v>
      </c>
      <c r="AF36" s="48">
        <f>COUNTIFS('2026 Time Off Request'!$A:$A,'Dec 2025'!$D36,'2026 Time Off Request'!$L:$L,'Dec 2025'!AF$6)</f>
        <v>0</v>
      </c>
      <c r="AG36" s="48">
        <f>COUNTIFS('2026 Time Off Request'!$A:$A,'Dec 2025'!$D36,'2026 Time Off Request'!$L:$L,'Dec 2025'!AG$6)</f>
        <v>0</v>
      </c>
      <c r="AH36" s="35">
        <f>COUNTIFS('2026 Time Off Request'!$A:$A,'Dec 2025'!$D36,'2026 Time Off Request'!$L:$L,'Dec 2025'!AH$6)</f>
        <v>0</v>
      </c>
      <c r="AI36" s="35">
        <f>COUNTIFS('2026 Time Off Request'!$A:$A,'Dec 2025'!$D36,'2026 Time Off Request'!$L:$L,'Dec 2025'!AI$6)</f>
        <v>0</v>
      </c>
      <c r="AJ36" s="35">
        <f>COUNTIFS('2026 Time Off Request'!$A:$A,'Dec 2025'!$D36,'2026 Time Off Request'!$L:$L,'Dec 2025'!AJ$6)</f>
        <v>0</v>
      </c>
    </row>
    <row r="37" spans="1:36" ht="15.6">
      <c r="A37" s="8">
        <v>30</v>
      </c>
      <c r="B37" s="31" t="s">
        <v>49</v>
      </c>
      <c r="C37" s="26" t="s">
        <v>81</v>
      </c>
      <c r="D37" s="8" t="s">
        <v>82</v>
      </c>
      <c r="E37" s="20">
        <f t="shared" si="3"/>
        <v>0</v>
      </c>
      <c r="F37" s="60">
        <f>COUNTIFS('2026 Time Off Request'!$A:$A,'Dec 2025'!$D37,'2026 Time Off Request'!$L:$L,'Dec 2025'!F$6)</f>
        <v>0</v>
      </c>
      <c r="G37" s="35">
        <f>COUNTIFS('2026 Time Off Request'!$A:$A,'Dec 2025'!$D37,'2026 Time Off Request'!$L:$L,'Dec 2025'!G$6)</f>
        <v>0</v>
      </c>
      <c r="H37" s="35">
        <f>COUNTIFS('2026 Time Off Request'!$A:$A,'Dec 2025'!$D37,'2026 Time Off Request'!$L:$L,'Dec 2025'!H$6)</f>
        <v>0</v>
      </c>
      <c r="I37" s="35">
        <f>COUNTIFS('2026 Time Off Request'!$A:$A,'Dec 2025'!$D37,'2026 Time Off Request'!$L:$L,'Dec 2025'!I$6)</f>
        <v>0</v>
      </c>
      <c r="J37" s="35">
        <f>COUNTIFS('2026 Time Off Request'!$A:$A,'Dec 2025'!$D37,'2026 Time Off Request'!$L:$L,'Dec 2025'!J$6)</f>
        <v>0</v>
      </c>
      <c r="K37" s="48">
        <f>COUNTIFS('2026 Time Off Request'!$A:$A,'Dec 2025'!$D37,'2026 Time Off Request'!$L:$L,'Dec 2025'!K$6)</f>
        <v>0</v>
      </c>
      <c r="L37" s="48">
        <f>COUNTIFS('2026 Time Off Request'!$A:$A,'Dec 2025'!$D37,'2026 Time Off Request'!$L:$L,'Dec 2025'!L$6)</f>
        <v>0</v>
      </c>
      <c r="M37" s="35">
        <f>COUNTIFS('2026 Time Off Request'!$A:$A,'Dec 2025'!$D37,'2026 Time Off Request'!$L:$L,'Dec 2025'!M$6)</f>
        <v>0</v>
      </c>
      <c r="N37" s="35">
        <f>COUNTIFS('2026 Time Off Request'!$A:$A,'Dec 2025'!$D37,'2026 Time Off Request'!$L:$L,'Dec 2025'!N$6)</f>
        <v>0</v>
      </c>
      <c r="O37" s="35">
        <f>COUNTIFS('2026 Time Off Request'!$A:$A,'Dec 2025'!$D37,'2026 Time Off Request'!$L:$L,'Dec 2025'!O$6)</f>
        <v>0</v>
      </c>
      <c r="P37" s="35">
        <f>COUNTIFS('2026 Time Off Request'!$A:$A,'Dec 2025'!$D37,'2026 Time Off Request'!$L:$L,'Dec 2025'!P$6)</f>
        <v>0</v>
      </c>
      <c r="Q37" s="35">
        <f>COUNTIFS('2026 Time Off Request'!$A:$A,'Dec 2025'!$D37,'2026 Time Off Request'!$L:$L,'Dec 2025'!Q$6)</f>
        <v>0</v>
      </c>
      <c r="R37" s="48">
        <f>COUNTIFS('2026 Time Off Request'!$A:$A,'Dec 2025'!$D37,'2026 Time Off Request'!$L:$L,'Dec 2025'!R$6)</f>
        <v>0</v>
      </c>
      <c r="S37" s="48">
        <f>COUNTIFS('2026 Time Off Request'!$A:$A,'Dec 2025'!$D37,'2026 Time Off Request'!$L:$L,'Dec 2025'!S$6)</f>
        <v>0</v>
      </c>
      <c r="T37" s="35">
        <f>COUNTIFS('2026 Time Off Request'!$A:$A,'Dec 2025'!$D37,'2026 Time Off Request'!$L:$L,'Dec 2025'!T$6)</f>
        <v>0</v>
      </c>
      <c r="U37" s="35">
        <f>COUNTIFS('2026 Time Off Request'!$A:$A,'Dec 2025'!$D37,'2026 Time Off Request'!$L:$L,'Dec 2025'!U$6)</f>
        <v>0</v>
      </c>
      <c r="V37" s="35">
        <f>COUNTIFS('2026 Time Off Request'!$A:$A,'Dec 2025'!$D37,'2026 Time Off Request'!$L:$L,'Dec 2025'!V$6)</f>
        <v>0</v>
      </c>
      <c r="W37" s="35">
        <f>COUNTIFS('2026 Time Off Request'!$A:$A,'Dec 2025'!$D37,'2026 Time Off Request'!$L:$L,'Dec 2025'!W$6)</f>
        <v>0</v>
      </c>
      <c r="X37" s="35">
        <f>COUNTIFS('2026 Time Off Request'!$A:$A,'Dec 2025'!$D37,'2026 Time Off Request'!$L:$L,'Dec 2025'!X$6)</f>
        <v>0</v>
      </c>
      <c r="Y37" s="48">
        <f>COUNTIFS('2026 Time Off Request'!$A:$A,'Dec 2025'!$D37,'2026 Time Off Request'!$L:$L,'Dec 2025'!Y$6)</f>
        <v>0</v>
      </c>
      <c r="Z37" s="48">
        <f>COUNTIFS('2026 Time Off Request'!$A:$A,'Dec 2025'!$D37,'2026 Time Off Request'!$L:$L,'Dec 2025'!Z$6)</f>
        <v>0</v>
      </c>
      <c r="AA37" s="35">
        <f>COUNTIFS('2026 Time Off Request'!$A:$A,'Dec 2025'!$D37,'2026 Time Off Request'!$L:$L,'Dec 2025'!AA$6)</f>
        <v>0</v>
      </c>
      <c r="AB37" s="35">
        <f>COUNTIFS('2026 Time Off Request'!$A:$A,'Dec 2025'!$D37,'2026 Time Off Request'!$L:$L,'Dec 2025'!AB$6)</f>
        <v>0</v>
      </c>
      <c r="AC37" s="35">
        <f>COUNTIFS('2026 Time Off Request'!$A:$A,'Dec 2025'!$D37,'2026 Time Off Request'!$L:$L,'Dec 2025'!AC$6)</f>
        <v>0</v>
      </c>
      <c r="AD37" s="51">
        <f>COUNTIFS('2026 Time Off Request'!$A:$A,'Dec 2025'!$D37,'2026 Time Off Request'!$L:$L,'Dec 2025'!AD$6)</f>
        <v>0</v>
      </c>
      <c r="AE37" s="51">
        <f>COUNTIFS('2026 Time Off Request'!$A:$A,'Dec 2025'!$D37,'2026 Time Off Request'!$L:$L,'Dec 2025'!AE$6)</f>
        <v>0</v>
      </c>
      <c r="AF37" s="48">
        <f>COUNTIFS('2026 Time Off Request'!$A:$A,'Dec 2025'!$D37,'2026 Time Off Request'!$L:$L,'Dec 2025'!AF$6)</f>
        <v>0</v>
      </c>
      <c r="AG37" s="48">
        <f>COUNTIFS('2026 Time Off Request'!$A:$A,'Dec 2025'!$D37,'2026 Time Off Request'!$L:$L,'Dec 2025'!AG$6)</f>
        <v>0</v>
      </c>
      <c r="AH37" s="35">
        <f>COUNTIFS('2026 Time Off Request'!$A:$A,'Dec 2025'!$D37,'2026 Time Off Request'!$L:$L,'Dec 2025'!AH$6)</f>
        <v>0</v>
      </c>
      <c r="AI37" s="35">
        <f>COUNTIFS('2026 Time Off Request'!$A:$A,'Dec 2025'!$D37,'2026 Time Off Request'!$L:$L,'Dec 2025'!AI$6)</f>
        <v>0</v>
      </c>
      <c r="AJ37" s="35">
        <f>COUNTIFS('2026 Time Off Request'!$A:$A,'Dec 2025'!$D37,'2026 Time Off Request'!$L:$L,'Dec 2025'!AJ$6)</f>
        <v>0</v>
      </c>
    </row>
    <row r="38" spans="1:36" ht="15.6">
      <c r="A38" s="8">
        <v>31</v>
      </c>
      <c r="B38" s="31" t="s">
        <v>45</v>
      </c>
      <c r="C38" s="26" t="s">
        <v>83</v>
      </c>
      <c r="D38" s="8" t="s">
        <v>84</v>
      </c>
      <c r="E38" s="20">
        <f t="shared" si="3"/>
        <v>0</v>
      </c>
      <c r="F38" s="60">
        <f>COUNTIFS('2026 Time Off Request'!$A:$A,'Dec 2025'!$D38,'2026 Time Off Request'!$L:$L,'Dec 2025'!F$6)</f>
        <v>0</v>
      </c>
      <c r="G38" s="35">
        <f>COUNTIFS('2026 Time Off Request'!$A:$A,'Dec 2025'!$D38,'2026 Time Off Request'!$L:$L,'Dec 2025'!G$6)</f>
        <v>0</v>
      </c>
      <c r="H38" s="35">
        <f>COUNTIFS('2026 Time Off Request'!$A:$A,'Dec 2025'!$D38,'2026 Time Off Request'!$L:$L,'Dec 2025'!H$6)</f>
        <v>0</v>
      </c>
      <c r="I38" s="35">
        <f>COUNTIFS('2026 Time Off Request'!$A:$A,'Dec 2025'!$D38,'2026 Time Off Request'!$L:$L,'Dec 2025'!I$6)</f>
        <v>0</v>
      </c>
      <c r="J38" s="35">
        <f>COUNTIFS('2026 Time Off Request'!$A:$A,'Dec 2025'!$D38,'2026 Time Off Request'!$L:$L,'Dec 2025'!J$6)</f>
        <v>0</v>
      </c>
      <c r="K38" s="48">
        <f>COUNTIFS('2026 Time Off Request'!$A:$A,'Dec 2025'!$D38,'2026 Time Off Request'!$L:$L,'Dec 2025'!K$6)</f>
        <v>0</v>
      </c>
      <c r="L38" s="48">
        <f>COUNTIFS('2026 Time Off Request'!$A:$A,'Dec 2025'!$D38,'2026 Time Off Request'!$L:$L,'Dec 2025'!L$6)</f>
        <v>0</v>
      </c>
      <c r="M38" s="35">
        <f>COUNTIFS('2026 Time Off Request'!$A:$A,'Dec 2025'!$D38,'2026 Time Off Request'!$L:$L,'Dec 2025'!M$6)</f>
        <v>0</v>
      </c>
      <c r="N38" s="35">
        <f>COUNTIFS('2026 Time Off Request'!$A:$A,'Dec 2025'!$D38,'2026 Time Off Request'!$L:$L,'Dec 2025'!N$6)</f>
        <v>0</v>
      </c>
      <c r="O38" s="35">
        <f>COUNTIFS('2026 Time Off Request'!$A:$A,'Dec 2025'!$D38,'2026 Time Off Request'!$L:$L,'Dec 2025'!O$6)</f>
        <v>0</v>
      </c>
      <c r="P38" s="35">
        <f>COUNTIFS('2026 Time Off Request'!$A:$A,'Dec 2025'!$D38,'2026 Time Off Request'!$L:$L,'Dec 2025'!P$6)</f>
        <v>0</v>
      </c>
      <c r="Q38" s="35">
        <f>COUNTIFS('2026 Time Off Request'!$A:$A,'Dec 2025'!$D38,'2026 Time Off Request'!$L:$L,'Dec 2025'!Q$6)</f>
        <v>0</v>
      </c>
      <c r="R38" s="48">
        <f>COUNTIFS('2026 Time Off Request'!$A:$A,'Dec 2025'!$D38,'2026 Time Off Request'!$L:$L,'Dec 2025'!R$6)</f>
        <v>0</v>
      </c>
      <c r="S38" s="48">
        <f>COUNTIFS('2026 Time Off Request'!$A:$A,'Dec 2025'!$D38,'2026 Time Off Request'!$L:$L,'Dec 2025'!S$6)</f>
        <v>0</v>
      </c>
      <c r="T38" s="35">
        <f>COUNTIFS('2026 Time Off Request'!$A:$A,'Dec 2025'!$D38,'2026 Time Off Request'!$L:$L,'Dec 2025'!T$6)</f>
        <v>0</v>
      </c>
      <c r="U38" s="35">
        <f>COUNTIFS('2026 Time Off Request'!$A:$A,'Dec 2025'!$D38,'2026 Time Off Request'!$L:$L,'Dec 2025'!U$6)</f>
        <v>0</v>
      </c>
      <c r="V38" s="35">
        <f>COUNTIFS('2026 Time Off Request'!$A:$A,'Dec 2025'!$D38,'2026 Time Off Request'!$L:$L,'Dec 2025'!V$6)</f>
        <v>0</v>
      </c>
      <c r="W38" s="35">
        <f>COUNTIFS('2026 Time Off Request'!$A:$A,'Dec 2025'!$D38,'2026 Time Off Request'!$L:$L,'Dec 2025'!W$6)</f>
        <v>0</v>
      </c>
      <c r="X38" s="35">
        <f>COUNTIFS('2026 Time Off Request'!$A:$A,'Dec 2025'!$D38,'2026 Time Off Request'!$L:$L,'Dec 2025'!X$6)</f>
        <v>0</v>
      </c>
      <c r="Y38" s="48">
        <f>COUNTIFS('2026 Time Off Request'!$A:$A,'Dec 2025'!$D38,'2026 Time Off Request'!$L:$L,'Dec 2025'!Y$6)</f>
        <v>0</v>
      </c>
      <c r="Z38" s="48">
        <f>COUNTIFS('2026 Time Off Request'!$A:$A,'Dec 2025'!$D38,'2026 Time Off Request'!$L:$L,'Dec 2025'!Z$6)</f>
        <v>0</v>
      </c>
      <c r="AA38" s="35">
        <f>COUNTIFS('2026 Time Off Request'!$A:$A,'Dec 2025'!$D38,'2026 Time Off Request'!$L:$L,'Dec 2025'!AA$6)</f>
        <v>0</v>
      </c>
      <c r="AB38" s="35">
        <f>COUNTIFS('2026 Time Off Request'!$A:$A,'Dec 2025'!$D38,'2026 Time Off Request'!$L:$L,'Dec 2025'!AB$6)</f>
        <v>0</v>
      </c>
      <c r="AC38" s="35">
        <f>COUNTIFS('2026 Time Off Request'!$A:$A,'Dec 2025'!$D38,'2026 Time Off Request'!$L:$L,'Dec 2025'!AC$6)</f>
        <v>0</v>
      </c>
      <c r="AD38" s="51">
        <f>COUNTIFS('2026 Time Off Request'!$A:$A,'Dec 2025'!$D38,'2026 Time Off Request'!$L:$L,'Dec 2025'!AD$6)</f>
        <v>0</v>
      </c>
      <c r="AE38" s="51">
        <f>COUNTIFS('2026 Time Off Request'!$A:$A,'Dec 2025'!$D38,'2026 Time Off Request'!$L:$L,'Dec 2025'!AE$6)</f>
        <v>0</v>
      </c>
      <c r="AF38" s="48">
        <f>COUNTIFS('2026 Time Off Request'!$A:$A,'Dec 2025'!$D38,'2026 Time Off Request'!$L:$L,'Dec 2025'!AF$6)</f>
        <v>0</v>
      </c>
      <c r="AG38" s="48">
        <f>COUNTIFS('2026 Time Off Request'!$A:$A,'Dec 2025'!$D38,'2026 Time Off Request'!$L:$L,'Dec 2025'!AG$6)</f>
        <v>0</v>
      </c>
      <c r="AH38" s="35">
        <f>COUNTIFS('2026 Time Off Request'!$A:$A,'Dec 2025'!$D38,'2026 Time Off Request'!$L:$L,'Dec 2025'!AH$6)</f>
        <v>0</v>
      </c>
      <c r="AI38" s="35">
        <f>COUNTIFS('2026 Time Off Request'!$A:$A,'Dec 2025'!$D38,'2026 Time Off Request'!$L:$L,'Dec 2025'!AI$6)</f>
        <v>0</v>
      </c>
      <c r="AJ38" s="35">
        <f>COUNTIFS('2026 Time Off Request'!$A:$A,'Dec 2025'!$D38,'2026 Time Off Request'!$L:$L,'Dec 2025'!AJ$6)</f>
        <v>0</v>
      </c>
    </row>
    <row r="39" spans="1:36" ht="15.6">
      <c r="A39" s="8">
        <v>32</v>
      </c>
      <c r="B39" s="31" t="s">
        <v>45</v>
      </c>
      <c r="C39" s="26" t="s">
        <v>85</v>
      </c>
      <c r="D39" s="8" t="s">
        <v>86</v>
      </c>
      <c r="E39" s="20">
        <f t="shared" si="3"/>
        <v>0</v>
      </c>
      <c r="F39" s="60">
        <f>COUNTIFS('2026 Time Off Request'!$A:$A,'Dec 2025'!$D39,'2026 Time Off Request'!$L:$L,'Dec 2025'!F$6)</f>
        <v>0</v>
      </c>
      <c r="G39" s="35">
        <f>COUNTIFS('2026 Time Off Request'!$A:$A,'Dec 2025'!$D39,'2026 Time Off Request'!$L:$L,'Dec 2025'!G$6)</f>
        <v>0</v>
      </c>
      <c r="H39" s="35">
        <f>COUNTIFS('2026 Time Off Request'!$A:$A,'Dec 2025'!$D39,'2026 Time Off Request'!$L:$L,'Dec 2025'!H$6)</f>
        <v>0</v>
      </c>
      <c r="I39" s="35">
        <f>COUNTIFS('2026 Time Off Request'!$A:$A,'Dec 2025'!$D39,'2026 Time Off Request'!$L:$L,'Dec 2025'!I$6)</f>
        <v>0</v>
      </c>
      <c r="J39" s="35">
        <f>COUNTIFS('2026 Time Off Request'!$A:$A,'Dec 2025'!$D39,'2026 Time Off Request'!$L:$L,'Dec 2025'!J$6)</f>
        <v>0</v>
      </c>
      <c r="K39" s="48">
        <f>COUNTIFS('2026 Time Off Request'!$A:$A,'Dec 2025'!$D39,'2026 Time Off Request'!$L:$L,'Dec 2025'!K$6)</f>
        <v>0</v>
      </c>
      <c r="L39" s="48">
        <f>COUNTIFS('2026 Time Off Request'!$A:$A,'Dec 2025'!$D39,'2026 Time Off Request'!$L:$L,'Dec 2025'!L$6)</f>
        <v>0</v>
      </c>
      <c r="M39" s="35">
        <f>COUNTIFS('2026 Time Off Request'!$A:$A,'Dec 2025'!$D39,'2026 Time Off Request'!$L:$L,'Dec 2025'!M$6)</f>
        <v>0</v>
      </c>
      <c r="N39" s="35">
        <f>COUNTIFS('2026 Time Off Request'!$A:$A,'Dec 2025'!$D39,'2026 Time Off Request'!$L:$L,'Dec 2025'!N$6)</f>
        <v>0</v>
      </c>
      <c r="O39" s="35">
        <f>COUNTIFS('2026 Time Off Request'!$A:$A,'Dec 2025'!$D39,'2026 Time Off Request'!$L:$L,'Dec 2025'!O$6)</f>
        <v>0</v>
      </c>
      <c r="P39" s="35">
        <f>COUNTIFS('2026 Time Off Request'!$A:$A,'Dec 2025'!$D39,'2026 Time Off Request'!$L:$L,'Dec 2025'!P$6)</f>
        <v>0</v>
      </c>
      <c r="Q39" s="35">
        <f>COUNTIFS('2026 Time Off Request'!$A:$A,'Dec 2025'!$D39,'2026 Time Off Request'!$L:$L,'Dec 2025'!Q$6)</f>
        <v>0</v>
      </c>
      <c r="R39" s="48">
        <f>COUNTIFS('2026 Time Off Request'!$A:$A,'Dec 2025'!$D39,'2026 Time Off Request'!$L:$L,'Dec 2025'!R$6)</f>
        <v>0</v>
      </c>
      <c r="S39" s="48">
        <f>COUNTIFS('2026 Time Off Request'!$A:$A,'Dec 2025'!$D39,'2026 Time Off Request'!$L:$L,'Dec 2025'!S$6)</f>
        <v>0</v>
      </c>
      <c r="T39" s="35">
        <f>COUNTIFS('2026 Time Off Request'!$A:$A,'Dec 2025'!$D39,'2026 Time Off Request'!$L:$L,'Dec 2025'!T$6)</f>
        <v>0</v>
      </c>
      <c r="U39" s="35">
        <f>COUNTIFS('2026 Time Off Request'!$A:$A,'Dec 2025'!$D39,'2026 Time Off Request'!$L:$L,'Dec 2025'!U$6)</f>
        <v>0</v>
      </c>
      <c r="V39" s="35">
        <f>COUNTIFS('2026 Time Off Request'!$A:$A,'Dec 2025'!$D39,'2026 Time Off Request'!$L:$L,'Dec 2025'!V$6)</f>
        <v>0</v>
      </c>
      <c r="W39" s="35">
        <f>COUNTIFS('2026 Time Off Request'!$A:$A,'Dec 2025'!$D39,'2026 Time Off Request'!$L:$L,'Dec 2025'!W$6)</f>
        <v>0</v>
      </c>
      <c r="X39" s="35">
        <f>COUNTIFS('2026 Time Off Request'!$A:$A,'Dec 2025'!$D39,'2026 Time Off Request'!$L:$L,'Dec 2025'!X$6)</f>
        <v>0</v>
      </c>
      <c r="Y39" s="48">
        <f>COUNTIFS('2026 Time Off Request'!$A:$A,'Dec 2025'!$D39,'2026 Time Off Request'!$L:$L,'Dec 2025'!Y$6)</f>
        <v>0</v>
      </c>
      <c r="Z39" s="48">
        <f>COUNTIFS('2026 Time Off Request'!$A:$A,'Dec 2025'!$D39,'2026 Time Off Request'!$L:$L,'Dec 2025'!Z$6)</f>
        <v>0</v>
      </c>
      <c r="AA39" s="35">
        <f>COUNTIFS('2026 Time Off Request'!$A:$A,'Dec 2025'!$D39,'2026 Time Off Request'!$L:$L,'Dec 2025'!AA$6)</f>
        <v>0</v>
      </c>
      <c r="AB39" s="35">
        <f>COUNTIFS('2026 Time Off Request'!$A:$A,'Dec 2025'!$D39,'2026 Time Off Request'!$L:$L,'Dec 2025'!AB$6)</f>
        <v>0</v>
      </c>
      <c r="AC39" s="35">
        <f>COUNTIFS('2026 Time Off Request'!$A:$A,'Dec 2025'!$D39,'2026 Time Off Request'!$L:$L,'Dec 2025'!AC$6)</f>
        <v>0</v>
      </c>
      <c r="AD39" s="51">
        <f>COUNTIFS('2026 Time Off Request'!$A:$A,'Dec 2025'!$D39,'2026 Time Off Request'!$L:$L,'Dec 2025'!AD$6)</f>
        <v>0</v>
      </c>
      <c r="AE39" s="51">
        <f>COUNTIFS('2026 Time Off Request'!$A:$A,'Dec 2025'!$D39,'2026 Time Off Request'!$L:$L,'Dec 2025'!AE$6)</f>
        <v>0</v>
      </c>
      <c r="AF39" s="48">
        <f>COUNTIFS('2026 Time Off Request'!$A:$A,'Dec 2025'!$D39,'2026 Time Off Request'!$L:$L,'Dec 2025'!AF$6)</f>
        <v>0</v>
      </c>
      <c r="AG39" s="48">
        <f>COUNTIFS('2026 Time Off Request'!$A:$A,'Dec 2025'!$D39,'2026 Time Off Request'!$L:$L,'Dec 2025'!AG$6)</f>
        <v>0</v>
      </c>
      <c r="AH39" s="35">
        <f>COUNTIFS('2026 Time Off Request'!$A:$A,'Dec 2025'!$D39,'2026 Time Off Request'!$L:$L,'Dec 2025'!AH$6)</f>
        <v>0</v>
      </c>
      <c r="AI39" s="35">
        <f>COUNTIFS('2026 Time Off Request'!$A:$A,'Dec 2025'!$D39,'2026 Time Off Request'!$L:$L,'Dec 2025'!AI$6)</f>
        <v>0</v>
      </c>
      <c r="AJ39" s="35">
        <f>COUNTIFS('2026 Time Off Request'!$A:$A,'Dec 2025'!$D39,'2026 Time Off Request'!$L:$L,'Dec 2025'!AJ$6)</f>
        <v>0</v>
      </c>
    </row>
    <row r="40" spans="1:36" ht="15.6">
      <c r="A40" s="8">
        <v>33</v>
      </c>
      <c r="B40" s="31" t="s">
        <v>45</v>
      </c>
      <c r="C40" s="26" t="s">
        <v>87</v>
      </c>
      <c r="D40" s="8" t="s">
        <v>88</v>
      </c>
      <c r="E40" s="20">
        <f t="shared" si="3"/>
        <v>0</v>
      </c>
      <c r="F40" s="60">
        <f>COUNTIFS('2026 Time Off Request'!$A:$A,'Dec 2025'!$D40,'2026 Time Off Request'!$L:$L,'Dec 2025'!F$6)</f>
        <v>0</v>
      </c>
      <c r="G40" s="35">
        <f>COUNTIFS('2026 Time Off Request'!$A:$A,'Dec 2025'!$D40,'2026 Time Off Request'!$L:$L,'Dec 2025'!G$6)</f>
        <v>0</v>
      </c>
      <c r="H40" s="35">
        <f>COUNTIFS('2026 Time Off Request'!$A:$A,'Dec 2025'!$D40,'2026 Time Off Request'!$L:$L,'Dec 2025'!H$6)</f>
        <v>0</v>
      </c>
      <c r="I40" s="35">
        <f>COUNTIFS('2026 Time Off Request'!$A:$A,'Dec 2025'!$D40,'2026 Time Off Request'!$L:$L,'Dec 2025'!I$6)</f>
        <v>0</v>
      </c>
      <c r="J40" s="35">
        <f>COUNTIFS('2026 Time Off Request'!$A:$A,'Dec 2025'!$D40,'2026 Time Off Request'!$L:$L,'Dec 2025'!J$6)</f>
        <v>0</v>
      </c>
      <c r="K40" s="48">
        <f>COUNTIFS('2026 Time Off Request'!$A:$A,'Dec 2025'!$D40,'2026 Time Off Request'!$L:$L,'Dec 2025'!K$6)</f>
        <v>0</v>
      </c>
      <c r="L40" s="48">
        <f>COUNTIFS('2026 Time Off Request'!$A:$A,'Dec 2025'!$D40,'2026 Time Off Request'!$L:$L,'Dec 2025'!L$6)</f>
        <v>0</v>
      </c>
      <c r="M40" s="35">
        <f>COUNTIFS('2026 Time Off Request'!$A:$A,'Dec 2025'!$D40,'2026 Time Off Request'!$L:$L,'Dec 2025'!M$6)</f>
        <v>0</v>
      </c>
      <c r="N40" s="35">
        <f>COUNTIFS('2026 Time Off Request'!$A:$A,'Dec 2025'!$D40,'2026 Time Off Request'!$L:$L,'Dec 2025'!N$6)</f>
        <v>0</v>
      </c>
      <c r="O40" s="35">
        <f>COUNTIFS('2026 Time Off Request'!$A:$A,'Dec 2025'!$D40,'2026 Time Off Request'!$L:$L,'Dec 2025'!O$6)</f>
        <v>0</v>
      </c>
      <c r="P40" s="35">
        <f>COUNTIFS('2026 Time Off Request'!$A:$A,'Dec 2025'!$D40,'2026 Time Off Request'!$L:$L,'Dec 2025'!P$6)</f>
        <v>0</v>
      </c>
      <c r="Q40" s="35">
        <f>COUNTIFS('2026 Time Off Request'!$A:$A,'Dec 2025'!$D40,'2026 Time Off Request'!$L:$L,'Dec 2025'!Q$6)</f>
        <v>0</v>
      </c>
      <c r="R40" s="48">
        <f>COUNTIFS('2026 Time Off Request'!$A:$A,'Dec 2025'!$D40,'2026 Time Off Request'!$L:$L,'Dec 2025'!R$6)</f>
        <v>0</v>
      </c>
      <c r="S40" s="48">
        <f>COUNTIFS('2026 Time Off Request'!$A:$A,'Dec 2025'!$D40,'2026 Time Off Request'!$L:$L,'Dec 2025'!S$6)</f>
        <v>0</v>
      </c>
      <c r="T40" s="35">
        <f>COUNTIFS('2026 Time Off Request'!$A:$A,'Dec 2025'!$D40,'2026 Time Off Request'!$L:$L,'Dec 2025'!T$6)</f>
        <v>0</v>
      </c>
      <c r="U40" s="35">
        <f>COUNTIFS('2026 Time Off Request'!$A:$A,'Dec 2025'!$D40,'2026 Time Off Request'!$L:$L,'Dec 2025'!U$6)</f>
        <v>0</v>
      </c>
      <c r="V40" s="35">
        <f>COUNTIFS('2026 Time Off Request'!$A:$A,'Dec 2025'!$D40,'2026 Time Off Request'!$L:$L,'Dec 2025'!V$6)</f>
        <v>0</v>
      </c>
      <c r="W40" s="35">
        <f>COUNTIFS('2026 Time Off Request'!$A:$A,'Dec 2025'!$D40,'2026 Time Off Request'!$L:$L,'Dec 2025'!W$6)</f>
        <v>0</v>
      </c>
      <c r="X40" s="35">
        <f>COUNTIFS('2026 Time Off Request'!$A:$A,'Dec 2025'!$D40,'2026 Time Off Request'!$L:$L,'Dec 2025'!X$6)</f>
        <v>0</v>
      </c>
      <c r="Y40" s="48">
        <f>COUNTIFS('2026 Time Off Request'!$A:$A,'Dec 2025'!$D40,'2026 Time Off Request'!$L:$L,'Dec 2025'!Y$6)</f>
        <v>0</v>
      </c>
      <c r="Z40" s="48">
        <f>COUNTIFS('2026 Time Off Request'!$A:$A,'Dec 2025'!$D40,'2026 Time Off Request'!$L:$L,'Dec 2025'!Z$6)</f>
        <v>0</v>
      </c>
      <c r="AA40" s="35">
        <f>COUNTIFS('2026 Time Off Request'!$A:$A,'Dec 2025'!$D40,'2026 Time Off Request'!$L:$L,'Dec 2025'!AA$6)</f>
        <v>0</v>
      </c>
      <c r="AB40" s="35">
        <f>COUNTIFS('2026 Time Off Request'!$A:$A,'Dec 2025'!$D40,'2026 Time Off Request'!$L:$L,'Dec 2025'!AB$6)</f>
        <v>0</v>
      </c>
      <c r="AC40" s="35">
        <f>COUNTIFS('2026 Time Off Request'!$A:$A,'Dec 2025'!$D40,'2026 Time Off Request'!$L:$L,'Dec 2025'!AC$6)</f>
        <v>0</v>
      </c>
      <c r="AD40" s="51">
        <f>COUNTIFS('2026 Time Off Request'!$A:$A,'Dec 2025'!$D40,'2026 Time Off Request'!$L:$L,'Dec 2025'!AD$6)</f>
        <v>0</v>
      </c>
      <c r="AE40" s="51">
        <f>COUNTIFS('2026 Time Off Request'!$A:$A,'Dec 2025'!$D40,'2026 Time Off Request'!$L:$L,'Dec 2025'!AE$6)</f>
        <v>0</v>
      </c>
      <c r="AF40" s="48">
        <f>COUNTIFS('2026 Time Off Request'!$A:$A,'Dec 2025'!$D40,'2026 Time Off Request'!$L:$L,'Dec 2025'!AF$6)</f>
        <v>0</v>
      </c>
      <c r="AG40" s="48">
        <f>COUNTIFS('2026 Time Off Request'!$A:$A,'Dec 2025'!$D40,'2026 Time Off Request'!$L:$L,'Dec 2025'!AG$6)</f>
        <v>0</v>
      </c>
      <c r="AH40" s="35">
        <f>COUNTIFS('2026 Time Off Request'!$A:$A,'Dec 2025'!$D40,'2026 Time Off Request'!$L:$L,'Dec 2025'!AH$6)</f>
        <v>0</v>
      </c>
      <c r="AI40" s="35">
        <f>COUNTIFS('2026 Time Off Request'!$A:$A,'Dec 2025'!$D40,'2026 Time Off Request'!$L:$L,'Dec 2025'!AI$6)</f>
        <v>0</v>
      </c>
      <c r="AJ40" s="35">
        <f>COUNTIFS('2026 Time Off Request'!$A:$A,'Dec 2025'!$D40,'2026 Time Off Request'!$L:$L,'Dec 2025'!AJ$6)</f>
        <v>0</v>
      </c>
    </row>
    <row r="41" spans="1:36" ht="15.6">
      <c r="A41" s="8">
        <v>34</v>
      </c>
      <c r="B41" s="31" t="s">
        <v>45</v>
      </c>
      <c r="C41" s="26" t="s">
        <v>89</v>
      </c>
      <c r="D41" s="8" t="s">
        <v>90</v>
      </c>
      <c r="E41" s="20">
        <f t="shared" si="3"/>
        <v>0</v>
      </c>
      <c r="F41" s="60">
        <f>COUNTIFS('2026 Time Off Request'!$A:$A,'Dec 2025'!$D41,'2026 Time Off Request'!$L:$L,'Dec 2025'!F$6)</f>
        <v>0</v>
      </c>
      <c r="G41" s="35">
        <f>COUNTIFS('2026 Time Off Request'!$A:$A,'Dec 2025'!$D41,'2026 Time Off Request'!$L:$L,'Dec 2025'!G$6)</f>
        <v>0</v>
      </c>
      <c r="H41" s="35">
        <f>COUNTIFS('2026 Time Off Request'!$A:$A,'Dec 2025'!$D41,'2026 Time Off Request'!$L:$L,'Dec 2025'!H$6)</f>
        <v>0</v>
      </c>
      <c r="I41" s="35">
        <f>COUNTIFS('2026 Time Off Request'!$A:$A,'Dec 2025'!$D41,'2026 Time Off Request'!$L:$L,'Dec 2025'!I$6)</f>
        <v>0</v>
      </c>
      <c r="J41" s="35">
        <f>COUNTIFS('2026 Time Off Request'!$A:$A,'Dec 2025'!$D41,'2026 Time Off Request'!$L:$L,'Dec 2025'!J$6)</f>
        <v>0</v>
      </c>
      <c r="K41" s="48">
        <f>COUNTIFS('2026 Time Off Request'!$A:$A,'Dec 2025'!$D41,'2026 Time Off Request'!$L:$L,'Dec 2025'!K$6)</f>
        <v>0</v>
      </c>
      <c r="L41" s="48">
        <f>COUNTIFS('2026 Time Off Request'!$A:$A,'Dec 2025'!$D41,'2026 Time Off Request'!$L:$L,'Dec 2025'!L$6)</f>
        <v>0</v>
      </c>
      <c r="M41" s="35">
        <f>COUNTIFS('2026 Time Off Request'!$A:$A,'Dec 2025'!$D41,'2026 Time Off Request'!$L:$L,'Dec 2025'!M$6)</f>
        <v>0</v>
      </c>
      <c r="N41" s="35">
        <f>COUNTIFS('2026 Time Off Request'!$A:$A,'Dec 2025'!$D41,'2026 Time Off Request'!$L:$L,'Dec 2025'!N$6)</f>
        <v>0</v>
      </c>
      <c r="O41" s="35">
        <f>COUNTIFS('2026 Time Off Request'!$A:$A,'Dec 2025'!$D41,'2026 Time Off Request'!$L:$L,'Dec 2025'!O$6)</f>
        <v>0</v>
      </c>
      <c r="P41" s="35">
        <f>COUNTIFS('2026 Time Off Request'!$A:$A,'Dec 2025'!$D41,'2026 Time Off Request'!$L:$L,'Dec 2025'!P$6)</f>
        <v>0</v>
      </c>
      <c r="Q41" s="35">
        <f>COUNTIFS('2026 Time Off Request'!$A:$A,'Dec 2025'!$D41,'2026 Time Off Request'!$L:$L,'Dec 2025'!Q$6)</f>
        <v>0</v>
      </c>
      <c r="R41" s="48">
        <f>COUNTIFS('2026 Time Off Request'!$A:$A,'Dec 2025'!$D41,'2026 Time Off Request'!$L:$L,'Dec 2025'!R$6)</f>
        <v>0</v>
      </c>
      <c r="S41" s="48">
        <f>COUNTIFS('2026 Time Off Request'!$A:$A,'Dec 2025'!$D41,'2026 Time Off Request'!$L:$L,'Dec 2025'!S$6)</f>
        <v>0</v>
      </c>
      <c r="T41" s="35">
        <f>COUNTIFS('2026 Time Off Request'!$A:$A,'Dec 2025'!$D41,'2026 Time Off Request'!$L:$L,'Dec 2025'!T$6)</f>
        <v>0</v>
      </c>
      <c r="U41" s="35">
        <f>COUNTIFS('2026 Time Off Request'!$A:$A,'Dec 2025'!$D41,'2026 Time Off Request'!$L:$L,'Dec 2025'!U$6)</f>
        <v>0</v>
      </c>
      <c r="V41" s="35">
        <f>COUNTIFS('2026 Time Off Request'!$A:$A,'Dec 2025'!$D41,'2026 Time Off Request'!$L:$L,'Dec 2025'!V$6)</f>
        <v>0</v>
      </c>
      <c r="W41" s="35">
        <f>COUNTIFS('2026 Time Off Request'!$A:$A,'Dec 2025'!$D41,'2026 Time Off Request'!$L:$L,'Dec 2025'!W$6)</f>
        <v>0</v>
      </c>
      <c r="X41" s="35">
        <f>COUNTIFS('2026 Time Off Request'!$A:$A,'Dec 2025'!$D41,'2026 Time Off Request'!$L:$L,'Dec 2025'!X$6)</f>
        <v>0</v>
      </c>
      <c r="Y41" s="48">
        <f>COUNTIFS('2026 Time Off Request'!$A:$A,'Dec 2025'!$D41,'2026 Time Off Request'!$L:$L,'Dec 2025'!Y$6)</f>
        <v>0</v>
      </c>
      <c r="Z41" s="48">
        <f>COUNTIFS('2026 Time Off Request'!$A:$A,'Dec 2025'!$D41,'2026 Time Off Request'!$L:$L,'Dec 2025'!Z$6)</f>
        <v>0</v>
      </c>
      <c r="AA41" s="35">
        <f>COUNTIFS('2026 Time Off Request'!$A:$A,'Dec 2025'!$D41,'2026 Time Off Request'!$L:$L,'Dec 2025'!AA$6)</f>
        <v>0</v>
      </c>
      <c r="AB41" s="35">
        <f>COUNTIFS('2026 Time Off Request'!$A:$A,'Dec 2025'!$D41,'2026 Time Off Request'!$L:$L,'Dec 2025'!AB$6)</f>
        <v>0</v>
      </c>
      <c r="AC41" s="35">
        <f>COUNTIFS('2026 Time Off Request'!$A:$A,'Dec 2025'!$D41,'2026 Time Off Request'!$L:$L,'Dec 2025'!AC$6)</f>
        <v>0</v>
      </c>
      <c r="AD41" s="51">
        <f>COUNTIFS('2026 Time Off Request'!$A:$A,'Dec 2025'!$D41,'2026 Time Off Request'!$L:$L,'Dec 2025'!AD$6)</f>
        <v>0</v>
      </c>
      <c r="AE41" s="51">
        <f>COUNTIFS('2026 Time Off Request'!$A:$A,'Dec 2025'!$D41,'2026 Time Off Request'!$L:$L,'Dec 2025'!AE$6)</f>
        <v>0</v>
      </c>
      <c r="AF41" s="48">
        <f>COUNTIFS('2026 Time Off Request'!$A:$A,'Dec 2025'!$D41,'2026 Time Off Request'!$L:$L,'Dec 2025'!AF$6)</f>
        <v>0</v>
      </c>
      <c r="AG41" s="48">
        <f>COUNTIFS('2026 Time Off Request'!$A:$A,'Dec 2025'!$D41,'2026 Time Off Request'!$L:$L,'Dec 2025'!AG$6)</f>
        <v>0</v>
      </c>
      <c r="AH41" s="35">
        <f>COUNTIFS('2026 Time Off Request'!$A:$A,'Dec 2025'!$D41,'2026 Time Off Request'!$L:$L,'Dec 2025'!AH$6)</f>
        <v>0</v>
      </c>
      <c r="AI41" s="35">
        <f>COUNTIFS('2026 Time Off Request'!$A:$A,'Dec 2025'!$D41,'2026 Time Off Request'!$L:$L,'Dec 2025'!AI$6)</f>
        <v>0</v>
      </c>
      <c r="AJ41" s="35">
        <f>COUNTIFS('2026 Time Off Request'!$A:$A,'Dec 2025'!$D41,'2026 Time Off Request'!$L:$L,'Dec 2025'!AJ$6)</f>
        <v>0</v>
      </c>
    </row>
    <row r="42" spans="1:36" ht="15.6">
      <c r="A42" s="8">
        <v>35</v>
      </c>
      <c r="B42" s="31" t="s">
        <v>45</v>
      </c>
      <c r="C42" s="26" t="s">
        <v>89</v>
      </c>
      <c r="D42" s="8" t="s">
        <v>91</v>
      </c>
      <c r="E42" s="39">
        <f t="shared" si="3"/>
        <v>0</v>
      </c>
      <c r="F42" s="60">
        <f>COUNTIFS('2026 Time Off Request'!$A:$A,'Dec 2025'!$D42,'2026 Time Off Request'!$L:$L,'Dec 2025'!F$6)</f>
        <v>0</v>
      </c>
      <c r="G42" s="35">
        <f>COUNTIFS('2026 Time Off Request'!$A:$A,'Dec 2025'!$D42,'2026 Time Off Request'!$L:$L,'Dec 2025'!G$6)</f>
        <v>0</v>
      </c>
      <c r="H42" s="35">
        <f>COUNTIFS('2026 Time Off Request'!$A:$A,'Dec 2025'!$D42,'2026 Time Off Request'!$L:$L,'Dec 2025'!H$6)</f>
        <v>0</v>
      </c>
      <c r="I42" s="35">
        <f>COUNTIFS('2026 Time Off Request'!$A:$A,'Dec 2025'!$D42,'2026 Time Off Request'!$L:$L,'Dec 2025'!I$6)</f>
        <v>0</v>
      </c>
      <c r="J42" s="35">
        <f>COUNTIFS('2026 Time Off Request'!$A:$A,'Dec 2025'!$D42,'2026 Time Off Request'!$L:$L,'Dec 2025'!J$6)</f>
        <v>0</v>
      </c>
      <c r="K42" s="48">
        <f>COUNTIFS('2026 Time Off Request'!$A:$A,'Dec 2025'!$D42,'2026 Time Off Request'!$L:$L,'Dec 2025'!K$6)</f>
        <v>0</v>
      </c>
      <c r="L42" s="48">
        <f>COUNTIFS('2026 Time Off Request'!$A:$A,'Dec 2025'!$D42,'2026 Time Off Request'!$L:$L,'Dec 2025'!L$6)</f>
        <v>0</v>
      </c>
      <c r="M42" s="35">
        <f>COUNTIFS('2026 Time Off Request'!$A:$A,'Dec 2025'!$D42,'2026 Time Off Request'!$L:$L,'Dec 2025'!M$6)</f>
        <v>0</v>
      </c>
      <c r="N42" s="35">
        <f>COUNTIFS('2026 Time Off Request'!$A:$A,'Dec 2025'!$D42,'2026 Time Off Request'!$L:$L,'Dec 2025'!N$6)</f>
        <v>0</v>
      </c>
      <c r="O42" s="35">
        <f>COUNTIFS('2026 Time Off Request'!$A:$A,'Dec 2025'!$D42,'2026 Time Off Request'!$L:$L,'Dec 2025'!O$6)</f>
        <v>0</v>
      </c>
      <c r="P42" s="35">
        <f>COUNTIFS('2026 Time Off Request'!$A:$A,'Dec 2025'!$D42,'2026 Time Off Request'!$L:$L,'Dec 2025'!P$6)</f>
        <v>0</v>
      </c>
      <c r="Q42" s="35">
        <f>COUNTIFS('2026 Time Off Request'!$A:$A,'Dec 2025'!$D42,'2026 Time Off Request'!$L:$L,'Dec 2025'!Q$6)</f>
        <v>0</v>
      </c>
      <c r="R42" s="48">
        <f>COUNTIFS('2026 Time Off Request'!$A:$A,'Dec 2025'!$D42,'2026 Time Off Request'!$L:$L,'Dec 2025'!R$6)</f>
        <v>0</v>
      </c>
      <c r="S42" s="48">
        <f>COUNTIFS('2026 Time Off Request'!$A:$A,'Dec 2025'!$D42,'2026 Time Off Request'!$L:$L,'Dec 2025'!S$6)</f>
        <v>0</v>
      </c>
      <c r="T42" s="35">
        <f>COUNTIFS('2026 Time Off Request'!$A:$A,'Dec 2025'!$D42,'2026 Time Off Request'!$L:$L,'Dec 2025'!T$6)</f>
        <v>0</v>
      </c>
      <c r="U42" s="35">
        <f>COUNTIFS('2026 Time Off Request'!$A:$A,'Dec 2025'!$D42,'2026 Time Off Request'!$L:$L,'Dec 2025'!U$6)</f>
        <v>0</v>
      </c>
      <c r="V42" s="35">
        <f>COUNTIFS('2026 Time Off Request'!$A:$A,'Dec 2025'!$D42,'2026 Time Off Request'!$L:$L,'Dec 2025'!V$6)</f>
        <v>0</v>
      </c>
      <c r="W42" s="35">
        <f>COUNTIFS('2026 Time Off Request'!$A:$A,'Dec 2025'!$D42,'2026 Time Off Request'!$L:$L,'Dec 2025'!W$6)</f>
        <v>0</v>
      </c>
      <c r="X42" s="35">
        <f>COUNTIFS('2026 Time Off Request'!$A:$A,'Dec 2025'!$D42,'2026 Time Off Request'!$L:$L,'Dec 2025'!X$6)</f>
        <v>0</v>
      </c>
      <c r="Y42" s="48">
        <f>COUNTIFS('2026 Time Off Request'!$A:$A,'Dec 2025'!$D42,'2026 Time Off Request'!$L:$L,'Dec 2025'!Y$6)</f>
        <v>0</v>
      </c>
      <c r="Z42" s="48">
        <f>COUNTIFS('2026 Time Off Request'!$A:$A,'Dec 2025'!$D42,'2026 Time Off Request'!$L:$L,'Dec 2025'!Z$6)</f>
        <v>0</v>
      </c>
      <c r="AA42" s="35">
        <f>COUNTIFS('2026 Time Off Request'!$A:$A,'Dec 2025'!$D42,'2026 Time Off Request'!$L:$L,'Dec 2025'!AA$6)</f>
        <v>0</v>
      </c>
      <c r="AB42" s="35">
        <f>COUNTIFS('2026 Time Off Request'!$A:$A,'Dec 2025'!$D42,'2026 Time Off Request'!$L:$L,'Dec 2025'!AB$6)</f>
        <v>0</v>
      </c>
      <c r="AC42" s="35">
        <f>COUNTIFS('2026 Time Off Request'!$A:$A,'Dec 2025'!$D42,'2026 Time Off Request'!$L:$L,'Dec 2025'!AC$6)</f>
        <v>0</v>
      </c>
      <c r="AD42" s="51">
        <f>COUNTIFS('2026 Time Off Request'!$A:$A,'Dec 2025'!$D42,'2026 Time Off Request'!$L:$L,'Dec 2025'!AD$6)</f>
        <v>0</v>
      </c>
      <c r="AE42" s="51">
        <f>COUNTIFS('2026 Time Off Request'!$A:$A,'Dec 2025'!$D42,'2026 Time Off Request'!$L:$L,'Dec 2025'!AE$6)</f>
        <v>0</v>
      </c>
      <c r="AF42" s="48">
        <f>COUNTIFS('2026 Time Off Request'!$A:$A,'Dec 2025'!$D42,'2026 Time Off Request'!$L:$L,'Dec 2025'!AF$6)</f>
        <v>0</v>
      </c>
      <c r="AG42" s="48">
        <f>COUNTIFS('2026 Time Off Request'!$A:$A,'Dec 2025'!$D42,'2026 Time Off Request'!$L:$L,'Dec 2025'!AG$6)</f>
        <v>0</v>
      </c>
      <c r="AH42" s="35">
        <f>COUNTIFS('2026 Time Off Request'!$A:$A,'Dec 2025'!$D42,'2026 Time Off Request'!$L:$L,'Dec 2025'!AH$6)</f>
        <v>0</v>
      </c>
      <c r="AI42" s="35">
        <f>COUNTIFS('2026 Time Off Request'!$A:$A,'Dec 2025'!$D42,'2026 Time Off Request'!$L:$L,'Dec 2025'!AI$6)</f>
        <v>0</v>
      </c>
      <c r="AJ42" s="35">
        <f>COUNTIFS('2026 Time Off Request'!$A:$A,'Dec 2025'!$D42,'2026 Time Off Request'!$L:$L,'Dec 2025'!AJ$6)</f>
        <v>0</v>
      </c>
    </row>
    <row r="43" spans="1:36" ht="15.6">
      <c r="A43" s="8"/>
      <c r="B43" s="32"/>
      <c r="C43" s="26"/>
      <c r="D43" s="8"/>
      <c r="E43" s="11"/>
      <c r="K43" s="48"/>
      <c r="L43" s="48"/>
    </row>
    <row r="44" spans="1:36" ht="15.6">
      <c r="A44" s="8"/>
      <c r="B44" s="32"/>
      <c r="C44" s="26"/>
      <c r="D44" s="8"/>
      <c r="E44" s="11"/>
      <c r="K44" s="48"/>
      <c r="L44" s="48"/>
    </row>
    <row r="45" spans="1:36" ht="15.6">
      <c r="A45" s="8"/>
      <c r="B45" s="32"/>
      <c r="C45" s="26"/>
      <c r="D45" s="8"/>
      <c r="E45" s="11"/>
      <c r="K45" s="48"/>
      <c r="L45" s="48"/>
    </row>
    <row r="46" spans="1:36" ht="15.6">
      <c r="A46" s="8"/>
      <c r="B46" s="32"/>
      <c r="C46" s="27"/>
      <c r="D46" s="8"/>
      <c r="E46" s="11"/>
      <c r="K46" s="48"/>
      <c r="L46" s="48"/>
    </row>
    <row r="47" spans="1:36" ht="15.6">
      <c r="A47" s="8"/>
      <c r="B47" s="32"/>
      <c r="C47" s="26"/>
      <c r="D47" s="8"/>
      <c r="E47" s="8"/>
      <c r="K47" s="48"/>
      <c r="L47" s="48"/>
    </row>
    <row r="48" spans="1:36" ht="15.6">
      <c r="A48" s="8"/>
      <c r="B48" s="32"/>
      <c r="C48" s="26"/>
      <c r="D48" s="8"/>
      <c r="E48" s="8"/>
      <c r="K48" s="48"/>
      <c r="L48" s="48"/>
    </row>
    <row r="49" spans="1:12" ht="15.6">
      <c r="A49" s="8"/>
      <c r="B49" s="32"/>
      <c r="C49" s="26"/>
      <c r="D49" s="8"/>
      <c r="E49" s="8"/>
      <c r="K49" s="48"/>
      <c r="L49" s="48"/>
    </row>
    <row r="50" spans="1:12" ht="15.6">
      <c r="A50" s="8"/>
      <c r="B50" s="32"/>
      <c r="C50" s="26"/>
      <c r="D50" s="8"/>
      <c r="E50" s="8"/>
      <c r="K50" s="48"/>
      <c r="L50" s="48"/>
    </row>
    <row r="51" spans="1:12" ht="15.6">
      <c r="A51" s="8"/>
      <c r="B51" s="32"/>
      <c r="C51" s="26"/>
      <c r="D51" s="8"/>
      <c r="E51" s="8"/>
      <c r="K51" s="48"/>
      <c r="L51" s="48"/>
    </row>
    <row r="52" spans="1:12" ht="15.6">
      <c r="A52" s="8"/>
      <c r="B52" s="32"/>
      <c r="C52" s="26"/>
      <c r="D52" s="8"/>
      <c r="E52" s="8"/>
      <c r="K52" s="48"/>
      <c r="L52" s="48"/>
    </row>
    <row r="53" spans="1:12" ht="15.6">
      <c r="A53" s="8"/>
      <c r="B53" s="32"/>
      <c r="C53" s="26"/>
      <c r="D53" s="8"/>
      <c r="E53" s="8"/>
      <c r="K53" s="48"/>
      <c r="L53" s="48"/>
    </row>
    <row r="54" spans="1:12" ht="15.6">
      <c r="A54" s="8"/>
      <c r="B54" s="32"/>
      <c r="C54" s="26"/>
      <c r="D54" s="8"/>
      <c r="E54" s="8"/>
      <c r="K54" s="48"/>
      <c r="L54" s="48"/>
    </row>
    <row r="55" spans="1:12" ht="15.6">
      <c r="A55" s="8"/>
      <c r="B55" s="32"/>
      <c r="C55" s="26"/>
      <c r="D55" s="8"/>
      <c r="E55" s="8"/>
      <c r="K55" s="48"/>
      <c r="L55" s="48"/>
    </row>
    <row r="56" spans="1:12" ht="15.6">
      <c r="A56" s="8"/>
      <c r="B56" s="32"/>
      <c r="C56" s="26"/>
      <c r="D56" s="8"/>
      <c r="E56" s="8"/>
      <c r="K56" s="48"/>
      <c r="L56" s="48"/>
    </row>
  </sheetData>
  <mergeCells count="1">
    <mergeCell ref="B6:D6"/>
  </mergeCells>
  <dataValidations count="1">
    <dataValidation allowBlank="1" showInputMessage="1" showErrorMessage="1" sqref="A3:A56" xr:uid="{0D574D0D-1AA6-4A10-8FB6-E10E0C1DA068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B21F-5D3B-4DD3-AB6D-6A7565CB14EE}">
  <sheetPr>
    <tabColor rgb="FFC00000"/>
  </sheetPr>
  <dimension ref="A1:AO58"/>
  <sheetViews>
    <sheetView showGridLines="0" workbookViewId="0">
      <pane xSplit="4" ySplit="7" topLeftCell="E31" activePane="bottomRight" state="frozen"/>
      <selection pane="bottomRight" activeCell="A31" sqref="A31"/>
      <selection pane="bottomLeft"/>
      <selection pane="topRight"/>
    </sheetView>
  </sheetViews>
  <sheetFormatPr defaultColWidth="9.140625" defaultRowHeight="14.45"/>
  <cols>
    <col min="1" max="1" width="3.28515625" style="35" bestFit="1" customWidth="1"/>
    <col min="2" max="2" width="9.140625" style="35"/>
    <col min="3" max="3" width="22.7109375" style="35" bestFit="1" customWidth="1"/>
    <col min="4" max="4" width="27.140625" style="35" customWidth="1"/>
    <col min="5" max="5" width="15" style="35" customWidth="1"/>
    <col min="6" max="6" width="17.140625" style="60" customWidth="1"/>
    <col min="7" max="14" width="17.42578125" style="35" bestFit="1" customWidth="1"/>
    <col min="15" max="17" width="18.42578125" style="35" bestFit="1" customWidth="1"/>
    <col min="18" max="19" width="18.42578125" bestFit="1" customWidth="1"/>
    <col min="20" max="24" width="18.42578125" style="35" bestFit="1" customWidth="1"/>
    <col min="25" max="26" width="18.42578125" bestFit="1" customWidth="1"/>
    <col min="27" max="29" width="18.42578125" style="35" bestFit="1" customWidth="1"/>
    <col min="30" max="33" width="18.42578125" bestFit="1" customWidth="1"/>
    <col min="34" max="36" width="18.42578125" style="35" bestFit="1" customWidth="1"/>
    <col min="37" max="16384" width="9.140625" style="35"/>
  </cols>
  <sheetData>
    <row r="1" spans="1:41" customFormat="1">
      <c r="F1" s="57"/>
    </row>
    <row r="2" spans="1:41" s="42" customFormat="1" ht="18.75" customHeight="1">
      <c r="D2" s="43" t="s">
        <v>95</v>
      </c>
      <c r="F2" s="91">
        <f>COUNTA($D$8:$D$50)</f>
        <v>36</v>
      </c>
      <c r="G2" s="42">
        <f t="shared" ref="G2:AJ2" si="0">COUNTA($D$8:$D$50)</f>
        <v>36</v>
      </c>
      <c r="H2" s="46">
        <f t="shared" si="0"/>
        <v>36</v>
      </c>
      <c r="I2" s="46">
        <f t="shared" si="0"/>
        <v>36</v>
      </c>
      <c r="J2" s="42">
        <f t="shared" si="0"/>
        <v>36</v>
      </c>
      <c r="K2" s="80">
        <f t="shared" si="0"/>
        <v>36</v>
      </c>
      <c r="L2" s="80">
        <f t="shared" si="0"/>
        <v>36</v>
      </c>
      <c r="M2" s="42">
        <f t="shared" si="0"/>
        <v>36</v>
      </c>
      <c r="N2" s="42">
        <f t="shared" si="0"/>
        <v>36</v>
      </c>
      <c r="O2" s="46">
        <f t="shared" si="0"/>
        <v>36</v>
      </c>
      <c r="P2" s="46">
        <f t="shared" si="0"/>
        <v>36</v>
      </c>
      <c r="Q2" s="42">
        <f t="shared" si="0"/>
        <v>36</v>
      </c>
      <c r="R2" s="80">
        <f t="shared" si="0"/>
        <v>36</v>
      </c>
      <c r="S2" s="80">
        <f t="shared" si="0"/>
        <v>36</v>
      </c>
      <c r="T2" s="42">
        <f t="shared" si="0"/>
        <v>36</v>
      </c>
      <c r="U2" s="42">
        <f t="shared" si="0"/>
        <v>36</v>
      </c>
      <c r="V2" s="46">
        <f t="shared" si="0"/>
        <v>36</v>
      </c>
      <c r="W2" s="46">
        <f t="shared" si="0"/>
        <v>36</v>
      </c>
      <c r="X2" s="42">
        <f t="shared" si="0"/>
        <v>36</v>
      </c>
      <c r="Y2" s="80">
        <f t="shared" si="0"/>
        <v>36</v>
      </c>
      <c r="Z2" s="80">
        <f t="shared" si="0"/>
        <v>36</v>
      </c>
      <c r="AA2" s="42">
        <f t="shared" si="0"/>
        <v>36</v>
      </c>
      <c r="AB2" s="42">
        <f t="shared" si="0"/>
        <v>36</v>
      </c>
      <c r="AC2" s="46">
        <f t="shared" si="0"/>
        <v>36</v>
      </c>
      <c r="AD2" s="46">
        <f t="shared" si="0"/>
        <v>36</v>
      </c>
      <c r="AE2" s="80">
        <f t="shared" si="0"/>
        <v>36</v>
      </c>
      <c r="AF2" s="80">
        <f t="shared" si="0"/>
        <v>36</v>
      </c>
      <c r="AG2" s="80">
        <f t="shared" si="0"/>
        <v>36</v>
      </c>
      <c r="AH2" s="42">
        <f t="shared" si="0"/>
        <v>36</v>
      </c>
      <c r="AI2" s="42">
        <f t="shared" si="0"/>
        <v>36</v>
      </c>
      <c r="AJ2" s="46">
        <f t="shared" si="0"/>
        <v>36</v>
      </c>
    </row>
    <row r="3" spans="1:41" s="42" customFormat="1" ht="12">
      <c r="A3" s="43"/>
      <c r="C3" s="43"/>
      <c r="D3" s="43" t="s">
        <v>96</v>
      </c>
      <c r="E3" s="43"/>
      <c r="F3" s="91">
        <f>SUM(F8:F47)</f>
        <v>0</v>
      </c>
      <c r="G3" s="42">
        <f t="shared" ref="G3:AI3" si="1">SUM(G8:G47)</f>
        <v>2</v>
      </c>
      <c r="H3" s="46">
        <f t="shared" si="1"/>
        <v>0</v>
      </c>
      <c r="I3" s="46">
        <f t="shared" si="1"/>
        <v>0</v>
      </c>
      <c r="J3" s="42">
        <f t="shared" si="1"/>
        <v>3</v>
      </c>
      <c r="K3" s="80">
        <f t="shared" si="1"/>
        <v>2</v>
      </c>
      <c r="L3" s="80">
        <f t="shared" si="1"/>
        <v>2</v>
      </c>
      <c r="M3" s="42">
        <f>SUM(M8:M47)</f>
        <v>2</v>
      </c>
      <c r="N3" s="42">
        <f t="shared" si="1"/>
        <v>3</v>
      </c>
      <c r="O3" s="46">
        <f t="shared" si="1"/>
        <v>0</v>
      </c>
      <c r="P3" s="46">
        <f t="shared" si="1"/>
        <v>0</v>
      </c>
      <c r="Q3" s="42">
        <f t="shared" si="1"/>
        <v>2</v>
      </c>
      <c r="R3" s="80">
        <f>SUM(R8:R47)</f>
        <v>1</v>
      </c>
      <c r="S3" s="80">
        <f t="shared" si="1"/>
        <v>0</v>
      </c>
      <c r="T3" s="42">
        <f t="shared" si="1"/>
        <v>0</v>
      </c>
      <c r="U3" s="42">
        <f t="shared" si="1"/>
        <v>0</v>
      </c>
      <c r="V3" s="46">
        <f t="shared" si="1"/>
        <v>0</v>
      </c>
      <c r="W3" s="46">
        <f>SUM(W8:W47)</f>
        <v>0</v>
      </c>
      <c r="X3" s="42">
        <f t="shared" si="1"/>
        <v>1</v>
      </c>
      <c r="Y3" s="80">
        <f t="shared" si="1"/>
        <v>0</v>
      </c>
      <c r="Z3" s="80">
        <f t="shared" si="1"/>
        <v>0</v>
      </c>
      <c r="AA3" s="42">
        <f t="shared" si="1"/>
        <v>0</v>
      </c>
      <c r="AB3" s="42">
        <f t="shared" si="1"/>
        <v>0</v>
      </c>
      <c r="AC3" s="46">
        <f t="shared" si="1"/>
        <v>0</v>
      </c>
      <c r="AD3" s="46">
        <f>SUM(AD8:AD47)</f>
        <v>0</v>
      </c>
      <c r="AE3" s="80">
        <f t="shared" si="1"/>
        <v>2</v>
      </c>
      <c r="AF3" s="80">
        <f>SUM(AF8:AF47)</f>
        <v>3</v>
      </c>
      <c r="AG3" s="80">
        <f t="shared" si="1"/>
        <v>2</v>
      </c>
      <c r="AH3" s="42">
        <f t="shared" si="1"/>
        <v>2</v>
      </c>
      <c r="AI3" s="42">
        <f t="shared" si="1"/>
        <v>1</v>
      </c>
      <c r="AJ3" s="46">
        <f>SUM(AJ8:AJ47)</f>
        <v>0</v>
      </c>
    </row>
    <row r="4" spans="1:41" s="42" customFormat="1" ht="12">
      <c r="A4" s="43"/>
      <c r="B4" s="44"/>
      <c r="C4" s="43"/>
      <c r="D4" s="43" t="s">
        <v>97</v>
      </c>
      <c r="E4" s="43"/>
      <c r="F4" s="92">
        <f>(COUNTA($D$8:$D$47)-F$3)/(COUNTA($D$8:$D$47))</f>
        <v>1</v>
      </c>
      <c r="G4" s="45">
        <f>(COUNTA($D$8:$D$47)-G$3)/(COUNTA($D$8:$D$47))</f>
        <v>0.94444444444444442</v>
      </c>
      <c r="H4" s="47">
        <f>(COUNTA($D$8:$D$47)-H$3)/(COUNTA($D$8:$D$47))</f>
        <v>1</v>
      </c>
      <c r="I4" s="47">
        <f>(COUNTA($D$8:$D$47)-I$3)/(COUNTA($D$8:$D$47))</f>
        <v>1</v>
      </c>
      <c r="J4" s="45">
        <f>(COUNTA($D$8:$D$47)-J$3)/(COUNTA($D$8:$D$47))</f>
        <v>0.91666666666666663</v>
      </c>
      <c r="K4" s="81">
        <f>(COUNTA($D$8:$D$47)-K$3)/(COUNTA($D$8:$D$47))</f>
        <v>0.94444444444444442</v>
      </c>
      <c r="L4" s="81">
        <f>(COUNTA($D$8:$D$47)-L$3)/(COUNTA($D$8:$D$47))</f>
        <v>0.94444444444444442</v>
      </c>
      <c r="M4" s="45">
        <f>(COUNTA($D$8:$D$47)-M$3)/(COUNTA($D$8:$D$47))</f>
        <v>0.94444444444444442</v>
      </c>
      <c r="N4" s="45">
        <f>(COUNTA($D$8:$D$47)-N$3)/(COUNTA($D$8:$D$47))</f>
        <v>0.91666666666666663</v>
      </c>
      <c r="O4" s="47">
        <f>(COUNTA($D$8:$D$47)-O$3)/(COUNTA($D$8:$D$47))</f>
        <v>1</v>
      </c>
      <c r="P4" s="47">
        <f>(COUNTA($D$8:$D$47)-P$3)/(COUNTA($D$8:$D$47))</f>
        <v>1</v>
      </c>
      <c r="Q4" s="45">
        <f>(COUNTA($D$8:$D$47)-Q$3)/(COUNTA($D$8:$D$47))</f>
        <v>0.94444444444444442</v>
      </c>
      <c r="R4" s="81">
        <f>(COUNTA($D$8:$D$47)-R$3)/(COUNTA($D$8:$D$47))</f>
        <v>0.97222222222222221</v>
      </c>
      <c r="S4" s="81">
        <f>(COUNTA($D$8:$D$47)-S$3)/(COUNTA($D$8:$D$47))</f>
        <v>1</v>
      </c>
      <c r="T4" s="45">
        <f>(COUNTA($D$8:$D$47)-T$3)/(COUNTA($D$8:$D$47))</f>
        <v>1</v>
      </c>
      <c r="U4" s="45">
        <f>(COUNTA($D$8:$D$47)-U$3)/(COUNTA($D$8:$D$47))</f>
        <v>1</v>
      </c>
      <c r="V4" s="47">
        <f>(COUNTA($D$8:$D$47)-V$3)/(COUNTA($D$8:$D$47))</f>
        <v>1</v>
      </c>
      <c r="W4" s="47">
        <f>(COUNTA($D$8:$D$47)-W$3)/(COUNTA($D$8:$D$47))</f>
        <v>1</v>
      </c>
      <c r="X4" s="45">
        <f>(COUNTA($D$8:$D$47)-X$3)/(COUNTA($D$8:$D$47))</f>
        <v>0.97222222222222221</v>
      </c>
      <c r="Y4" s="81">
        <f>(COUNTA($D$8:$D$47)-Y$3)/(COUNTA($D$8:$D$47))</f>
        <v>1</v>
      </c>
      <c r="Z4" s="81">
        <f>(COUNTA($D$8:$D$47)-Z$3)/(COUNTA($D$8:$D$47))</f>
        <v>1</v>
      </c>
      <c r="AA4" s="45">
        <f>(COUNTA($D$8:$D$47)-AA$3)/(COUNTA($D$8:$D$47))</f>
        <v>1</v>
      </c>
      <c r="AB4" s="45">
        <f>(COUNTA($D$8:$D$47)-AB$3)/(COUNTA($D$8:$D$47))</f>
        <v>1</v>
      </c>
      <c r="AC4" s="47">
        <f>(COUNTA($D$8:$D$47)-AC$3)/(COUNTA($D$8:$D$47))</f>
        <v>1</v>
      </c>
      <c r="AD4" s="47">
        <f>(COUNTA($D$8:$D$47)-AD$3)/(COUNTA($D$8:$D$47))</f>
        <v>1</v>
      </c>
      <c r="AE4" s="81">
        <f>(COUNTA($D$8:$D$47)-AE$3)/(COUNTA($D$8:$D$47))</f>
        <v>0.94444444444444442</v>
      </c>
      <c r="AF4" s="81">
        <f>(COUNTA($D$8:$D$47)-AF$3)/(COUNTA($D$8:$D$47))</f>
        <v>0.91666666666666663</v>
      </c>
      <c r="AG4" s="81">
        <f>(COUNTA($D$8:$D$47)-AG$3)/(COUNTA($D$8:$D$47))</f>
        <v>0.94444444444444442</v>
      </c>
      <c r="AH4" s="45">
        <f>(COUNTA($D$8:$D$47)-AH$3)/(COUNTA($D$8:$D$47))</f>
        <v>0.94444444444444442</v>
      </c>
      <c r="AI4" s="45">
        <f>(COUNTA($D$8:$D$47)-AI$3)/(COUNTA($D$8:$D$47))</f>
        <v>0.97222222222222221</v>
      </c>
      <c r="AJ4" s="47">
        <f>(COUNTA($D$8:$D$47)-AJ$3)/(COUNTA($D$8:$D$47))</f>
        <v>1</v>
      </c>
    </row>
    <row r="5" spans="1:41" s="42" customFormat="1" ht="8.25" customHeight="1">
      <c r="A5" s="43"/>
      <c r="B5" s="44"/>
      <c r="C5" s="43"/>
      <c r="D5" s="43"/>
      <c r="E5" s="43"/>
      <c r="F5" s="92"/>
      <c r="G5" s="45"/>
      <c r="H5" s="47"/>
      <c r="I5" s="47"/>
      <c r="J5" s="45"/>
      <c r="K5" s="81"/>
      <c r="L5" s="81"/>
      <c r="M5" s="45"/>
      <c r="N5" s="45"/>
      <c r="O5" s="47"/>
      <c r="P5" s="47"/>
      <c r="Q5" s="45"/>
      <c r="R5" s="81"/>
      <c r="S5" s="81"/>
      <c r="T5" s="45"/>
      <c r="U5" s="45"/>
      <c r="V5" s="47"/>
      <c r="W5" s="47"/>
      <c r="X5" s="45"/>
      <c r="Y5" s="81"/>
      <c r="Z5" s="81"/>
      <c r="AA5" s="45"/>
      <c r="AB5" s="45"/>
      <c r="AC5" s="47"/>
      <c r="AD5" s="47"/>
      <c r="AE5" s="81"/>
      <c r="AF5" s="81"/>
      <c r="AG5" s="81"/>
      <c r="AH5" s="45"/>
      <c r="AI5" s="45"/>
      <c r="AJ5" s="47"/>
    </row>
    <row r="6" spans="1:41" s="69" customFormat="1" ht="34.5" customHeight="1">
      <c r="A6" s="61"/>
      <c r="B6" s="243" t="s">
        <v>0</v>
      </c>
      <c r="C6" s="244"/>
      <c r="D6" s="245"/>
      <c r="E6" s="62" t="s">
        <v>98</v>
      </c>
      <c r="F6" s="85">
        <v>46023</v>
      </c>
      <c r="G6" s="77">
        <v>46024</v>
      </c>
      <c r="H6" s="88">
        <v>46025</v>
      </c>
      <c r="I6" s="89">
        <v>46026</v>
      </c>
      <c r="J6" s="78">
        <v>46027</v>
      </c>
      <c r="K6" s="82">
        <v>46028</v>
      </c>
      <c r="L6" s="83">
        <v>46029</v>
      </c>
      <c r="M6" s="77">
        <v>46030</v>
      </c>
      <c r="N6" s="78">
        <v>46031</v>
      </c>
      <c r="O6" s="89">
        <v>46032</v>
      </c>
      <c r="P6" s="88">
        <v>46033</v>
      </c>
      <c r="Q6" s="77">
        <v>46034</v>
      </c>
      <c r="R6" s="83">
        <v>46035</v>
      </c>
      <c r="S6" s="82">
        <v>46036</v>
      </c>
      <c r="T6" s="78">
        <v>46037</v>
      </c>
      <c r="U6" s="77">
        <v>46038</v>
      </c>
      <c r="V6" s="88">
        <v>46039</v>
      </c>
      <c r="W6" s="89">
        <v>46040</v>
      </c>
      <c r="X6" s="78">
        <v>46041</v>
      </c>
      <c r="Y6" s="82">
        <v>46042</v>
      </c>
      <c r="Z6" s="83">
        <v>46043</v>
      </c>
      <c r="AA6" s="77">
        <v>46044</v>
      </c>
      <c r="AB6" s="78">
        <v>46045</v>
      </c>
      <c r="AC6" s="89">
        <v>46046</v>
      </c>
      <c r="AD6" s="88">
        <v>46047</v>
      </c>
      <c r="AE6" s="82">
        <v>46048</v>
      </c>
      <c r="AF6" s="83">
        <v>46049</v>
      </c>
      <c r="AG6" s="82">
        <v>46050</v>
      </c>
      <c r="AH6" s="78">
        <v>46051</v>
      </c>
      <c r="AI6" s="77">
        <v>46052</v>
      </c>
      <c r="AJ6" s="93">
        <v>46053</v>
      </c>
      <c r="AK6" s="68"/>
      <c r="AL6" s="68"/>
      <c r="AM6" s="68"/>
      <c r="AN6" s="68"/>
      <c r="AO6" s="68"/>
    </row>
    <row r="7" spans="1:41" ht="15.6" customHeight="1">
      <c r="A7" s="36"/>
      <c r="B7" s="37" t="s">
        <v>3</v>
      </c>
      <c r="C7" s="38" t="s">
        <v>4</v>
      </c>
      <c r="D7" s="36" t="s">
        <v>5</v>
      </c>
      <c r="E7" s="41" t="s">
        <v>99</v>
      </c>
      <c r="F7" s="86" t="s">
        <v>103</v>
      </c>
      <c r="G7" s="79" t="s">
        <v>104</v>
      </c>
      <c r="H7" s="90" t="s">
        <v>105</v>
      </c>
      <c r="I7" s="90" t="s">
        <v>106</v>
      </c>
      <c r="J7" s="79" t="s">
        <v>100</v>
      </c>
      <c r="K7" s="84" t="s">
        <v>101</v>
      </c>
      <c r="L7" s="84" t="s">
        <v>102</v>
      </c>
      <c r="M7" s="79" t="s">
        <v>103</v>
      </c>
      <c r="N7" s="79" t="s">
        <v>104</v>
      </c>
      <c r="O7" s="90" t="s">
        <v>105</v>
      </c>
      <c r="P7" s="90" t="s">
        <v>106</v>
      </c>
      <c r="Q7" s="79" t="s">
        <v>100</v>
      </c>
      <c r="R7" s="84" t="s">
        <v>101</v>
      </c>
      <c r="S7" s="84" t="s">
        <v>102</v>
      </c>
      <c r="T7" s="79" t="s">
        <v>103</v>
      </c>
      <c r="U7" s="79" t="s">
        <v>104</v>
      </c>
      <c r="V7" s="90" t="s">
        <v>105</v>
      </c>
      <c r="W7" s="90" t="s">
        <v>106</v>
      </c>
      <c r="X7" s="79" t="s">
        <v>100</v>
      </c>
      <c r="Y7" s="84" t="s">
        <v>101</v>
      </c>
      <c r="Z7" s="84" t="s">
        <v>102</v>
      </c>
      <c r="AA7" s="79" t="s">
        <v>103</v>
      </c>
      <c r="AB7" s="79" t="s">
        <v>104</v>
      </c>
      <c r="AC7" s="90" t="s">
        <v>105</v>
      </c>
      <c r="AD7" s="90" t="s">
        <v>106</v>
      </c>
      <c r="AE7" s="84" t="s">
        <v>100</v>
      </c>
      <c r="AF7" s="84" t="s">
        <v>101</v>
      </c>
      <c r="AG7" s="84" t="s">
        <v>102</v>
      </c>
      <c r="AH7" s="79" t="s">
        <v>103</v>
      </c>
      <c r="AI7" s="79" t="s">
        <v>104</v>
      </c>
      <c r="AJ7" s="94" t="s">
        <v>105</v>
      </c>
    </row>
    <row r="8" spans="1:41" ht="15.6" customHeight="1">
      <c r="A8" s="8">
        <v>1</v>
      </c>
      <c r="B8" s="122" t="s">
        <v>25</v>
      </c>
      <c r="C8" s="123" t="s">
        <v>26</v>
      </c>
      <c r="D8" s="138" t="s">
        <v>27</v>
      </c>
      <c r="E8" s="155">
        <f>SUM(F8:AJ8)</f>
        <v>0</v>
      </c>
      <c r="F8" s="140">
        <f>COUNTIFS('2026 Time Off Request'!$A:$A,'Jan 2026'!$D8,'2026 Time Off Request'!$L:$L,'Jan 2026'!F$6)</f>
        <v>0</v>
      </c>
      <c r="G8" s="141">
        <f>COUNTIFS('2026 Time Off Request'!$A:$A,'Jan 2026'!$D8,'2026 Time Off Request'!$L:$L,'Jan 2026'!G$6)</f>
        <v>0</v>
      </c>
      <c r="H8" s="142">
        <f>COUNTIFS('2026 Time Off Request'!$A:$A,'Jan 2026'!$D8,'2026 Time Off Request'!$L:$L,'Jan 2026'!H$6)</f>
        <v>0</v>
      </c>
      <c r="I8" s="142">
        <f>COUNTIFS('2026 Time Off Request'!$A:$A,'Jan 2026'!$D8,'2026 Time Off Request'!$L:$L,'Jan 2026'!I$6)</f>
        <v>0</v>
      </c>
      <c r="J8" s="141">
        <f>COUNTIFS('2026 Time Off Request'!$A:$A,'Jan 2026'!$D8,'2026 Time Off Request'!$L:$L,'Jan 2026'!J$6)</f>
        <v>0</v>
      </c>
      <c r="K8" s="143">
        <f>COUNTIFS('2026 Time Off Request'!$A:$A,'Jan 2026'!$D8,'2026 Time Off Request'!$L:$L,'Jan 2026'!K$6)</f>
        <v>0</v>
      </c>
      <c r="L8" s="143">
        <f>COUNTIFS('2026 Time Off Request'!$A:$A,'Jan 2026'!$D8,'2026 Time Off Request'!$L:$L,'Jan 2026'!L$6)</f>
        <v>0</v>
      </c>
      <c r="M8" s="141">
        <f>COUNTIFS('2026 Time Off Request'!$A:$A,'Jan 2026'!$D8,'2026 Time Off Request'!$L:$L,'Jan 2026'!M$6)</f>
        <v>0</v>
      </c>
      <c r="N8" s="141">
        <f>COUNTIFS('2026 Time Off Request'!$A:$A,'Jan 2026'!$D8,'2026 Time Off Request'!$L:$L,'Jan 2026'!N$6)</f>
        <v>0</v>
      </c>
      <c r="O8" s="142">
        <f>COUNTIFS('2026 Time Off Request'!$A:$A,'Jan 2026'!$D8,'2026 Time Off Request'!$L:$L,'Jan 2026'!O$6)</f>
        <v>0</v>
      </c>
      <c r="P8" s="142">
        <f>COUNTIFS('2026 Time Off Request'!$A:$A,'Jan 2026'!$D8,'2026 Time Off Request'!$L:$L,'Jan 2026'!P$6)</f>
        <v>0</v>
      </c>
      <c r="Q8" s="141">
        <f>COUNTIFS('2026 Time Off Request'!$A:$A,'Jan 2026'!$D8,'2026 Time Off Request'!$L:$L,'Jan 2026'!Q$6)</f>
        <v>0</v>
      </c>
      <c r="R8" s="143">
        <f>COUNTIFS('2026 Time Off Request'!$A:$A,'Jan 2026'!$D8,'2026 Time Off Request'!$L:$L,'Jan 2026'!R$6)</f>
        <v>0</v>
      </c>
      <c r="S8" s="143">
        <f>COUNTIFS('2026 Time Off Request'!$A:$A,'Jan 2026'!$D8,'2026 Time Off Request'!$L:$L,'Jan 2026'!S$6)</f>
        <v>0</v>
      </c>
      <c r="T8" s="141">
        <f>COUNTIFS('2026 Time Off Request'!$A:$A,'Jan 2026'!$D8,'2026 Time Off Request'!$L:$L,'Jan 2026'!T$6)</f>
        <v>0</v>
      </c>
      <c r="U8" s="141">
        <f>COUNTIFS('2026 Time Off Request'!$A:$A,'Jan 2026'!$D8,'2026 Time Off Request'!$L:$L,'Jan 2026'!U$6)</f>
        <v>0</v>
      </c>
      <c r="V8" s="142">
        <f>COUNTIFS('2026 Time Off Request'!$A:$A,'Jan 2026'!$D8,'2026 Time Off Request'!$L:$L,'Jan 2026'!V$6)</f>
        <v>0</v>
      </c>
      <c r="W8" s="142">
        <f>COUNTIFS('2026 Time Off Request'!$A:$A,'Jan 2026'!$D8,'2026 Time Off Request'!$L:$L,'Jan 2026'!W$6)</f>
        <v>0</v>
      </c>
      <c r="X8" s="141">
        <f>COUNTIFS('2026 Time Off Request'!$A:$A,'Jan 2026'!$D8,'2026 Time Off Request'!$L:$L,'Jan 2026'!X$6)</f>
        <v>0</v>
      </c>
      <c r="Y8" s="143">
        <f>COUNTIFS('2026 Time Off Request'!$A:$A,'Jan 2026'!$D8,'2026 Time Off Request'!$L:$L,'Jan 2026'!Y$6)</f>
        <v>0</v>
      </c>
      <c r="Z8" s="143">
        <f>COUNTIFS('2026 Time Off Request'!$A:$A,'Jan 2026'!$D8,'2026 Time Off Request'!$L:$L,'Jan 2026'!Z$6)</f>
        <v>0</v>
      </c>
      <c r="AA8" s="141">
        <f>COUNTIFS('2026 Time Off Request'!$A:$A,'Jan 2026'!$D8,'2026 Time Off Request'!$L:$L,'Jan 2026'!AA$6)</f>
        <v>0</v>
      </c>
      <c r="AB8" s="141">
        <f>COUNTIFS('2026 Time Off Request'!$A:$A,'Jan 2026'!$D8,'2026 Time Off Request'!$L:$L,'Jan 2026'!AB$6)</f>
        <v>0</v>
      </c>
      <c r="AC8" s="142">
        <f>COUNTIFS('2026 Time Off Request'!$A:$A,'Jan 2026'!$D8,'2026 Time Off Request'!$L:$L,'Jan 2026'!AC$6)</f>
        <v>0</v>
      </c>
      <c r="AD8" s="142">
        <f>COUNTIFS('2026 Time Off Request'!$A:$A,'Jan 2026'!$D8,'2026 Time Off Request'!$L:$L,'Jan 2026'!AD$6)</f>
        <v>0</v>
      </c>
      <c r="AE8" s="143">
        <f>COUNTIFS('2026 Time Off Request'!$A:$A,'Jan 2026'!$D8,'2026 Time Off Request'!$L:$L,'Jan 2026'!AE$6)</f>
        <v>0</v>
      </c>
      <c r="AF8" s="143">
        <f>COUNTIFS('2026 Time Off Request'!$A:$A,'Jan 2026'!$D8,'2026 Time Off Request'!$L:$L,'Jan 2026'!AF$6)</f>
        <v>0</v>
      </c>
      <c r="AG8" s="143">
        <f>COUNTIFS('2026 Time Off Request'!$A:$A,'Jan 2026'!$D8,'2026 Time Off Request'!$L:$L,'Jan 2026'!AG$6)</f>
        <v>0</v>
      </c>
      <c r="AH8" s="141">
        <f>COUNTIFS('2026 Time Off Request'!$A:$A,'Jan 2026'!$D8,'2026 Time Off Request'!$L:$L,'Jan 2026'!AH$6)</f>
        <v>0</v>
      </c>
      <c r="AI8" s="141">
        <f>COUNTIFS('2026 Time Off Request'!$A:$A,'Jan 2026'!$D8,'2026 Time Off Request'!$L:$L,'Jan 2026'!AI$6)</f>
        <v>0</v>
      </c>
      <c r="AJ8" s="144">
        <f>COUNTIFS('2026 Time Off Request'!$A:$A,'Jan 2026'!$D8,'2026 Time Off Request'!$L:$L,'Jan 2026'!AJ$6)</f>
        <v>0</v>
      </c>
    </row>
    <row r="9" spans="1:41" ht="15.6" customHeight="1">
      <c r="A9" s="8">
        <v>2</v>
      </c>
      <c r="B9" s="124" t="s">
        <v>25</v>
      </c>
      <c r="C9" s="120" t="s">
        <v>28</v>
      </c>
      <c r="D9" s="139" t="s">
        <v>29</v>
      </c>
      <c r="E9" s="156">
        <f t="shared" ref="E9:E43" si="2">SUM(F9:AJ9)</f>
        <v>0</v>
      </c>
      <c r="F9" s="145">
        <f>COUNTIFS('2026 Time Off Request'!$A:$A,'Jan 2026'!$D9,'2026 Time Off Request'!$L:$L,'Jan 2026'!F$6)</f>
        <v>0</v>
      </c>
      <c r="G9" s="146">
        <f>COUNTIFS('2026 Time Off Request'!$A:$A,'Jan 2026'!$D9,'2026 Time Off Request'!$L:$L,'Jan 2026'!G$6)</f>
        <v>0</v>
      </c>
      <c r="H9" s="147">
        <f>COUNTIFS('2026 Time Off Request'!$A:$A,'Jan 2026'!$D9,'2026 Time Off Request'!$L:$L,'Jan 2026'!H$6)</f>
        <v>0</v>
      </c>
      <c r="I9" s="147">
        <f>COUNTIFS('2026 Time Off Request'!$A:$A,'Jan 2026'!$D9,'2026 Time Off Request'!$L:$L,'Jan 2026'!I$6)</f>
        <v>0</v>
      </c>
      <c r="J9" s="146">
        <f>COUNTIFS('2026 Time Off Request'!$A:$A,'Jan 2026'!$D9,'2026 Time Off Request'!$L:$L,'Jan 2026'!J$6)</f>
        <v>0</v>
      </c>
      <c r="K9" s="148">
        <f>COUNTIFS('2026 Time Off Request'!$A:$A,'Jan 2026'!$D9,'2026 Time Off Request'!$L:$L,'Jan 2026'!K$6)</f>
        <v>0</v>
      </c>
      <c r="L9" s="148">
        <f>COUNTIFS('2026 Time Off Request'!$A:$A,'Jan 2026'!$D9,'2026 Time Off Request'!$L:$L,'Jan 2026'!L$6)</f>
        <v>0</v>
      </c>
      <c r="M9" s="146">
        <f>COUNTIFS('2026 Time Off Request'!$A:$A,'Jan 2026'!$D9,'2026 Time Off Request'!$L:$L,'Jan 2026'!M$6)</f>
        <v>0</v>
      </c>
      <c r="N9" s="146">
        <f>COUNTIFS('2026 Time Off Request'!$A:$A,'Jan 2026'!$D9,'2026 Time Off Request'!$L:$L,'Jan 2026'!N$6)</f>
        <v>0</v>
      </c>
      <c r="O9" s="147">
        <f>COUNTIFS('2026 Time Off Request'!$A:$A,'Jan 2026'!$D9,'2026 Time Off Request'!$L:$L,'Jan 2026'!O$6)</f>
        <v>0</v>
      </c>
      <c r="P9" s="147">
        <f>COUNTIFS('2026 Time Off Request'!$A:$A,'Jan 2026'!$D9,'2026 Time Off Request'!$L:$L,'Jan 2026'!P$6)</f>
        <v>0</v>
      </c>
      <c r="Q9" s="146">
        <f>COUNTIFS('2026 Time Off Request'!$A:$A,'Jan 2026'!$D9,'2026 Time Off Request'!$L:$L,'Jan 2026'!Q$6)</f>
        <v>0</v>
      </c>
      <c r="R9" s="148">
        <f>COUNTIFS('2026 Time Off Request'!$A:$A,'Jan 2026'!$D9,'2026 Time Off Request'!$L:$L,'Jan 2026'!R$6)</f>
        <v>0</v>
      </c>
      <c r="S9" s="148">
        <f>COUNTIFS('2026 Time Off Request'!$A:$A,'Jan 2026'!$D9,'2026 Time Off Request'!$L:$L,'Jan 2026'!S$6)</f>
        <v>0</v>
      </c>
      <c r="T9" s="146">
        <f>COUNTIFS('2026 Time Off Request'!$A:$A,'Jan 2026'!$D9,'2026 Time Off Request'!$L:$L,'Jan 2026'!T$6)</f>
        <v>0</v>
      </c>
      <c r="U9" s="146">
        <f>COUNTIFS('2026 Time Off Request'!$A:$A,'Jan 2026'!$D9,'2026 Time Off Request'!$L:$L,'Jan 2026'!U$6)</f>
        <v>0</v>
      </c>
      <c r="V9" s="147">
        <f>COUNTIFS('2026 Time Off Request'!$A:$A,'Jan 2026'!$D9,'2026 Time Off Request'!$L:$L,'Jan 2026'!V$6)</f>
        <v>0</v>
      </c>
      <c r="W9" s="147">
        <f>COUNTIFS('2026 Time Off Request'!$A:$A,'Jan 2026'!$D9,'2026 Time Off Request'!$L:$L,'Jan 2026'!W$6)</f>
        <v>0</v>
      </c>
      <c r="X9" s="146">
        <f>COUNTIFS('2026 Time Off Request'!$A:$A,'Jan 2026'!$D9,'2026 Time Off Request'!$L:$L,'Jan 2026'!X$6)</f>
        <v>0</v>
      </c>
      <c r="Y9" s="148">
        <f>COUNTIFS('2026 Time Off Request'!$A:$A,'Jan 2026'!$D9,'2026 Time Off Request'!$L:$L,'Jan 2026'!Y$6)</f>
        <v>0</v>
      </c>
      <c r="Z9" s="148">
        <f>COUNTIFS('2026 Time Off Request'!$A:$A,'Jan 2026'!$D9,'2026 Time Off Request'!$L:$L,'Jan 2026'!Z$6)</f>
        <v>0</v>
      </c>
      <c r="AA9" s="146">
        <f>COUNTIFS('2026 Time Off Request'!$A:$A,'Jan 2026'!$D9,'2026 Time Off Request'!$L:$L,'Jan 2026'!AA$6)</f>
        <v>0</v>
      </c>
      <c r="AB9" s="146">
        <f>COUNTIFS('2026 Time Off Request'!$A:$A,'Jan 2026'!$D9,'2026 Time Off Request'!$L:$L,'Jan 2026'!AB$6)</f>
        <v>0</v>
      </c>
      <c r="AC9" s="147">
        <f>COUNTIFS('2026 Time Off Request'!$A:$A,'Jan 2026'!$D9,'2026 Time Off Request'!$L:$L,'Jan 2026'!AC$6)</f>
        <v>0</v>
      </c>
      <c r="AD9" s="147">
        <f>COUNTIFS('2026 Time Off Request'!$A:$A,'Jan 2026'!$D9,'2026 Time Off Request'!$L:$L,'Jan 2026'!AD$6)</f>
        <v>0</v>
      </c>
      <c r="AE9" s="148">
        <f>COUNTIFS('2026 Time Off Request'!$A:$A,'Jan 2026'!$D9,'2026 Time Off Request'!$L:$L,'Jan 2026'!AE$6)</f>
        <v>0</v>
      </c>
      <c r="AF9" s="148">
        <f>COUNTIFS('2026 Time Off Request'!$A:$A,'Jan 2026'!$D9,'2026 Time Off Request'!$L:$L,'Jan 2026'!AF$6)</f>
        <v>0</v>
      </c>
      <c r="AG9" s="148">
        <f>COUNTIFS('2026 Time Off Request'!$A:$A,'Jan 2026'!$D9,'2026 Time Off Request'!$L:$L,'Jan 2026'!AG$6)</f>
        <v>0</v>
      </c>
      <c r="AH9" s="146">
        <f>COUNTIFS('2026 Time Off Request'!$A:$A,'Jan 2026'!$D9,'2026 Time Off Request'!$L:$L,'Jan 2026'!AH$6)</f>
        <v>0</v>
      </c>
      <c r="AI9" s="146">
        <f>COUNTIFS('2026 Time Off Request'!$A:$A,'Jan 2026'!$D9,'2026 Time Off Request'!$L:$L,'Jan 2026'!AI$6)</f>
        <v>0</v>
      </c>
      <c r="AJ9" s="149">
        <f>COUNTIFS('2026 Time Off Request'!$A:$A,'Jan 2026'!$D9,'2026 Time Off Request'!$L:$L,'Jan 2026'!AJ$6)</f>
        <v>0</v>
      </c>
    </row>
    <row r="10" spans="1:41" ht="15.6" customHeight="1">
      <c r="A10" s="8">
        <v>3</v>
      </c>
      <c r="B10" s="124" t="s">
        <v>25</v>
      </c>
      <c r="C10" s="120" t="s">
        <v>30</v>
      </c>
      <c r="D10" s="139" t="s">
        <v>31</v>
      </c>
      <c r="E10" s="156">
        <f t="shared" si="2"/>
        <v>0</v>
      </c>
      <c r="F10" s="145">
        <f>COUNTIFS('2026 Time Off Request'!$A:$A,'Jan 2026'!$D10,'2026 Time Off Request'!$L:$L,'Jan 2026'!F$6)</f>
        <v>0</v>
      </c>
      <c r="G10" s="146">
        <f>COUNTIFS('2026 Time Off Request'!$A:$A,'Jan 2026'!$D10,'2026 Time Off Request'!$L:$L,'Jan 2026'!G$6)</f>
        <v>0</v>
      </c>
      <c r="H10" s="147">
        <f>COUNTIFS('2026 Time Off Request'!$A:$A,'Jan 2026'!$D10,'2026 Time Off Request'!$L:$L,'Jan 2026'!H$6)</f>
        <v>0</v>
      </c>
      <c r="I10" s="147">
        <f>COUNTIFS('2026 Time Off Request'!$A:$A,'Jan 2026'!$D10,'2026 Time Off Request'!$L:$L,'Jan 2026'!I$6)</f>
        <v>0</v>
      </c>
      <c r="J10" s="146">
        <f>COUNTIFS('2026 Time Off Request'!$A:$A,'Jan 2026'!$D10,'2026 Time Off Request'!$L:$L,'Jan 2026'!J$6)</f>
        <v>0</v>
      </c>
      <c r="K10" s="148">
        <f>COUNTIFS('2026 Time Off Request'!$A:$A,'Jan 2026'!$D10,'2026 Time Off Request'!$L:$L,'Jan 2026'!K$6)</f>
        <v>0</v>
      </c>
      <c r="L10" s="148">
        <f>COUNTIFS('2026 Time Off Request'!$A:$A,'Jan 2026'!$D10,'2026 Time Off Request'!$L:$L,'Jan 2026'!L$6)</f>
        <v>0</v>
      </c>
      <c r="M10" s="146">
        <f>COUNTIFS('2026 Time Off Request'!$A:$A,'Jan 2026'!$D10,'2026 Time Off Request'!$L:$L,'Jan 2026'!M$6)</f>
        <v>0</v>
      </c>
      <c r="N10" s="146">
        <f>COUNTIFS('2026 Time Off Request'!$A:$A,'Jan 2026'!$D10,'2026 Time Off Request'!$L:$L,'Jan 2026'!N$6)</f>
        <v>0</v>
      </c>
      <c r="O10" s="147">
        <f>COUNTIFS('2026 Time Off Request'!$A:$A,'Jan 2026'!$D10,'2026 Time Off Request'!$L:$L,'Jan 2026'!O$6)</f>
        <v>0</v>
      </c>
      <c r="P10" s="147">
        <f>COUNTIFS('2026 Time Off Request'!$A:$A,'Jan 2026'!$D10,'2026 Time Off Request'!$L:$L,'Jan 2026'!P$6)</f>
        <v>0</v>
      </c>
      <c r="Q10" s="146">
        <f>COUNTIFS('2026 Time Off Request'!$A:$A,'Jan 2026'!$D10,'2026 Time Off Request'!$L:$L,'Jan 2026'!Q$6)</f>
        <v>0</v>
      </c>
      <c r="R10" s="148">
        <f>COUNTIFS('2026 Time Off Request'!$A:$A,'Jan 2026'!$D10,'2026 Time Off Request'!$L:$L,'Jan 2026'!R$6)</f>
        <v>0</v>
      </c>
      <c r="S10" s="148">
        <f>COUNTIFS('2026 Time Off Request'!$A:$A,'Jan 2026'!$D10,'2026 Time Off Request'!$L:$L,'Jan 2026'!S$6)</f>
        <v>0</v>
      </c>
      <c r="T10" s="146">
        <f>COUNTIFS('2026 Time Off Request'!$A:$A,'Jan 2026'!$D10,'2026 Time Off Request'!$L:$L,'Jan 2026'!T$6)</f>
        <v>0</v>
      </c>
      <c r="U10" s="146">
        <f>COUNTIFS('2026 Time Off Request'!$A:$A,'Jan 2026'!$D10,'2026 Time Off Request'!$L:$L,'Jan 2026'!U$6)</f>
        <v>0</v>
      </c>
      <c r="V10" s="147">
        <f>COUNTIFS('2026 Time Off Request'!$A:$A,'Jan 2026'!$D10,'2026 Time Off Request'!$L:$L,'Jan 2026'!V$6)</f>
        <v>0</v>
      </c>
      <c r="W10" s="147">
        <f>COUNTIFS('2026 Time Off Request'!$A:$A,'Jan 2026'!$D10,'2026 Time Off Request'!$L:$L,'Jan 2026'!W$6)</f>
        <v>0</v>
      </c>
      <c r="X10" s="146">
        <f>COUNTIFS('2026 Time Off Request'!$A:$A,'Jan 2026'!$D10,'2026 Time Off Request'!$L:$L,'Jan 2026'!X$6)</f>
        <v>0</v>
      </c>
      <c r="Y10" s="148">
        <f>COUNTIFS('2026 Time Off Request'!$A:$A,'Jan 2026'!$D10,'2026 Time Off Request'!$L:$L,'Jan 2026'!Y$6)</f>
        <v>0</v>
      </c>
      <c r="Z10" s="148">
        <f>COUNTIFS('2026 Time Off Request'!$A:$A,'Jan 2026'!$D10,'2026 Time Off Request'!$L:$L,'Jan 2026'!Z$6)</f>
        <v>0</v>
      </c>
      <c r="AA10" s="146">
        <f>COUNTIFS('2026 Time Off Request'!$A:$A,'Jan 2026'!$D10,'2026 Time Off Request'!$L:$L,'Jan 2026'!AA$6)</f>
        <v>0</v>
      </c>
      <c r="AB10" s="146">
        <f>COUNTIFS('2026 Time Off Request'!$A:$A,'Jan 2026'!$D10,'2026 Time Off Request'!$L:$L,'Jan 2026'!AB$6)</f>
        <v>0</v>
      </c>
      <c r="AC10" s="147">
        <f>COUNTIFS('2026 Time Off Request'!$A:$A,'Jan 2026'!$D10,'2026 Time Off Request'!$L:$L,'Jan 2026'!AC$6)</f>
        <v>0</v>
      </c>
      <c r="AD10" s="147">
        <f>COUNTIFS('2026 Time Off Request'!$A:$A,'Jan 2026'!$D10,'2026 Time Off Request'!$L:$L,'Jan 2026'!AD$6)</f>
        <v>0</v>
      </c>
      <c r="AE10" s="148">
        <f>COUNTIFS('2026 Time Off Request'!$A:$A,'Jan 2026'!$D10,'2026 Time Off Request'!$L:$L,'Jan 2026'!AE$6)</f>
        <v>0</v>
      </c>
      <c r="AF10" s="148">
        <f>COUNTIFS('2026 Time Off Request'!$A:$A,'Jan 2026'!$D10,'2026 Time Off Request'!$L:$L,'Jan 2026'!AF$6)</f>
        <v>0</v>
      </c>
      <c r="AG10" s="148">
        <f>COUNTIFS('2026 Time Off Request'!$A:$A,'Jan 2026'!$D10,'2026 Time Off Request'!$L:$L,'Jan 2026'!AG$6)</f>
        <v>0</v>
      </c>
      <c r="AH10" s="146">
        <f>COUNTIFS('2026 Time Off Request'!$A:$A,'Jan 2026'!$D10,'2026 Time Off Request'!$L:$L,'Jan 2026'!AH$6)</f>
        <v>0</v>
      </c>
      <c r="AI10" s="146">
        <f>COUNTIFS('2026 Time Off Request'!$A:$A,'Jan 2026'!$D10,'2026 Time Off Request'!$L:$L,'Jan 2026'!AI$6)</f>
        <v>0</v>
      </c>
      <c r="AJ10" s="149">
        <f>COUNTIFS('2026 Time Off Request'!$A:$A,'Jan 2026'!$D10,'2026 Time Off Request'!$L:$L,'Jan 2026'!AJ$6)</f>
        <v>0</v>
      </c>
    </row>
    <row r="11" spans="1:41" ht="15.6" customHeight="1">
      <c r="A11" s="8">
        <v>4</v>
      </c>
      <c r="B11" s="124" t="s">
        <v>25</v>
      </c>
      <c r="C11" s="120" t="s">
        <v>32</v>
      </c>
      <c r="D11" s="139" t="s">
        <v>33</v>
      </c>
      <c r="E11" s="156">
        <f t="shared" si="2"/>
        <v>1</v>
      </c>
      <c r="F11" s="145">
        <f>COUNTIFS('2026 Time Off Request'!$A:$A,'Jan 2026'!$D11,'2026 Time Off Request'!$L:$L,'Jan 2026'!F$6)</f>
        <v>0</v>
      </c>
      <c r="G11" s="146">
        <f>COUNTIFS('2026 Time Off Request'!$A:$A,'Jan 2026'!$D11,'2026 Time Off Request'!$L:$L,'Jan 2026'!G$6)</f>
        <v>0</v>
      </c>
      <c r="H11" s="147">
        <f>COUNTIFS('2026 Time Off Request'!$A:$A,'Jan 2026'!$D11,'2026 Time Off Request'!$L:$L,'Jan 2026'!H$6)</f>
        <v>0</v>
      </c>
      <c r="I11" s="147">
        <f>COUNTIFS('2026 Time Off Request'!$A:$A,'Jan 2026'!$D11,'2026 Time Off Request'!$L:$L,'Jan 2026'!I$6)</f>
        <v>0</v>
      </c>
      <c r="J11" s="146">
        <f>COUNTIFS('2026 Time Off Request'!$A:$A,'Jan 2026'!$D11,'2026 Time Off Request'!$L:$L,'Jan 2026'!J$6)</f>
        <v>0</v>
      </c>
      <c r="K11" s="148">
        <f>COUNTIFS('2026 Time Off Request'!$A:$A,'Jan 2026'!$D11,'2026 Time Off Request'!$L:$L,'Jan 2026'!K$6)</f>
        <v>0</v>
      </c>
      <c r="L11" s="148">
        <f>COUNTIFS('2026 Time Off Request'!$A:$A,'Jan 2026'!$D11,'2026 Time Off Request'!$L:$L,'Jan 2026'!L$6)</f>
        <v>1</v>
      </c>
      <c r="M11" s="146">
        <f>COUNTIFS('2026 Time Off Request'!$A:$A,'Jan 2026'!$D11,'2026 Time Off Request'!$L:$L,'Jan 2026'!M$6)</f>
        <v>0</v>
      </c>
      <c r="N11" s="146">
        <f>COUNTIFS('2026 Time Off Request'!$A:$A,'Jan 2026'!$D11,'2026 Time Off Request'!$L:$L,'Jan 2026'!N$6)</f>
        <v>0</v>
      </c>
      <c r="O11" s="147">
        <f>COUNTIFS('2026 Time Off Request'!$A:$A,'Jan 2026'!$D11,'2026 Time Off Request'!$L:$L,'Jan 2026'!O$6)</f>
        <v>0</v>
      </c>
      <c r="P11" s="147">
        <f>COUNTIFS('2026 Time Off Request'!$A:$A,'Jan 2026'!$D11,'2026 Time Off Request'!$L:$L,'Jan 2026'!P$6)</f>
        <v>0</v>
      </c>
      <c r="Q11" s="146">
        <f>COUNTIFS('2026 Time Off Request'!$A:$A,'Jan 2026'!$D11,'2026 Time Off Request'!$L:$L,'Jan 2026'!Q$6)</f>
        <v>0</v>
      </c>
      <c r="R11" s="148">
        <f>COUNTIFS('2026 Time Off Request'!$A:$A,'Jan 2026'!$D11,'2026 Time Off Request'!$L:$L,'Jan 2026'!R$6)</f>
        <v>0</v>
      </c>
      <c r="S11" s="148">
        <f>COUNTIFS('2026 Time Off Request'!$A:$A,'Jan 2026'!$D11,'2026 Time Off Request'!$L:$L,'Jan 2026'!S$6)</f>
        <v>0</v>
      </c>
      <c r="T11" s="146">
        <f>COUNTIFS('2026 Time Off Request'!$A:$A,'Jan 2026'!$D11,'2026 Time Off Request'!$L:$L,'Jan 2026'!T$6)</f>
        <v>0</v>
      </c>
      <c r="U11" s="146">
        <f>COUNTIFS('2026 Time Off Request'!$A:$A,'Jan 2026'!$D11,'2026 Time Off Request'!$L:$L,'Jan 2026'!U$6)</f>
        <v>0</v>
      </c>
      <c r="V11" s="147">
        <f>COUNTIFS('2026 Time Off Request'!$A:$A,'Jan 2026'!$D11,'2026 Time Off Request'!$L:$L,'Jan 2026'!V$6)</f>
        <v>0</v>
      </c>
      <c r="W11" s="147">
        <f>COUNTIFS('2026 Time Off Request'!$A:$A,'Jan 2026'!$D11,'2026 Time Off Request'!$L:$L,'Jan 2026'!W$6)</f>
        <v>0</v>
      </c>
      <c r="X11" s="146">
        <f>COUNTIFS('2026 Time Off Request'!$A:$A,'Jan 2026'!$D11,'2026 Time Off Request'!$L:$L,'Jan 2026'!X$6)</f>
        <v>0</v>
      </c>
      <c r="Y11" s="148">
        <f>COUNTIFS('2026 Time Off Request'!$A:$A,'Jan 2026'!$D11,'2026 Time Off Request'!$L:$L,'Jan 2026'!Y$6)</f>
        <v>0</v>
      </c>
      <c r="Z11" s="148">
        <f>COUNTIFS('2026 Time Off Request'!$A:$A,'Jan 2026'!$D11,'2026 Time Off Request'!$L:$L,'Jan 2026'!Z$6)</f>
        <v>0</v>
      </c>
      <c r="AA11" s="146">
        <f>COUNTIFS('2026 Time Off Request'!$A:$A,'Jan 2026'!$D11,'2026 Time Off Request'!$L:$L,'Jan 2026'!AA$6)</f>
        <v>0</v>
      </c>
      <c r="AB11" s="146">
        <f>COUNTIFS('2026 Time Off Request'!$A:$A,'Jan 2026'!$D11,'2026 Time Off Request'!$L:$L,'Jan 2026'!AB$6)</f>
        <v>0</v>
      </c>
      <c r="AC11" s="147">
        <f>COUNTIFS('2026 Time Off Request'!$A:$A,'Jan 2026'!$D11,'2026 Time Off Request'!$L:$L,'Jan 2026'!AC$6)</f>
        <v>0</v>
      </c>
      <c r="AD11" s="147">
        <f>COUNTIFS('2026 Time Off Request'!$A:$A,'Jan 2026'!$D11,'2026 Time Off Request'!$L:$L,'Jan 2026'!AD$6)</f>
        <v>0</v>
      </c>
      <c r="AE11" s="148">
        <f>COUNTIFS('2026 Time Off Request'!$A:$A,'Jan 2026'!$D11,'2026 Time Off Request'!$L:$L,'Jan 2026'!AE$6)</f>
        <v>0</v>
      </c>
      <c r="AF11" s="148">
        <f>COUNTIFS('2026 Time Off Request'!$A:$A,'Jan 2026'!$D11,'2026 Time Off Request'!$L:$L,'Jan 2026'!AF$6)</f>
        <v>0</v>
      </c>
      <c r="AG11" s="148">
        <f>COUNTIFS('2026 Time Off Request'!$A:$A,'Jan 2026'!$D11,'2026 Time Off Request'!$L:$L,'Jan 2026'!AG$6)</f>
        <v>0</v>
      </c>
      <c r="AH11" s="146">
        <f>COUNTIFS('2026 Time Off Request'!$A:$A,'Jan 2026'!$D11,'2026 Time Off Request'!$L:$L,'Jan 2026'!AH$6)</f>
        <v>0</v>
      </c>
      <c r="AI11" s="146">
        <f>COUNTIFS('2026 Time Off Request'!$A:$A,'Jan 2026'!$D11,'2026 Time Off Request'!$L:$L,'Jan 2026'!AI$6)</f>
        <v>0</v>
      </c>
      <c r="AJ11" s="149">
        <f>COUNTIFS('2026 Time Off Request'!$A:$A,'Jan 2026'!$D11,'2026 Time Off Request'!$L:$L,'Jan 2026'!AJ$6)</f>
        <v>0</v>
      </c>
    </row>
    <row r="12" spans="1:41" ht="15.6" customHeight="1">
      <c r="A12" s="8">
        <v>5</v>
      </c>
      <c r="B12" s="124" t="s">
        <v>25</v>
      </c>
      <c r="C12" s="120" t="s">
        <v>34</v>
      </c>
      <c r="D12" s="139" t="s">
        <v>35</v>
      </c>
      <c r="E12" s="156">
        <f t="shared" si="2"/>
        <v>0</v>
      </c>
      <c r="F12" s="145">
        <f>COUNTIFS('2026 Time Off Request'!$A:$A,'Jan 2026'!$D12,'2026 Time Off Request'!$L:$L,'Jan 2026'!F$6)</f>
        <v>0</v>
      </c>
      <c r="G12" s="146">
        <f>COUNTIFS('2026 Time Off Request'!$A:$A,'Jan 2026'!$D12,'2026 Time Off Request'!$L:$L,'Jan 2026'!G$6)</f>
        <v>0</v>
      </c>
      <c r="H12" s="147">
        <f>COUNTIFS('2026 Time Off Request'!$A:$A,'Jan 2026'!$D12,'2026 Time Off Request'!$L:$L,'Jan 2026'!H$6)</f>
        <v>0</v>
      </c>
      <c r="I12" s="147">
        <f>COUNTIFS('2026 Time Off Request'!$A:$A,'Jan 2026'!$D12,'2026 Time Off Request'!$L:$L,'Jan 2026'!I$6)</f>
        <v>0</v>
      </c>
      <c r="J12" s="146">
        <f>COUNTIFS('2026 Time Off Request'!$A:$A,'Jan 2026'!$D12,'2026 Time Off Request'!$L:$L,'Jan 2026'!J$6)</f>
        <v>0</v>
      </c>
      <c r="K12" s="148">
        <f>COUNTIFS('2026 Time Off Request'!$A:$A,'Jan 2026'!$D12,'2026 Time Off Request'!$L:$L,'Jan 2026'!K$6)</f>
        <v>0</v>
      </c>
      <c r="L12" s="148">
        <f>COUNTIFS('2026 Time Off Request'!$A:$A,'Jan 2026'!$D12,'2026 Time Off Request'!$L:$L,'Jan 2026'!L$6)</f>
        <v>0</v>
      </c>
      <c r="M12" s="146">
        <f>COUNTIFS('2026 Time Off Request'!$A:$A,'Jan 2026'!$D12,'2026 Time Off Request'!$L:$L,'Jan 2026'!M$6)</f>
        <v>0</v>
      </c>
      <c r="N12" s="146">
        <f>COUNTIFS('2026 Time Off Request'!$A:$A,'Jan 2026'!$D12,'2026 Time Off Request'!$L:$L,'Jan 2026'!N$6)</f>
        <v>0</v>
      </c>
      <c r="O12" s="147">
        <f>COUNTIFS('2026 Time Off Request'!$A:$A,'Jan 2026'!$D12,'2026 Time Off Request'!$L:$L,'Jan 2026'!O$6)</f>
        <v>0</v>
      </c>
      <c r="P12" s="147">
        <f>COUNTIFS('2026 Time Off Request'!$A:$A,'Jan 2026'!$D12,'2026 Time Off Request'!$L:$L,'Jan 2026'!P$6)</f>
        <v>0</v>
      </c>
      <c r="Q12" s="146">
        <f>COUNTIFS('2026 Time Off Request'!$A:$A,'Jan 2026'!$D12,'2026 Time Off Request'!$L:$L,'Jan 2026'!Q$6)</f>
        <v>0</v>
      </c>
      <c r="R12" s="148">
        <f>COUNTIFS('2026 Time Off Request'!$A:$A,'Jan 2026'!$D12,'2026 Time Off Request'!$L:$L,'Jan 2026'!R$6)</f>
        <v>0</v>
      </c>
      <c r="S12" s="148">
        <f>COUNTIFS('2026 Time Off Request'!$A:$A,'Jan 2026'!$D12,'2026 Time Off Request'!$L:$L,'Jan 2026'!S$6)</f>
        <v>0</v>
      </c>
      <c r="T12" s="146">
        <f>COUNTIFS('2026 Time Off Request'!$A:$A,'Jan 2026'!$D12,'2026 Time Off Request'!$L:$L,'Jan 2026'!T$6)</f>
        <v>0</v>
      </c>
      <c r="U12" s="146">
        <f>COUNTIFS('2026 Time Off Request'!$A:$A,'Jan 2026'!$D12,'2026 Time Off Request'!$L:$L,'Jan 2026'!U$6)</f>
        <v>0</v>
      </c>
      <c r="V12" s="147">
        <f>COUNTIFS('2026 Time Off Request'!$A:$A,'Jan 2026'!$D12,'2026 Time Off Request'!$L:$L,'Jan 2026'!V$6)</f>
        <v>0</v>
      </c>
      <c r="W12" s="147">
        <f>COUNTIFS('2026 Time Off Request'!$A:$A,'Jan 2026'!$D12,'2026 Time Off Request'!$L:$L,'Jan 2026'!W$6)</f>
        <v>0</v>
      </c>
      <c r="X12" s="146">
        <f>COUNTIFS('2026 Time Off Request'!$A:$A,'Jan 2026'!$D12,'2026 Time Off Request'!$L:$L,'Jan 2026'!X$6)</f>
        <v>0</v>
      </c>
      <c r="Y12" s="148">
        <f>COUNTIFS('2026 Time Off Request'!$A:$A,'Jan 2026'!$D12,'2026 Time Off Request'!$L:$L,'Jan 2026'!Y$6)</f>
        <v>0</v>
      </c>
      <c r="Z12" s="148">
        <f>COUNTIFS('2026 Time Off Request'!$A:$A,'Jan 2026'!$D12,'2026 Time Off Request'!$L:$L,'Jan 2026'!Z$6)</f>
        <v>0</v>
      </c>
      <c r="AA12" s="146">
        <f>COUNTIFS('2026 Time Off Request'!$A:$A,'Jan 2026'!$D12,'2026 Time Off Request'!$L:$L,'Jan 2026'!AA$6)</f>
        <v>0</v>
      </c>
      <c r="AB12" s="146">
        <f>COUNTIFS('2026 Time Off Request'!$A:$A,'Jan 2026'!$D12,'2026 Time Off Request'!$L:$L,'Jan 2026'!AB$6)</f>
        <v>0</v>
      </c>
      <c r="AC12" s="147">
        <f>COUNTIFS('2026 Time Off Request'!$A:$A,'Jan 2026'!$D12,'2026 Time Off Request'!$L:$L,'Jan 2026'!AC$6)</f>
        <v>0</v>
      </c>
      <c r="AD12" s="147">
        <f>COUNTIFS('2026 Time Off Request'!$A:$A,'Jan 2026'!$D12,'2026 Time Off Request'!$L:$L,'Jan 2026'!AD$6)</f>
        <v>0</v>
      </c>
      <c r="AE12" s="148">
        <f>COUNTIFS('2026 Time Off Request'!$A:$A,'Jan 2026'!$D12,'2026 Time Off Request'!$L:$L,'Jan 2026'!AE$6)</f>
        <v>0</v>
      </c>
      <c r="AF12" s="148">
        <f>COUNTIFS('2026 Time Off Request'!$A:$A,'Jan 2026'!$D12,'2026 Time Off Request'!$L:$L,'Jan 2026'!AF$6)</f>
        <v>0</v>
      </c>
      <c r="AG12" s="148">
        <f>COUNTIFS('2026 Time Off Request'!$A:$A,'Jan 2026'!$D12,'2026 Time Off Request'!$L:$L,'Jan 2026'!AG$6)</f>
        <v>0</v>
      </c>
      <c r="AH12" s="146">
        <f>COUNTIFS('2026 Time Off Request'!$A:$A,'Jan 2026'!$D12,'2026 Time Off Request'!$L:$L,'Jan 2026'!AH$6)</f>
        <v>0</v>
      </c>
      <c r="AI12" s="146">
        <f>COUNTIFS('2026 Time Off Request'!$A:$A,'Jan 2026'!$D12,'2026 Time Off Request'!$L:$L,'Jan 2026'!AI$6)</f>
        <v>0</v>
      </c>
      <c r="AJ12" s="149">
        <f>COUNTIFS('2026 Time Off Request'!$A:$A,'Jan 2026'!$D12,'2026 Time Off Request'!$L:$L,'Jan 2026'!AJ$6)</f>
        <v>0</v>
      </c>
    </row>
    <row r="13" spans="1:41" ht="15.6" customHeight="1">
      <c r="A13" s="8">
        <v>6</v>
      </c>
      <c r="B13" s="124" t="s">
        <v>25</v>
      </c>
      <c r="C13" s="120" t="s">
        <v>108</v>
      </c>
      <c r="D13" s="139" t="s">
        <v>109</v>
      </c>
      <c r="E13" s="156">
        <f t="shared" si="2"/>
        <v>0</v>
      </c>
      <c r="F13" s="145">
        <f>COUNTIFS('2026 Time Off Request'!$A:$A,'Jan 2026'!$D13,'2026 Time Off Request'!$L:$L,'Jan 2026'!F$6)</f>
        <v>0</v>
      </c>
      <c r="G13" s="146">
        <f>COUNTIFS('2026 Time Off Request'!$A:$A,'Jan 2026'!$D13,'2026 Time Off Request'!$L:$L,'Jan 2026'!G$6)</f>
        <v>0</v>
      </c>
      <c r="H13" s="147">
        <f>COUNTIFS('2026 Time Off Request'!$A:$A,'Jan 2026'!$D13,'2026 Time Off Request'!$L:$L,'Jan 2026'!H$6)</f>
        <v>0</v>
      </c>
      <c r="I13" s="147">
        <f>COUNTIFS('2026 Time Off Request'!$A:$A,'Jan 2026'!$D13,'2026 Time Off Request'!$L:$L,'Jan 2026'!I$6)</f>
        <v>0</v>
      </c>
      <c r="J13" s="146">
        <f>COUNTIFS('2026 Time Off Request'!$A:$A,'Jan 2026'!$D13,'2026 Time Off Request'!$L:$L,'Jan 2026'!J$6)</f>
        <v>0</v>
      </c>
      <c r="K13" s="148">
        <f>COUNTIFS('2026 Time Off Request'!$A:$A,'Jan 2026'!$D13,'2026 Time Off Request'!$L:$L,'Jan 2026'!K$6)</f>
        <v>0</v>
      </c>
      <c r="L13" s="148">
        <f>COUNTIFS('2026 Time Off Request'!$A:$A,'Jan 2026'!$D13,'2026 Time Off Request'!$L:$L,'Jan 2026'!L$6)</f>
        <v>0</v>
      </c>
      <c r="M13" s="146">
        <f>COUNTIFS('2026 Time Off Request'!$A:$A,'Jan 2026'!$D13,'2026 Time Off Request'!$L:$L,'Jan 2026'!M$6)</f>
        <v>0</v>
      </c>
      <c r="N13" s="146">
        <f>COUNTIFS('2026 Time Off Request'!$A:$A,'Jan 2026'!$D13,'2026 Time Off Request'!$L:$L,'Jan 2026'!N$6)</f>
        <v>0</v>
      </c>
      <c r="O13" s="147">
        <f>COUNTIFS('2026 Time Off Request'!$A:$A,'Jan 2026'!$D13,'2026 Time Off Request'!$L:$L,'Jan 2026'!O$6)</f>
        <v>0</v>
      </c>
      <c r="P13" s="147">
        <f>COUNTIFS('2026 Time Off Request'!$A:$A,'Jan 2026'!$D13,'2026 Time Off Request'!$L:$L,'Jan 2026'!P$6)</f>
        <v>0</v>
      </c>
      <c r="Q13" s="146">
        <f>COUNTIFS('2026 Time Off Request'!$A:$A,'Jan 2026'!$D13,'2026 Time Off Request'!$L:$L,'Jan 2026'!Q$6)</f>
        <v>0</v>
      </c>
      <c r="R13" s="148">
        <f>COUNTIFS('2026 Time Off Request'!$A:$A,'Jan 2026'!$D13,'2026 Time Off Request'!$L:$L,'Jan 2026'!R$6)</f>
        <v>0</v>
      </c>
      <c r="S13" s="148">
        <f>COUNTIFS('2026 Time Off Request'!$A:$A,'Jan 2026'!$D13,'2026 Time Off Request'!$L:$L,'Jan 2026'!S$6)</f>
        <v>0</v>
      </c>
      <c r="T13" s="146">
        <f>COUNTIFS('2026 Time Off Request'!$A:$A,'Jan 2026'!$D13,'2026 Time Off Request'!$L:$L,'Jan 2026'!T$6)</f>
        <v>0</v>
      </c>
      <c r="U13" s="146">
        <f>COUNTIFS('2026 Time Off Request'!$A:$A,'Jan 2026'!$D13,'2026 Time Off Request'!$L:$L,'Jan 2026'!U$6)</f>
        <v>0</v>
      </c>
      <c r="V13" s="147">
        <f>COUNTIFS('2026 Time Off Request'!$A:$A,'Jan 2026'!$D13,'2026 Time Off Request'!$L:$L,'Jan 2026'!V$6)</f>
        <v>0</v>
      </c>
      <c r="W13" s="147">
        <f>COUNTIFS('2026 Time Off Request'!$A:$A,'Jan 2026'!$D13,'2026 Time Off Request'!$L:$L,'Jan 2026'!W$6)</f>
        <v>0</v>
      </c>
      <c r="X13" s="146">
        <f>COUNTIFS('2026 Time Off Request'!$A:$A,'Jan 2026'!$D13,'2026 Time Off Request'!$L:$L,'Jan 2026'!X$6)</f>
        <v>0</v>
      </c>
      <c r="Y13" s="148">
        <f>COUNTIFS('2026 Time Off Request'!$A:$A,'Jan 2026'!$D13,'2026 Time Off Request'!$L:$L,'Jan 2026'!Y$6)</f>
        <v>0</v>
      </c>
      <c r="Z13" s="148">
        <f>COUNTIFS('2026 Time Off Request'!$A:$A,'Jan 2026'!$D13,'2026 Time Off Request'!$L:$L,'Jan 2026'!Z$6)</f>
        <v>0</v>
      </c>
      <c r="AA13" s="146">
        <f>COUNTIFS('2026 Time Off Request'!$A:$A,'Jan 2026'!$D13,'2026 Time Off Request'!$L:$L,'Jan 2026'!AA$6)</f>
        <v>0</v>
      </c>
      <c r="AB13" s="146">
        <f>COUNTIFS('2026 Time Off Request'!$A:$A,'Jan 2026'!$D13,'2026 Time Off Request'!$L:$L,'Jan 2026'!AB$6)</f>
        <v>0</v>
      </c>
      <c r="AC13" s="147">
        <f>COUNTIFS('2026 Time Off Request'!$A:$A,'Jan 2026'!$D13,'2026 Time Off Request'!$L:$L,'Jan 2026'!AC$6)</f>
        <v>0</v>
      </c>
      <c r="AD13" s="147">
        <f>COUNTIFS('2026 Time Off Request'!$A:$A,'Jan 2026'!$D13,'2026 Time Off Request'!$L:$L,'Jan 2026'!AD$6)</f>
        <v>0</v>
      </c>
      <c r="AE13" s="148">
        <f>COUNTIFS('2026 Time Off Request'!$A:$A,'Jan 2026'!$D13,'2026 Time Off Request'!$L:$L,'Jan 2026'!AE$6)</f>
        <v>0</v>
      </c>
      <c r="AF13" s="148">
        <f>COUNTIFS('2026 Time Off Request'!$A:$A,'Jan 2026'!$D13,'2026 Time Off Request'!$L:$L,'Jan 2026'!AF$6)</f>
        <v>0</v>
      </c>
      <c r="AG13" s="148">
        <f>COUNTIFS('2026 Time Off Request'!$A:$A,'Jan 2026'!$D13,'2026 Time Off Request'!$L:$L,'Jan 2026'!AG$6)</f>
        <v>0</v>
      </c>
      <c r="AH13" s="146">
        <f>COUNTIFS('2026 Time Off Request'!$A:$A,'Jan 2026'!$D13,'2026 Time Off Request'!$L:$L,'Jan 2026'!AH$6)</f>
        <v>0</v>
      </c>
      <c r="AI13" s="146">
        <f>COUNTIFS('2026 Time Off Request'!$A:$A,'Jan 2026'!$D13,'2026 Time Off Request'!$L:$L,'Jan 2026'!AI$6)</f>
        <v>0</v>
      </c>
      <c r="AJ13" s="149">
        <f>COUNTIFS('2026 Time Off Request'!$A:$A,'Jan 2026'!$D13,'2026 Time Off Request'!$L:$L,'Jan 2026'!AJ$6)</f>
        <v>0</v>
      </c>
    </row>
    <row r="14" spans="1:41" ht="15.6" customHeight="1">
      <c r="A14" s="8">
        <v>7</v>
      </c>
      <c r="B14" s="124" t="s">
        <v>36</v>
      </c>
      <c r="C14" s="120" t="s">
        <v>37</v>
      </c>
      <c r="D14" s="139" t="s">
        <v>38</v>
      </c>
      <c r="E14" s="156">
        <f t="shared" si="2"/>
        <v>0</v>
      </c>
      <c r="F14" s="145">
        <f>COUNTIFS('2026 Time Off Request'!$A:$A,'Jan 2026'!$D14,'2026 Time Off Request'!$L:$L,'Jan 2026'!F$6)</f>
        <v>0</v>
      </c>
      <c r="G14" s="146">
        <f>COUNTIFS('2026 Time Off Request'!$A:$A,'Jan 2026'!$D14,'2026 Time Off Request'!$L:$L,'Jan 2026'!G$6)</f>
        <v>0</v>
      </c>
      <c r="H14" s="147">
        <f>COUNTIFS('2026 Time Off Request'!$A:$A,'Jan 2026'!$D14,'2026 Time Off Request'!$L:$L,'Jan 2026'!H$6)</f>
        <v>0</v>
      </c>
      <c r="I14" s="147">
        <f>COUNTIFS('2026 Time Off Request'!$A:$A,'Jan 2026'!$D14,'2026 Time Off Request'!$L:$L,'Jan 2026'!I$6)</f>
        <v>0</v>
      </c>
      <c r="J14" s="146">
        <f>COUNTIFS('2026 Time Off Request'!$A:$A,'Jan 2026'!$D14,'2026 Time Off Request'!$L:$L,'Jan 2026'!J$6)</f>
        <v>0</v>
      </c>
      <c r="K14" s="148">
        <f>COUNTIFS('2026 Time Off Request'!$A:$A,'Jan 2026'!$D14,'2026 Time Off Request'!$L:$L,'Jan 2026'!K$6)</f>
        <v>0</v>
      </c>
      <c r="L14" s="148">
        <f>COUNTIFS('2026 Time Off Request'!$A:$A,'Jan 2026'!$D14,'2026 Time Off Request'!$L:$L,'Jan 2026'!L$6)</f>
        <v>0</v>
      </c>
      <c r="M14" s="146">
        <f>COUNTIFS('2026 Time Off Request'!$A:$A,'Jan 2026'!$D14,'2026 Time Off Request'!$L:$L,'Jan 2026'!M$6)</f>
        <v>0</v>
      </c>
      <c r="N14" s="146">
        <f>COUNTIFS('2026 Time Off Request'!$A:$A,'Jan 2026'!$D14,'2026 Time Off Request'!$L:$L,'Jan 2026'!N$6)</f>
        <v>0</v>
      </c>
      <c r="O14" s="147">
        <f>COUNTIFS('2026 Time Off Request'!$A:$A,'Jan 2026'!$D14,'2026 Time Off Request'!$L:$L,'Jan 2026'!O$6)</f>
        <v>0</v>
      </c>
      <c r="P14" s="147">
        <f>COUNTIFS('2026 Time Off Request'!$A:$A,'Jan 2026'!$D14,'2026 Time Off Request'!$L:$L,'Jan 2026'!P$6)</f>
        <v>0</v>
      </c>
      <c r="Q14" s="146">
        <f>COUNTIFS('2026 Time Off Request'!$A:$A,'Jan 2026'!$D14,'2026 Time Off Request'!$L:$L,'Jan 2026'!Q$6)</f>
        <v>0</v>
      </c>
      <c r="R14" s="148">
        <f>COUNTIFS('2026 Time Off Request'!$A:$A,'Jan 2026'!$D14,'2026 Time Off Request'!$L:$L,'Jan 2026'!R$6)</f>
        <v>0</v>
      </c>
      <c r="S14" s="148">
        <f>COUNTIFS('2026 Time Off Request'!$A:$A,'Jan 2026'!$D14,'2026 Time Off Request'!$L:$L,'Jan 2026'!S$6)</f>
        <v>0</v>
      </c>
      <c r="T14" s="146">
        <f>COUNTIFS('2026 Time Off Request'!$A:$A,'Jan 2026'!$D14,'2026 Time Off Request'!$L:$L,'Jan 2026'!T$6)</f>
        <v>0</v>
      </c>
      <c r="U14" s="146">
        <f>COUNTIFS('2026 Time Off Request'!$A:$A,'Jan 2026'!$D14,'2026 Time Off Request'!$L:$L,'Jan 2026'!U$6)</f>
        <v>0</v>
      </c>
      <c r="V14" s="147">
        <f>COUNTIFS('2026 Time Off Request'!$A:$A,'Jan 2026'!$D14,'2026 Time Off Request'!$L:$L,'Jan 2026'!V$6)</f>
        <v>0</v>
      </c>
      <c r="W14" s="147">
        <f>COUNTIFS('2026 Time Off Request'!$A:$A,'Jan 2026'!$D14,'2026 Time Off Request'!$L:$L,'Jan 2026'!W$6)</f>
        <v>0</v>
      </c>
      <c r="X14" s="146">
        <f>COUNTIFS('2026 Time Off Request'!$A:$A,'Jan 2026'!$D14,'2026 Time Off Request'!$L:$L,'Jan 2026'!X$6)</f>
        <v>0</v>
      </c>
      <c r="Y14" s="148">
        <f>COUNTIFS('2026 Time Off Request'!$A:$A,'Jan 2026'!$D14,'2026 Time Off Request'!$L:$L,'Jan 2026'!Y$6)</f>
        <v>0</v>
      </c>
      <c r="Z14" s="148">
        <f>COUNTIFS('2026 Time Off Request'!$A:$A,'Jan 2026'!$D14,'2026 Time Off Request'!$L:$L,'Jan 2026'!Z$6)</f>
        <v>0</v>
      </c>
      <c r="AA14" s="146">
        <f>COUNTIFS('2026 Time Off Request'!$A:$A,'Jan 2026'!$D14,'2026 Time Off Request'!$L:$L,'Jan 2026'!AA$6)</f>
        <v>0</v>
      </c>
      <c r="AB14" s="146">
        <f>COUNTIFS('2026 Time Off Request'!$A:$A,'Jan 2026'!$D14,'2026 Time Off Request'!$L:$L,'Jan 2026'!AB$6)</f>
        <v>0</v>
      </c>
      <c r="AC14" s="147">
        <f>COUNTIFS('2026 Time Off Request'!$A:$A,'Jan 2026'!$D14,'2026 Time Off Request'!$L:$L,'Jan 2026'!AC$6)</f>
        <v>0</v>
      </c>
      <c r="AD14" s="147">
        <f>COUNTIFS('2026 Time Off Request'!$A:$A,'Jan 2026'!$D14,'2026 Time Off Request'!$L:$L,'Jan 2026'!AD$6)</f>
        <v>0</v>
      </c>
      <c r="AE14" s="148">
        <f>COUNTIFS('2026 Time Off Request'!$A:$A,'Jan 2026'!$D14,'2026 Time Off Request'!$L:$L,'Jan 2026'!AE$6)</f>
        <v>0</v>
      </c>
      <c r="AF14" s="148">
        <f>COUNTIFS('2026 Time Off Request'!$A:$A,'Jan 2026'!$D14,'2026 Time Off Request'!$L:$L,'Jan 2026'!AF$6)</f>
        <v>0</v>
      </c>
      <c r="AG14" s="148">
        <f>COUNTIFS('2026 Time Off Request'!$A:$A,'Jan 2026'!$D14,'2026 Time Off Request'!$L:$L,'Jan 2026'!AG$6)</f>
        <v>0</v>
      </c>
      <c r="AH14" s="146">
        <f>COUNTIFS('2026 Time Off Request'!$A:$A,'Jan 2026'!$D14,'2026 Time Off Request'!$L:$L,'Jan 2026'!AH$6)</f>
        <v>0</v>
      </c>
      <c r="AI14" s="146">
        <f>COUNTIFS('2026 Time Off Request'!$A:$A,'Jan 2026'!$D14,'2026 Time Off Request'!$L:$L,'Jan 2026'!AI$6)</f>
        <v>0</v>
      </c>
      <c r="AJ14" s="149">
        <f>COUNTIFS('2026 Time Off Request'!$A:$A,'Jan 2026'!$D14,'2026 Time Off Request'!$L:$L,'Jan 2026'!AJ$6)</f>
        <v>0</v>
      </c>
    </row>
    <row r="15" spans="1:41" ht="15.6" customHeight="1">
      <c r="A15" s="8">
        <v>8</v>
      </c>
      <c r="B15" s="124" t="s">
        <v>36</v>
      </c>
      <c r="C15" s="120" t="s">
        <v>37</v>
      </c>
      <c r="D15" s="139" t="s">
        <v>39</v>
      </c>
      <c r="E15" s="156">
        <f t="shared" si="2"/>
        <v>4</v>
      </c>
      <c r="F15" s="145">
        <f>COUNTIFS('2026 Time Off Request'!$A:$A,'Jan 2026'!$D15,'2026 Time Off Request'!$L:$L,'Jan 2026'!F$6)</f>
        <v>0</v>
      </c>
      <c r="G15" s="146">
        <f>COUNTIFS('2026 Time Off Request'!$A:$A,'Jan 2026'!$D15,'2026 Time Off Request'!$L:$L,'Jan 2026'!G$6)</f>
        <v>0</v>
      </c>
      <c r="H15" s="147">
        <f>COUNTIFS('2026 Time Off Request'!$A:$A,'Jan 2026'!$D15,'2026 Time Off Request'!$L:$L,'Jan 2026'!H$6)</f>
        <v>0</v>
      </c>
      <c r="I15" s="147">
        <f>COUNTIFS('2026 Time Off Request'!$A:$A,'Jan 2026'!$D15,'2026 Time Off Request'!$L:$L,'Jan 2026'!I$6)</f>
        <v>0</v>
      </c>
      <c r="J15" s="146">
        <f>COUNTIFS('2026 Time Off Request'!$A:$A,'Jan 2026'!$D15,'2026 Time Off Request'!$L:$L,'Jan 2026'!J$6)</f>
        <v>0</v>
      </c>
      <c r="K15" s="148">
        <f>COUNTIFS('2026 Time Off Request'!$A:$A,'Jan 2026'!$D15,'2026 Time Off Request'!$L:$L,'Jan 2026'!K$6)</f>
        <v>0</v>
      </c>
      <c r="L15" s="148">
        <f>COUNTIFS('2026 Time Off Request'!$A:$A,'Jan 2026'!$D15,'2026 Time Off Request'!$L:$L,'Jan 2026'!L$6)</f>
        <v>0</v>
      </c>
      <c r="M15" s="146">
        <f>COUNTIFS('2026 Time Off Request'!$A:$A,'Jan 2026'!$D15,'2026 Time Off Request'!$L:$L,'Jan 2026'!M$6)</f>
        <v>0</v>
      </c>
      <c r="N15" s="146">
        <f>COUNTIFS('2026 Time Off Request'!$A:$A,'Jan 2026'!$D15,'2026 Time Off Request'!$L:$L,'Jan 2026'!N$6)</f>
        <v>0</v>
      </c>
      <c r="O15" s="147">
        <f>COUNTIFS('2026 Time Off Request'!$A:$A,'Jan 2026'!$D15,'2026 Time Off Request'!$L:$L,'Jan 2026'!O$6)</f>
        <v>0</v>
      </c>
      <c r="P15" s="147">
        <f>COUNTIFS('2026 Time Off Request'!$A:$A,'Jan 2026'!$D15,'2026 Time Off Request'!$L:$L,'Jan 2026'!P$6)</f>
        <v>0</v>
      </c>
      <c r="Q15" s="146">
        <f>COUNTIFS('2026 Time Off Request'!$A:$A,'Jan 2026'!$D15,'2026 Time Off Request'!$L:$L,'Jan 2026'!Q$6)</f>
        <v>0</v>
      </c>
      <c r="R15" s="148">
        <f>COUNTIFS('2026 Time Off Request'!$A:$A,'Jan 2026'!$D15,'2026 Time Off Request'!$L:$L,'Jan 2026'!R$6)</f>
        <v>0</v>
      </c>
      <c r="S15" s="148">
        <f>COUNTIFS('2026 Time Off Request'!$A:$A,'Jan 2026'!$D15,'2026 Time Off Request'!$L:$L,'Jan 2026'!S$6)</f>
        <v>0</v>
      </c>
      <c r="T15" s="146">
        <f>COUNTIFS('2026 Time Off Request'!$A:$A,'Jan 2026'!$D15,'2026 Time Off Request'!$L:$L,'Jan 2026'!T$6)</f>
        <v>0</v>
      </c>
      <c r="U15" s="146">
        <f>COUNTIFS('2026 Time Off Request'!$A:$A,'Jan 2026'!$D15,'2026 Time Off Request'!$L:$L,'Jan 2026'!U$6)</f>
        <v>0</v>
      </c>
      <c r="V15" s="147">
        <f>COUNTIFS('2026 Time Off Request'!$A:$A,'Jan 2026'!$D15,'2026 Time Off Request'!$L:$L,'Jan 2026'!V$6)</f>
        <v>0</v>
      </c>
      <c r="W15" s="147">
        <f>COUNTIFS('2026 Time Off Request'!$A:$A,'Jan 2026'!$D15,'2026 Time Off Request'!$L:$L,'Jan 2026'!W$6)</f>
        <v>0</v>
      </c>
      <c r="X15" s="146">
        <f>COUNTIFS('2026 Time Off Request'!$A:$A,'Jan 2026'!$D15,'2026 Time Off Request'!$L:$L,'Jan 2026'!X$6)</f>
        <v>0</v>
      </c>
      <c r="Y15" s="148">
        <f>COUNTIFS('2026 Time Off Request'!$A:$A,'Jan 2026'!$D15,'2026 Time Off Request'!$L:$L,'Jan 2026'!Y$6)</f>
        <v>0</v>
      </c>
      <c r="Z15" s="148">
        <f>COUNTIFS('2026 Time Off Request'!$A:$A,'Jan 2026'!$D15,'2026 Time Off Request'!$L:$L,'Jan 2026'!Z$6)</f>
        <v>0</v>
      </c>
      <c r="AA15" s="146">
        <f>COUNTIFS('2026 Time Off Request'!$A:$A,'Jan 2026'!$D15,'2026 Time Off Request'!$L:$L,'Jan 2026'!AA$6)</f>
        <v>0</v>
      </c>
      <c r="AB15" s="146">
        <f>COUNTIFS('2026 Time Off Request'!$A:$A,'Jan 2026'!$D15,'2026 Time Off Request'!$L:$L,'Jan 2026'!AB$6)</f>
        <v>0</v>
      </c>
      <c r="AC15" s="147">
        <f>COUNTIFS('2026 Time Off Request'!$A:$A,'Jan 2026'!$D15,'2026 Time Off Request'!$L:$L,'Jan 2026'!AC$6)</f>
        <v>0</v>
      </c>
      <c r="AD15" s="147">
        <f>COUNTIFS('2026 Time Off Request'!$A:$A,'Jan 2026'!$D15,'2026 Time Off Request'!$L:$L,'Jan 2026'!AD$6)</f>
        <v>0</v>
      </c>
      <c r="AE15" s="148">
        <f>COUNTIFS('2026 Time Off Request'!$A:$A,'Jan 2026'!$D15,'2026 Time Off Request'!$L:$L,'Jan 2026'!AE$6)</f>
        <v>1</v>
      </c>
      <c r="AF15" s="148">
        <f>COUNTIFS('2026 Time Off Request'!$A:$A,'Jan 2026'!$D15,'2026 Time Off Request'!$L:$L,'Jan 2026'!AF$6)</f>
        <v>1</v>
      </c>
      <c r="AG15" s="148">
        <f>COUNTIFS('2026 Time Off Request'!$A:$A,'Jan 2026'!$D15,'2026 Time Off Request'!$L:$L,'Jan 2026'!AG$6)</f>
        <v>1</v>
      </c>
      <c r="AH15" s="146">
        <f>COUNTIFS('2026 Time Off Request'!$A:$A,'Jan 2026'!$D15,'2026 Time Off Request'!$L:$L,'Jan 2026'!AH$6)</f>
        <v>1</v>
      </c>
      <c r="AI15" s="146">
        <f>COUNTIFS('2026 Time Off Request'!$A:$A,'Jan 2026'!$D15,'2026 Time Off Request'!$L:$L,'Jan 2026'!AI$6)</f>
        <v>0</v>
      </c>
      <c r="AJ15" s="149">
        <f>COUNTIFS('2026 Time Off Request'!$A:$A,'Jan 2026'!$D15,'2026 Time Off Request'!$L:$L,'Jan 2026'!AJ$6)</f>
        <v>0</v>
      </c>
    </row>
    <row r="16" spans="1:41" ht="15.6" customHeight="1">
      <c r="A16" s="8">
        <v>9</v>
      </c>
      <c r="B16" s="124" t="s">
        <v>36</v>
      </c>
      <c r="C16" s="120" t="s">
        <v>37</v>
      </c>
      <c r="D16" s="139" t="s">
        <v>40</v>
      </c>
      <c r="E16" s="156">
        <f t="shared" si="2"/>
        <v>0</v>
      </c>
      <c r="F16" s="145">
        <f>COUNTIFS('2026 Time Off Request'!$A:$A,'Jan 2026'!$D16,'2026 Time Off Request'!$L:$L,'Jan 2026'!F$6)</f>
        <v>0</v>
      </c>
      <c r="G16" s="146">
        <f>COUNTIFS('2026 Time Off Request'!$A:$A,'Jan 2026'!$D16,'2026 Time Off Request'!$L:$L,'Jan 2026'!G$6)</f>
        <v>0</v>
      </c>
      <c r="H16" s="147">
        <f>COUNTIFS('2026 Time Off Request'!$A:$A,'Jan 2026'!$D16,'2026 Time Off Request'!$L:$L,'Jan 2026'!H$6)</f>
        <v>0</v>
      </c>
      <c r="I16" s="147">
        <f>COUNTIFS('2026 Time Off Request'!$A:$A,'Jan 2026'!$D16,'2026 Time Off Request'!$L:$L,'Jan 2026'!I$6)</f>
        <v>0</v>
      </c>
      <c r="J16" s="146">
        <f>COUNTIFS('2026 Time Off Request'!$A:$A,'Jan 2026'!$D16,'2026 Time Off Request'!$L:$L,'Jan 2026'!J$6)</f>
        <v>0</v>
      </c>
      <c r="K16" s="148">
        <f>COUNTIFS('2026 Time Off Request'!$A:$A,'Jan 2026'!$D16,'2026 Time Off Request'!$L:$L,'Jan 2026'!K$6)</f>
        <v>0</v>
      </c>
      <c r="L16" s="148">
        <f>COUNTIFS('2026 Time Off Request'!$A:$A,'Jan 2026'!$D16,'2026 Time Off Request'!$L:$L,'Jan 2026'!L$6)</f>
        <v>0</v>
      </c>
      <c r="M16" s="146">
        <f>COUNTIFS('2026 Time Off Request'!$A:$A,'Jan 2026'!$D16,'2026 Time Off Request'!$L:$L,'Jan 2026'!M$6)</f>
        <v>0</v>
      </c>
      <c r="N16" s="146">
        <f>COUNTIFS('2026 Time Off Request'!$A:$A,'Jan 2026'!$D16,'2026 Time Off Request'!$L:$L,'Jan 2026'!N$6)</f>
        <v>0</v>
      </c>
      <c r="O16" s="147">
        <f>COUNTIFS('2026 Time Off Request'!$A:$A,'Jan 2026'!$D16,'2026 Time Off Request'!$L:$L,'Jan 2026'!O$6)</f>
        <v>0</v>
      </c>
      <c r="P16" s="147">
        <f>COUNTIFS('2026 Time Off Request'!$A:$A,'Jan 2026'!$D16,'2026 Time Off Request'!$L:$L,'Jan 2026'!P$6)</f>
        <v>0</v>
      </c>
      <c r="Q16" s="146">
        <f>COUNTIFS('2026 Time Off Request'!$A:$A,'Jan 2026'!$D16,'2026 Time Off Request'!$L:$L,'Jan 2026'!Q$6)</f>
        <v>0</v>
      </c>
      <c r="R16" s="148">
        <f>COUNTIFS('2026 Time Off Request'!$A:$A,'Jan 2026'!$D16,'2026 Time Off Request'!$L:$L,'Jan 2026'!R$6)</f>
        <v>0</v>
      </c>
      <c r="S16" s="148">
        <f>COUNTIFS('2026 Time Off Request'!$A:$A,'Jan 2026'!$D16,'2026 Time Off Request'!$L:$L,'Jan 2026'!S$6)</f>
        <v>0</v>
      </c>
      <c r="T16" s="146">
        <f>COUNTIFS('2026 Time Off Request'!$A:$A,'Jan 2026'!$D16,'2026 Time Off Request'!$L:$L,'Jan 2026'!T$6)</f>
        <v>0</v>
      </c>
      <c r="U16" s="146">
        <f>COUNTIFS('2026 Time Off Request'!$A:$A,'Jan 2026'!$D16,'2026 Time Off Request'!$L:$L,'Jan 2026'!U$6)</f>
        <v>0</v>
      </c>
      <c r="V16" s="147">
        <f>COUNTIFS('2026 Time Off Request'!$A:$A,'Jan 2026'!$D16,'2026 Time Off Request'!$L:$L,'Jan 2026'!V$6)</f>
        <v>0</v>
      </c>
      <c r="W16" s="147">
        <f>COUNTIFS('2026 Time Off Request'!$A:$A,'Jan 2026'!$D16,'2026 Time Off Request'!$L:$L,'Jan 2026'!W$6)</f>
        <v>0</v>
      </c>
      <c r="X16" s="146">
        <f>COUNTIFS('2026 Time Off Request'!$A:$A,'Jan 2026'!$D16,'2026 Time Off Request'!$L:$L,'Jan 2026'!X$6)</f>
        <v>0</v>
      </c>
      <c r="Y16" s="148">
        <f>COUNTIFS('2026 Time Off Request'!$A:$A,'Jan 2026'!$D16,'2026 Time Off Request'!$L:$L,'Jan 2026'!Y$6)</f>
        <v>0</v>
      </c>
      <c r="Z16" s="148">
        <f>COUNTIFS('2026 Time Off Request'!$A:$A,'Jan 2026'!$D16,'2026 Time Off Request'!$L:$L,'Jan 2026'!Z$6)</f>
        <v>0</v>
      </c>
      <c r="AA16" s="146">
        <f>COUNTIFS('2026 Time Off Request'!$A:$A,'Jan 2026'!$D16,'2026 Time Off Request'!$L:$L,'Jan 2026'!AA$6)</f>
        <v>0</v>
      </c>
      <c r="AB16" s="146">
        <f>COUNTIFS('2026 Time Off Request'!$A:$A,'Jan 2026'!$D16,'2026 Time Off Request'!$L:$L,'Jan 2026'!AB$6)</f>
        <v>0</v>
      </c>
      <c r="AC16" s="147">
        <f>COUNTIFS('2026 Time Off Request'!$A:$A,'Jan 2026'!$D16,'2026 Time Off Request'!$L:$L,'Jan 2026'!AC$6)</f>
        <v>0</v>
      </c>
      <c r="AD16" s="147">
        <f>COUNTIFS('2026 Time Off Request'!$A:$A,'Jan 2026'!$D16,'2026 Time Off Request'!$L:$L,'Jan 2026'!AD$6)</f>
        <v>0</v>
      </c>
      <c r="AE16" s="148">
        <f>COUNTIFS('2026 Time Off Request'!$A:$A,'Jan 2026'!$D16,'2026 Time Off Request'!$L:$L,'Jan 2026'!AE$6)</f>
        <v>0</v>
      </c>
      <c r="AF16" s="148">
        <f>COUNTIFS('2026 Time Off Request'!$A:$A,'Jan 2026'!$D16,'2026 Time Off Request'!$L:$L,'Jan 2026'!AF$6)</f>
        <v>0</v>
      </c>
      <c r="AG16" s="148">
        <f>COUNTIFS('2026 Time Off Request'!$A:$A,'Jan 2026'!$D16,'2026 Time Off Request'!$L:$L,'Jan 2026'!AG$6)</f>
        <v>0</v>
      </c>
      <c r="AH16" s="146">
        <f>COUNTIFS('2026 Time Off Request'!$A:$A,'Jan 2026'!$D16,'2026 Time Off Request'!$L:$L,'Jan 2026'!AH$6)</f>
        <v>0</v>
      </c>
      <c r="AI16" s="146">
        <f>COUNTIFS('2026 Time Off Request'!$A:$A,'Jan 2026'!$D16,'2026 Time Off Request'!$L:$L,'Jan 2026'!AI$6)</f>
        <v>0</v>
      </c>
      <c r="AJ16" s="149">
        <f>COUNTIFS('2026 Time Off Request'!$A:$A,'Jan 2026'!$D16,'2026 Time Off Request'!$L:$L,'Jan 2026'!AJ$6)</f>
        <v>0</v>
      </c>
    </row>
    <row r="17" spans="1:36" ht="15.6" customHeight="1">
      <c r="A17" s="8">
        <v>10</v>
      </c>
      <c r="B17" s="124" t="s">
        <v>36</v>
      </c>
      <c r="C17" s="120" t="s">
        <v>37</v>
      </c>
      <c r="D17" s="139" t="s">
        <v>41</v>
      </c>
      <c r="E17" s="156">
        <f t="shared" si="2"/>
        <v>0</v>
      </c>
      <c r="F17" s="145">
        <f>COUNTIFS('2026 Time Off Request'!$A:$A,'Jan 2026'!$D17,'2026 Time Off Request'!$L:$L,'Jan 2026'!F$6)</f>
        <v>0</v>
      </c>
      <c r="G17" s="146">
        <f>COUNTIFS('2026 Time Off Request'!$A:$A,'Jan 2026'!$D17,'2026 Time Off Request'!$L:$L,'Jan 2026'!G$6)</f>
        <v>0</v>
      </c>
      <c r="H17" s="147">
        <f>COUNTIFS('2026 Time Off Request'!$A:$A,'Jan 2026'!$D17,'2026 Time Off Request'!$L:$L,'Jan 2026'!H$6)</f>
        <v>0</v>
      </c>
      <c r="I17" s="147">
        <f>COUNTIFS('2026 Time Off Request'!$A:$A,'Jan 2026'!$D17,'2026 Time Off Request'!$L:$L,'Jan 2026'!I$6)</f>
        <v>0</v>
      </c>
      <c r="J17" s="146">
        <f>COUNTIFS('2026 Time Off Request'!$A:$A,'Jan 2026'!$D17,'2026 Time Off Request'!$L:$L,'Jan 2026'!J$6)</f>
        <v>0</v>
      </c>
      <c r="K17" s="148">
        <f>COUNTIFS('2026 Time Off Request'!$A:$A,'Jan 2026'!$D17,'2026 Time Off Request'!$L:$L,'Jan 2026'!K$6)</f>
        <v>0</v>
      </c>
      <c r="L17" s="148">
        <f>COUNTIFS('2026 Time Off Request'!$A:$A,'Jan 2026'!$D17,'2026 Time Off Request'!$L:$L,'Jan 2026'!L$6)</f>
        <v>0</v>
      </c>
      <c r="M17" s="146">
        <f>COUNTIFS('2026 Time Off Request'!$A:$A,'Jan 2026'!$D17,'2026 Time Off Request'!$L:$L,'Jan 2026'!M$6)</f>
        <v>0</v>
      </c>
      <c r="N17" s="146">
        <f>COUNTIFS('2026 Time Off Request'!$A:$A,'Jan 2026'!$D17,'2026 Time Off Request'!$L:$L,'Jan 2026'!N$6)</f>
        <v>0</v>
      </c>
      <c r="O17" s="147">
        <f>COUNTIFS('2026 Time Off Request'!$A:$A,'Jan 2026'!$D17,'2026 Time Off Request'!$L:$L,'Jan 2026'!O$6)</f>
        <v>0</v>
      </c>
      <c r="P17" s="147">
        <f>COUNTIFS('2026 Time Off Request'!$A:$A,'Jan 2026'!$D17,'2026 Time Off Request'!$L:$L,'Jan 2026'!P$6)</f>
        <v>0</v>
      </c>
      <c r="Q17" s="146">
        <f>COUNTIFS('2026 Time Off Request'!$A:$A,'Jan 2026'!$D17,'2026 Time Off Request'!$L:$L,'Jan 2026'!Q$6)</f>
        <v>0</v>
      </c>
      <c r="R17" s="148">
        <f>COUNTIFS('2026 Time Off Request'!$A:$A,'Jan 2026'!$D17,'2026 Time Off Request'!$L:$L,'Jan 2026'!R$6)</f>
        <v>0</v>
      </c>
      <c r="S17" s="148">
        <f>COUNTIFS('2026 Time Off Request'!$A:$A,'Jan 2026'!$D17,'2026 Time Off Request'!$L:$L,'Jan 2026'!S$6)</f>
        <v>0</v>
      </c>
      <c r="T17" s="146">
        <f>COUNTIFS('2026 Time Off Request'!$A:$A,'Jan 2026'!$D17,'2026 Time Off Request'!$L:$L,'Jan 2026'!T$6)</f>
        <v>0</v>
      </c>
      <c r="U17" s="146">
        <f>COUNTIFS('2026 Time Off Request'!$A:$A,'Jan 2026'!$D17,'2026 Time Off Request'!$L:$L,'Jan 2026'!U$6)</f>
        <v>0</v>
      </c>
      <c r="V17" s="147">
        <f>COUNTIFS('2026 Time Off Request'!$A:$A,'Jan 2026'!$D17,'2026 Time Off Request'!$L:$L,'Jan 2026'!V$6)</f>
        <v>0</v>
      </c>
      <c r="W17" s="147">
        <f>COUNTIFS('2026 Time Off Request'!$A:$A,'Jan 2026'!$D17,'2026 Time Off Request'!$L:$L,'Jan 2026'!W$6)</f>
        <v>0</v>
      </c>
      <c r="X17" s="146">
        <f>COUNTIFS('2026 Time Off Request'!$A:$A,'Jan 2026'!$D17,'2026 Time Off Request'!$L:$L,'Jan 2026'!X$6)</f>
        <v>0</v>
      </c>
      <c r="Y17" s="148">
        <f>COUNTIFS('2026 Time Off Request'!$A:$A,'Jan 2026'!$D17,'2026 Time Off Request'!$L:$L,'Jan 2026'!Y$6)</f>
        <v>0</v>
      </c>
      <c r="Z17" s="148">
        <f>COUNTIFS('2026 Time Off Request'!$A:$A,'Jan 2026'!$D17,'2026 Time Off Request'!$L:$L,'Jan 2026'!Z$6)</f>
        <v>0</v>
      </c>
      <c r="AA17" s="146">
        <f>COUNTIFS('2026 Time Off Request'!$A:$A,'Jan 2026'!$D17,'2026 Time Off Request'!$L:$L,'Jan 2026'!AA$6)</f>
        <v>0</v>
      </c>
      <c r="AB17" s="146">
        <f>COUNTIFS('2026 Time Off Request'!$A:$A,'Jan 2026'!$D17,'2026 Time Off Request'!$L:$L,'Jan 2026'!AB$6)</f>
        <v>0</v>
      </c>
      <c r="AC17" s="147">
        <f>COUNTIFS('2026 Time Off Request'!$A:$A,'Jan 2026'!$D17,'2026 Time Off Request'!$L:$L,'Jan 2026'!AC$6)</f>
        <v>0</v>
      </c>
      <c r="AD17" s="147">
        <f>COUNTIFS('2026 Time Off Request'!$A:$A,'Jan 2026'!$D17,'2026 Time Off Request'!$L:$L,'Jan 2026'!AD$6)</f>
        <v>0</v>
      </c>
      <c r="AE17" s="148">
        <f>COUNTIFS('2026 Time Off Request'!$A:$A,'Jan 2026'!$D17,'2026 Time Off Request'!$L:$L,'Jan 2026'!AE$6)</f>
        <v>0</v>
      </c>
      <c r="AF17" s="148">
        <f>COUNTIFS('2026 Time Off Request'!$A:$A,'Jan 2026'!$D17,'2026 Time Off Request'!$L:$L,'Jan 2026'!AF$6)</f>
        <v>0</v>
      </c>
      <c r="AG17" s="148">
        <f>COUNTIFS('2026 Time Off Request'!$A:$A,'Jan 2026'!$D17,'2026 Time Off Request'!$L:$L,'Jan 2026'!AG$6)</f>
        <v>0</v>
      </c>
      <c r="AH17" s="146">
        <f>COUNTIFS('2026 Time Off Request'!$A:$A,'Jan 2026'!$D17,'2026 Time Off Request'!$L:$L,'Jan 2026'!AH$6)</f>
        <v>0</v>
      </c>
      <c r="AI17" s="146">
        <f>COUNTIFS('2026 Time Off Request'!$A:$A,'Jan 2026'!$D17,'2026 Time Off Request'!$L:$L,'Jan 2026'!AI$6)</f>
        <v>0</v>
      </c>
      <c r="AJ17" s="149">
        <f>COUNTIFS('2026 Time Off Request'!$A:$A,'Jan 2026'!$D17,'2026 Time Off Request'!$L:$L,'Jan 2026'!AJ$6)</f>
        <v>0</v>
      </c>
    </row>
    <row r="18" spans="1:36" ht="15.6" customHeight="1">
      <c r="A18" s="8">
        <v>11</v>
      </c>
      <c r="B18" s="124" t="s">
        <v>36</v>
      </c>
      <c r="C18" s="120" t="s">
        <v>37</v>
      </c>
      <c r="D18" s="139" t="s">
        <v>42</v>
      </c>
      <c r="E18" s="156">
        <f t="shared" si="2"/>
        <v>1</v>
      </c>
      <c r="F18" s="145">
        <f>COUNTIFS('2026 Time Off Request'!$A:$A,'Jan 2026'!$D18,'2026 Time Off Request'!$L:$L,'Jan 2026'!F$6)</f>
        <v>0</v>
      </c>
      <c r="G18" s="146">
        <f>COUNTIFS('2026 Time Off Request'!$A:$A,'Jan 2026'!$D18,'2026 Time Off Request'!$L:$L,'Jan 2026'!G$6)</f>
        <v>1</v>
      </c>
      <c r="H18" s="147">
        <f>COUNTIFS('2026 Time Off Request'!$A:$A,'Jan 2026'!$D18,'2026 Time Off Request'!$L:$L,'Jan 2026'!H$6)</f>
        <v>0</v>
      </c>
      <c r="I18" s="147">
        <f>COUNTIFS('2026 Time Off Request'!$A:$A,'Jan 2026'!$D18,'2026 Time Off Request'!$L:$L,'Jan 2026'!I$6)</f>
        <v>0</v>
      </c>
      <c r="J18" s="146">
        <f>COUNTIFS('2026 Time Off Request'!$A:$A,'Jan 2026'!$D18,'2026 Time Off Request'!$L:$L,'Jan 2026'!J$6)</f>
        <v>0</v>
      </c>
      <c r="K18" s="148">
        <f>COUNTIFS('2026 Time Off Request'!$A:$A,'Jan 2026'!$D18,'2026 Time Off Request'!$L:$L,'Jan 2026'!K$6)</f>
        <v>0</v>
      </c>
      <c r="L18" s="148">
        <f>COUNTIFS('2026 Time Off Request'!$A:$A,'Jan 2026'!$D18,'2026 Time Off Request'!$L:$L,'Jan 2026'!L$6)</f>
        <v>0</v>
      </c>
      <c r="M18" s="146">
        <f>COUNTIFS('2026 Time Off Request'!$A:$A,'Jan 2026'!$D18,'2026 Time Off Request'!$L:$L,'Jan 2026'!M$6)</f>
        <v>0</v>
      </c>
      <c r="N18" s="146">
        <f>COUNTIFS('2026 Time Off Request'!$A:$A,'Jan 2026'!$D18,'2026 Time Off Request'!$L:$L,'Jan 2026'!N$6)</f>
        <v>0</v>
      </c>
      <c r="O18" s="147">
        <f>COUNTIFS('2026 Time Off Request'!$A:$A,'Jan 2026'!$D18,'2026 Time Off Request'!$L:$L,'Jan 2026'!O$6)</f>
        <v>0</v>
      </c>
      <c r="P18" s="147">
        <f>COUNTIFS('2026 Time Off Request'!$A:$A,'Jan 2026'!$D18,'2026 Time Off Request'!$L:$L,'Jan 2026'!P$6)</f>
        <v>0</v>
      </c>
      <c r="Q18" s="146">
        <f>COUNTIFS('2026 Time Off Request'!$A:$A,'Jan 2026'!$D18,'2026 Time Off Request'!$L:$L,'Jan 2026'!Q$6)</f>
        <v>0</v>
      </c>
      <c r="R18" s="148">
        <f>COUNTIFS('2026 Time Off Request'!$A:$A,'Jan 2026'!$D18,'2026 Time Off Request'!$L:$L,'Jan 2026'!R$6)</f>
        <v>0</v>
      </c>
      <c r="S18" s="148">
        <f>COUNTIFS('2026 Time Off Request'!$A:$A,'Jan 2026'!$D18,'2026 Time Off Request'!$L:$L,'Jan 2026'!S$6)</f>
        <v>0</v>
      </c>
      <c r="T18" s="146">
        <f>COUNTIFS('2026 Time Off Request'!$A:$A,'Jan 2026'!$D18,'2026 Time Off Request'!$L:$L,'Jan 2026'!T$6)</f>
        <v>0</v>
      </c>
      <c r="U18" s="146">
        <f>COUNTIFS('2026 Time Off Request'!$A:$A,'Jan 2026'!$D18,'2026 Time Off Request'!$L:$L,'Jan 2026'!U$6)</f>
        <v>0</v>
      </c>
      <c r="V18" s="147">
        <f>COUNTIFS('2026 Time Off Request'!$A:$A,'Jan 2026'!$D18,'2026 Time Off Request'!$L:$L,'Jan 2026'!V$6)</f>
        <v>0</v>
      </c>
      <c r="W18" s="147">
        <f>COUNTIFS('2026 Time Off Request'!$A:$A,'Jan 2026'!$D18,'2026 Time Off Request'!$L:$L,'Jan 2026'!W$6)</f>
        <v>0</v>
      </c>
      <c r="X18" s="146">
        <f>COUNTIFS('2026 Time Off Request'!$A:$A,'Jan 2026'!$D18,'2026 Time Off Request'!$L:$L,'Jan 2026'!X$6)</f>
        <v>0</v>
      </c>
      <c r="Y18" s="148">
        <f>COUNTIFS('2026 Time Off Request'!$A:$A,'Jan 2026'!$D18,'2026 Time Off Request'!$L:$L,'Jan 2026'!Y$6)</f>
        <v>0</v>
      </c>
      <c r="Z18" s="148">
        <f>COUNTIFS('2026 Time Off Request'!$A:$A,'Jan 2026'!$D18,'2026 Time Off Request'!$L:$L,'Jan 2026'!Z$6)</f>
        <v>0</v>
      </c>
      <c r="AA18" s="146">
        <f>COUNTIFS('2026 Time Off Request'!$A:$A,'Jan 2026'!$D18,'2026 Time Off Request'!$L:$L,'Jan 2026'!AA$6)</f>
        <v>0</v>
      </c>
      <c r="AB18" s="146">
        <f>COUNTIFS('2026 Time Off Request'!$A:$A,'Jan 2026'!$D18,'2026 Time Off Request'!$L:$L,'Jan 2026'!AB$6)</f>
        <v>0</v>
      </c>
      <c r="AC18" s="147">
        <f>COUNTIFS('2026 Time Off Request'!$A:$A,'Jan 2026'!$D18,'2026 Time Off Request'!$L:$L,'Jan 2026'!AC$6)</f>
        <v>0</v>
      </c>
      <c r="AD18" s="147">
        <f>COUNTIFS('2026 Time Off Request'!$A:$A,'Jan 2026'!$D18,'2026 Time Off Request'!$L:$L,'Jan 2026'!AD$6)</f>
        <v>0</v>
      </c>
      <c r="AE18" s="148">
        <f>COUNTIFS('2026 Time Off Request'!$A:$A,'Jan 2026'!$D18,'2026 Time Off Request'!$L:$L,'Jan 2026'!AE$6)</f>
        <v>0</v>
      </c>
      <c r="AF18" s="148">
        <f>COUNTIFS('2026 Time Off Request'!$A:$A,'Jan 2026'!$D18,'2026 Time Off Request'!$L:$L,'Jan 2026'!AF$6)</f>
        <v>0</v>
      </c>
      <c r="AG18" s="148">
        <f>COUNTIFS('2026 Time Off Request'!$A:$A,'Jan 2026'!$D18,'2026 Time Off Request'!$L:$L,'Jan 2026'!AG$6)</f>
        <v>0</v>
      </c>
      <c r="AH18" s="146">
        <f>COUNTIFS('2026 Time Off Request'!$A:$A,'Jan 2026'!$D18,'2026 Time Off Request'!$L:$L,'Jan 2026'!AH$6)</f>
        <v>0</v>
      </c>
      <c r="AI18" s="146">
        <f>COUNTIFS('2026 Time Off Request'!$A:$A,'Jan 2026'!$D18,'2026 Time Off Request'!$L:$L,'Jan 2026'!AI$6)</f>
        <v>0</v>
      </c>
      <c r="AJ18" s="149">
        <f>COUNTIFS('2026 Time Off Request'!$A:$A,'Jan 2026'!$D18,'2026 Time Off Request'!$L:$L,'Jan 2026'!AJ$6)</f>
        <v>0</v>
      </c>
    </row>
    <row r="19" spans="1:36" ht="15.6" customHeight="1">
      <c r="A19" s="8">
        <v>12</v>
      </c>
      <c r="B19" s="124" t="s">
        <v>36</v>
      </c>
      <c r="C19" s="120" t="s">
        <v>37</v>
      </c>
      <c r="D19" s="139" t="s">
        <v>43</v>
      </c>
      <c r="E19" s="156">
        <f t="shared" si="2"/>
        <v>1</v>
      </c>
      <c r="F19" s="145">
        <f>COUNTIFS('2026 Time Off Request'!$A:$A,'Jan 2026'!$D19,'2026 Time Off Request'!$L:$L,'Jan 2026'!F$6)</f>
        <v>0</v>
      </c>
      <c r="G19" s="146">
        <f>COUNTIFS('2026 Time Off Request'!$A:$A,'Jan 2026'!$D19,'2026 Time Off Request'!$L:$L,'Jan 2026'!G$6)</f>
        <v>0</v>
      </c>
      <c r="H19" s="147">
        <f>COUNTIFS('2026 Time Off Request'!$A:$A,'Jan 2026'!$D19,'2026 Time Off Request'!$L:$L,'Jan 2026'!H$6)</f>
        <v>0</v>
      </c>
      <c r="I19" s="147">
        <f>COUNTIFS('2026 Time Off Request'!$A:$A,'Jan 2026'!$D19,'2026 Time Off Request'!$L:$L,'Jan 2026'!I$6)</f>
        <v>0</v>
      </c>
      <c r="J19" s="146">
        <f>COUNTIFS('2026 Time Off Request'!$A:$A,'Jan 2026'!$D19,'2026 Time Off Request'!$L:$L,'Jan 2026'!J$6)</f>
        <v>0</v>
      </c>
      <c r="K19" s="148">
        <f>COUNTIFS('2026 Time Off Request'!$A:$A,'Jan 2026'!$D19,'2026 Time Off Request'!$L:$L,'Jan 2026'!K$6)</f>
        <v>0</v>
      </c>
      <c r="L19" s="148">
        <f>COUNTIFS('2026 Time Off Request'!$A:$A,'Jan 2026'!$D19,'2026 Time Off Request'!$L:$L,'Jan 2026'!L$6)</f>
        <v>0</v>
      </c>
      <c r="M19" s="146">
        <f>COUNTIFS('2026 Time Off Request'!$A:$A,'Jan 2026'!$D19,'2026 Time Off Request'!$L:$L,'Jan 2026'!M$6)</f>
        <v>0</v>
      </c>
      <c r="N19" s="146">
        <f>COUNTIFS('2026 Time Off Request'!$A:$A,'Jan 2026'!$D19,'2026 Time Off Request'!$L:$L,'Jan 2026'!N$6)</f>
        <v>0</v>
      </c>
      <c r="O19" s="147">
        <f>COUNTIFS('2026 Time Off Request'!$A:$A,'Jan 2026'!$D19,'2026 Time Off Request'!$L:$L,'Jan 2026'!O$6)</f>
        <v>0</v>
      </c>
      <c r="P19" s="147">
        <f>COUNTIFS('2026 Time Off Request'!$A:$A,'Jan 2026'!$D19,'2026 Time Off Request'!$L:$L,'Jan 2026'!P$6)</f>
        <v>0</v>
      </c>
      <c r="Q19" s="146">
        <f>COUNTIFS('2026 Time Off Request'!$A:$A,'Jan 2026'!$D19,'2026 Time Off Request'!$L:$L,'Jan 2026'!Q$6)</f>
        <v>0</v>
      </c>
      <c r="R19" s="148">
        <f>COUNTIFS('2026 Time Off Request'!$A:$A,'Jan 2026'!$D19,'2026 Time Off Request'!$L:$L,'Jan 2026'!R$6)</f>
        <v>0</v>
      </c>
      <c r="S19" s="148">
        <f>COUNTIFS('2026 Time Off Request'!$A:$A,'Jan 2026'!$D19,'2026 Time Off Request'!$L:$L,'Jan 2026'!S$6)</f>
        <v>0</v>
      </c>
      <c r="T19" s="146">
        <f>COUNTIFS('2026 Time Off Request'!$A:$A,'Jan 2026'!$D19,'2026 Time Off Request'!$L:$L,'Jan 2026'!T$6)</f>
        <v>0</v>
      </c>
      <c r="U19" s="146">
        <f>COUNTIFS('2026 Time Off Request'!$A:$A,'Jan 2026'!$D19,'2026 Time Off Request'!$L:$L,'Jan 2026'!U$6)</f>
        <v>0</v>
      </c>
      <c r="V19" s="147">
        <f>COUNTIFS('2026 Time Off Request'!$A:$A,'Jan 2026'!$D19,'2026 Time Off Request'!$L:$L,'Jan 2026'!V$6)</f>
        <v>0</v>
      </c>
      <c r="W19" s="147">
        <f>COUNTIFS('2026 Time Off Request'!$A:$A,'Jan 2026'!$D19,'2026 Time Off Request'!$L:$L,'Jan 2026'!W$6)</f>
        <v>0</v>
      </c>
      <c r="X19" s="146">
        <f>COUNTIFS('2026 Time Off Request'!$A:$A,'Jan 2026'!$D19,'2026 Time Off Request'!$L:$L,'Jan 2026'!X$6)</f>
        <v>0</v>
      </c>
      <c r="Y19" s="148">
        <f>COUNTIFS('2026 Time Off Request'!$A:$A,'Jan 2026'!$D19,'2026 Time Off Request'!$L:$L,'Jan 2026'!Y$6)</f>
        <v>0</v>
      </c>
      <c r="Z19" s="148">
        <f>COUNTIFS('2026 Time Off Request'!$A:$A,'Jan 2026'!$D19,'2026 Time Off Request'!$L:$L,'Jan 2026'!Z$6)</f>
        <v>0</v>
      </c>
      <c r="AA19" s="146">
        <f>COUNTIFS('2026 Time Off Request'!$A:$A,'Jan 2026'!$D19,'2026 Time Off Request'!$L:$L,'Jan 2026'!AA$6)</f>
        <v>0</v>
      </c>
      <c r="AB19" s="146">
        <f>COUNTIFS('2026 Time Off Request'!$A:$A,'Jan 2026'!$D19,'2026 Time Off Request'!$L:$L,'Jan 2026'!AB$6)</f>
        <v>0</v>
      </c>
      <c r="AC19" s="147">
        <f>COUNTIFS('2026 Time Off Request'!$A:$A,'Jan 2026'!$D19,'2026 Time Off Request'!$L:$L,'Jan 2026'!AC$6)</f>
        <v>0</v>
      </c>
      <c r="AD19" s="147">
        <f>COUNTIFS('2026 Time Off Request'!$A:$A,'Jan 2026'!$D19,'2026 Time Off Request'!$L:$L,'Jan 2026'!AD$6)</f>
        <v>0</v>
      </c>
      <c r="AE19" s="148">
        <f>COUNTIFS('2026 Time Off Request'!$A:$A,'Jan 2026'!$D19,'2026 Time Off Request'!$L:$L,'Jan 2026'!AE$6)</f>
        <v>0</v>
      </c>
      <c r="AF19" s="148">
        <f>COUNTIFS('2026 Time Off Request'!$A:$A,'Jan 2026'!$D19,'2026 Time Off Request'!$L:$L,'Jan 2026'!AF$6)</f>
        <v>0</v>
      </c>
      <c r="AG19" s="148">
        <f>COUNTIFS('2026 Time Off Request'!$A:$A,'Jan 2026'!$D19,'2026 Time Off Request'!$L:$L,'Jan 2026'!AG$6)</f>
        <v>0</v>
      </c>
      <c r="AH19" s="146">
        <f>COUNTIFS('2026 Time Off Request'!$A:$A,'Jan 2026'!$D19,'2026 Time Off Request'!$L:$L,'Jan 2026'!AH$6)</f>
        <v>0</v>
      </c>
      <c r="AI19" s="146">
        <f>COUNTIFS('2026 Time Off Request'!$A:$A,'Jan 2026'!$D19,'2026 Time Off Request'!$L:$L,'Jan 2026'!AI$6)</f>
        <v>1</v>
      </c>
      <c r="AJ19" s="149">
        <f>COUNTIFS('2026 Time Off Request'!$A:$A,'Jan 2026'!$D19,'2026 Time Off Request'!$L:$L,'Jan 2026'!AJ$6)</f>
        <v>0</v>
      </c>
    </row>
    <row r="20" spans="1:36" ht="15.6" customHeight="1">
      <c r="A20" s="8">
        <v>13</v>
      </c>
      <c r="B20" s="124" t="s">
        <v>36</v>
      </c>
      <c r="C20" s="120" t="s">
        <v>37</v>
      </c>
      <c r="D20" s="139" t="s">
        <v>44</v>
      </c>
      <c r="E20" s="156">
        <f t="shared" si="2"/>
        <v>0</v>
      </c>
      <c r="F20" s="145">
        <f>COUNTIFS('2026 Time Off Request'!$A:$A,'Jan 2026'!$D20,'2026 Time Off Request'!$L:$L,'Jan 2026'!F$6)</f>
        <v>0</v>
      </c>
      <c r="G20" s="146">
        <f>COUNTIFS('2026 Time Off Request'!$A:$A,'Jan 2026'!$D20,'2026 Time Off Request'!$L:$L,'Jan 2026'!G$6)</f>
        <v>0</v>
      </c>
      <c r="H20" s="147">
        <f>COUNTIFS('2026 Time Off Request'!$A:$A,'Jan 2026'!$D20,'2026 Time Off Request'!$L:$L,'Jan 2026'!H$6)</f>
        <v>0</v>
      </c>
      <c r="I20" s="147">
        <f>COUNTIFS('2026 Time Off Request'!$A:$A,'Jan 2026'!$D20,'2026 Time Off Request'!$L:$L,'Jan 2026'!I$6)</f>
        <v>0</v>
      </c>
      <c r="J20" s="146">
        <f>COUNTIFS('2026 Time Off Request'!$A:$A,'Jan 2026'!$D20,'2026 Time Off Request'!$L:$L,'Jan 2026'!J$6)</f>
        <v>0</v>
      </c>
      <c r="K20" s="148">
        <f>COUNTIFS('2026 Time Off Request'!$A:$A,'Jan 2026'!$D20,'2026 Time Off Request'!$L:$L,'Jan 2026'!K$6)</f>
        <v>0</v>
      </c>
      <c r="L20" s="148">
        <f>COUNTIFS('2026 Time Off Request'!$A:$A,'Jan 2026'!$D20,'2026 Time Off Request'!$L:$L,'Jan 2026'!L$6)</f>
        <v>0</v>
      </c>
      <c r="M20" s="146">
        <f>COUNTIFS('2026 Time Off Request'!$A:$A,'Jan 2026'!$D20,'2026 Time Off Request'!$L:$L,'Jan 2026'!M$6)</f>
        <v>0</v>
      </c>
      <c r="N20" s="146">
        <f>COUNTIFS('2026 Time Off Request'!$A:$A,'Jan 2026'!$D20,'2026 Time Off Request'!$L:$L,'Jan 2026'!N$6)</f>
        <v>0</v>
      </c>
      <c r="O20" s="147">
        <f>COUNTIFS('2026 Time Off Request'!$A:$A,'Jan 2026'!$D20,'2026 Time Off Request'!$L:$L,'Jan 2026'!O$6)</f>
        <v>0</v>
      </c>
      <c r="P20" s="147">
        <f>COUNTIFS('2026 Time Off Request'!$A:$A,'Jan 2026'!$D20,'2026 Time Off Request'!$L:$L,'Jan 2026'!P$6)</f>
        <v>0</v>
      </c>
      <c r="Q20" s="146">
        <f>COUNTIFS('2026 Time Off Request'!$A:$A,'Jan 2026'!$D20,'2026 Time Off Request'!$L:$L,'Jan 2026'!Q$6)</f>
        <v>0</v>
      </c>
      <c r="R20" s="148">
        <f>COUNTIFS('2026 Time Off Request'!$A:$A,'Jan 2026'!$D20,'2026 Time Off Request'!$L:$L,'Jan 2026'!R$6)</f>
        <v>0</v>
      </c>
      <c r="S20" s="148">
        <f>COUNTIFS('2026 Time Off Request'!$A:$A,'Jan 2026'!$D20,'2026 Time Off Request'!$L:$L,'Jan 2026'!S$6)</f>
        <v>0</v>
      </c>
      <c r="T20" s="146">
        <f>COUNTIFS('2026 Time Off Request'!$A:$A,'Jan 2026'!$D20,'2026 Time Off Request'!$L:$L,'Jan 2026'!T$6)</f>
        <v>0</v>
      </c>
      <c r="U20" s="146">
        <f>COUNTIFS('2026 Time Off Request'!$A:$A,'Jan 2026'!$D20,'2026 Time Off Request'!$L:$L,'Jan 2026'!U$6)</f>
        <v>0</v>
      </c>
      <c r="V20" s="147">
        <f>COUNTIFS('2026 Time Off Request'!$A:$A,'Jan 2026'!$D20,'2026 Time Off Request'!$L:$L,'Jan 2026'!V$6)</f>
        <v>0</v>
      </c>
      <c r="W20" s="147">
        <f>COUNTIFS('2026 Time Off Request'!$A:$A,'Jan 2026'!$D20,'2026 Time Off Request'!$L:$L,'Jan 2026'!W$6)</f>
        <v>0</v>
      </c>
      <c r="X20" s="146">
        <f>COUNTIFS('2026 Time Off Request'!$A:$A,'Jan 2026'!$D20,'2026 Time Off Request'!$L:$L,'Jan 2026'!X$6)</f>
        <v>0</v>
      </c>
      <c r="Y20" s="148">
        <f>COUNTIFS('2026 Time Off Request'!$A:$A,'Jan 2026'!$D20,'2026 Time Off Request'!$L:$L,'Jan 2026'!Y$6)</f>
        <v>0</v>
      </c>
      <c r="Z20" s="148">
        <f>COUNTIFS('2026 Time Off Request'!$A:$A,'Jan 2026'!$D20,'2026 Time Off Request'!$L:$L,'Jan 2026'!Z$6)</f>
        <v>0</v>
      </c>
      <c r="AA20" s="146">
        <f>COUNTIFS('2026 Time Off Request'!$A:$A,'Jan 2026'!$D20,'2026 Time Off Request'!$L:$L,'Jan 2026'!AA$6)</f>
        <v>0</v>
      </c>
      <c r="AB20" s="146">
        <f>COUNTIFS('2026 Time Off Request'!$A:$A,'Jan 2026'!$D20,'2026 Time Off Request'!$L:$L,'Jan 2026'!AB$6)</f>
        <v>0</v>
      </c>
      <c r="AC20" s="147">
        <f>COUNTIFS('2026 Time Off Request'!$A:$A,'Jan 2026'!$D20,'2026 Time Off Request'!$L:$L,'Jan 2026'!AC$6)</f>
        <v>0</v>
      </c>
      <c r="AD20" s="147">
        <f>COUNTIFS('2026 Time Off Request'!$A:$A,'Jan 2026'!$D20,'2026 Time Off Request'!$L:$L,'Jan 2026'!AD$6)</f>
        <v>0</v>
      </c>
      <c r="AE20" s="148">
        <f>COUNTIFS('2026 Time Off Request'!$A:$A,'Jan 2026'!$D20,'2026 Time Off Request'!$L:$L,'Jan 2026'!AE$6)</f>
        <v>0</v>
      </c>
      <c r="AF20" s="148">
        <f>COUNTIFS('2026 Time Off Request'!$A:$A,'Jan 2026'!$D20,'2026 Time Off Request'!$L:$L,'Jan 2026'!AF$6)</f>
        <v>0</v>
      </c>
      <c r="AG20" s="148">
        <f>COUNTIFS('2026 Time Off Request'!$A:$A,'Jan 2026'!$D20,'2026 Time Off Request'!$L:$L,'Jan 2026'!AG$6)</f>
        <v>0</v>
      </c>
      <c r="AH20" s="146">
        <f>COUNTIFS('2026 Time Off Request'!$A:$A,'Jan 2026'!$D20,'2026 Time Off Request'!$L:$L,'Jan 2026'!AH$6)</f>
        <v>0</v>
      </c>
      <c r="AI20" s="146">
        <f>COUNTIFS('2026 Time Off Request'!$A:$A,'Jan 2026'!$D20,'2026 Time Off Request'!$L:$L,'Jan 2026'!AI$6)</f>
        <v>0</v>
      </c>
      <c r="AJ20" s="149">
        <f>COUNTIFS('2026 Time Off Request'!$A:$A,'Jan 2026'!$D20,'2026 Time Off Request'!$L:$L,'Jan 2026'!AJ$6)</f>
        <v>0</v>
      </c>
    </row>
    <row r="21" spans="1:36" ht="15.6" customHeight="1">
      <c r="A21" s="8">
        <v>14</v>
      </c>
      <c r="B21" s="124" t="s">
        <v>45</v>
      </c>
      <c r="C21" s="120" t="s">
        <v>37</v>
      </c>
      <c r="D21" s="139" t="s">
        <v>46</v>
      </c>
      <c r="E21" s="156">
        <f t="shared" si="2"/>
        <v>0</v>
      </c>
      <c r="F21" s="145">
        <f>COUNTIFS('2026 Time Off Request'!$A:$A,'Jan 2026'!$D21,'2026 Time Off Request'!$L:$L,'Jan 2026'!F$6)</f>
        <v>0</v>
      </c>
      <c r="G21" s="146">
        <f>COUNTIFS('2026 Time Off Request'!$A:$A,'Jan 2026'!$D21,'2026 Time Off Request'!$L:$L,'Jan 2026'!G$6)</f>
        <v>0</v>
      </c>
      <c r="H21" s="147">
        <f>COUNTIFS('2026 Time Off Request'!$A:$A,'Jan 2026'!$D21,'2026 Time Off Request'!$L:$L,'Jan 2026'!H$6)</f>
        <v>0</v>
      </c>
      <c r="I21" s="147">
        <f>COUNTIFS('2026 Time Off Request'!$A:$A,'Jan 2026'!$D21,'2026 Time Off Request'!$L:$L,'Jan 2026'!I$6)</f>
        <v>0</v>
      </c>
      <c r="J21" s="146">
        <f>COUNTIFS('2026 Time Off Request'!$A:$A,'Jan 2026'!$D21,'2026 Time Off Request'!$L:$L,'Jan 2026'!J$6)</f>
        <v>0</v>
      </c>
      <c r="K21" s="148">
        <f>COUNTIFS('2026 Time Off Request'!$A:$A,'Jan 2026'!$D21,'2026 Time Off Request'!$L:$L,'Jan 2026'!K$6)</f>
        <v>0</v>
      </c>
      <c r="L21" s="148">
        <f>COUNTIFS('2026 Time Off Request'!$A:$A,'Jan 2026'!$D21,'2026 Time Off Request'!$L:$L,'Jan 2026'!L$6)</f>
        <v>0</v>
      </c>
      <c r="M21" s="146">
        <f>COUNTIFS('2026 Time Off Request'!$A:$A,'Jan 2026'!$D21,'2026 Time Off Request'!$L:$L,'Jan 2026'!M$6)</f>
        <v>0</v>
      </c>
      <c r="N21" s="146">
        <f>COUNTIFS('2026 Time Off Request'!$A:$A,'Jan 2026'!$D21,'2026 Time Off Request'!$L:$L,'Jan 2026'!N$6)</f>
        <v>0</v>
      </c>
      <c r="O21" s="147">
        <f>COUNTIFS('2026 Time Off Request'!$A:$A,'Jan 2026'!$D21,'2026 Time Off Request'!$L:$L,'Jan 2026'!O$6)</f>
        <v>0</v>
      </c>
      <c r="P21" s="147">
        <f>COUNTIFS('2026 Time Off Request'!$A:$A,'Jan 2026'!$D21,'2026 Time Off Request'!$L:$L,'Jan 2026'!P$6)</f>
        <v>0</v>
      </c>
      <c r="Q21" s="146">
        <f>COUNTIFS('2026 Time Off Request'!$A:$A,'Jan 2026'!$D21,'2026 Time Off Request'!$L:$L,'Jan 2026'!Q$6)</f>
        <v>0</v>
      </c>
      <c r="R21" s="148">
        <f>COUNTIFS('2026 Time Off Request'!$A:$A,'Jan 2026'!$D21,'2026 Time Off Request'!$L:$L,'Jan 2026'!R$6)</f>
        <v>0</v>
      </c>
      <c r="S21" s="148">
        <f>COUNTIFS('2026 Time Off Request'!$A:$A,'Jan 2026'!$D21,'2026 Time Off Request'!$L:$L,'Jan 2026'!S$6)</f>
        <v>0</v>
      </c>
      <c r="T21" s="146">
        <f>COUNTIFS('2026 Time Off Request'!$A:$A,'Jan 2026'!$D21,'2026 Time Off Request'!$L:$L,'Jan 2026'!T$6)</f>
        <v>0</v>
      </c>
      <c r="U21" s="146">
        <f>COUNTIFS('2026 Time Off Request'!$A:$A,'Jan 2026'!$D21,'2026 Time Off Request'!$L:$L,'Jan 2026'!U$6)</f>
        <v>0</v>
      </c>
      <c r="V21" s="147">
        <f>COUNTIFS('2026 Time Off Request'!$A:$A,'Jan 2026'!$D21,'2026 Time Off Request'!$L:$L,'Jan 2026'!V$6)</f>
        <v>0</v>
      </c>
      <c r="W21" s="147">
        <f>COUNTIFS('2026 Time Off Request'!$A:$A,'Jan 2026'!$D21,'2026 Time Off Request'!$L:$L,'Jan 2026'!W$6)</f>
        <v>0</v>
      </c>
      <c r="X21" s="146">
        <f>COUNTIFS('2026 Time Off Request'!$A:$A,'Jan 2026'!$D21,'2026 Time Off Request'!$L:$L,'Jan 2026'!X$6)</f>
        <v>0</v>
      </c>
      <c r="Y21" s="148">
        <f>COUNTIFS('2026 Time Off Request'!$A:$A,'Jan 2026'!$D21,'2026 Time Off Request'!$L:$L,'Jan 2026'!Y$6)</f>
        <v>0</v>
      </c>
      <c r="Z21" s="148">
        <f>COUNTIFS('2026 Time Off Request'!$A:$A,'Jan 2026'!$D21,'2026 Time Off Request'!$L:$L,'Jan 2026'!Z$6)</f>
        <v>0</v>
      </c>
      <c r="AA21" s="146">
        <f>COUNTIFS('2026 Time Off Request'!$A:$A,'Jan 2026'!$D21,'2026 Time Off Request'!$L:$L,'Jan 2026'!AA$6)</f>
        <v>0</v>
      </c>
      <c r="AB21" s="146">
        <f>COUNTIFS('2026 Time Off Request'!$A:$A,'Jan 2026'!$D21,'2026 Time Off Request'!$L:$L,'Jan 2026'!AB$6)</f>
        <v>0</v>
      </c>
      <c r="AC21" s="147">
        <f>COUNTIFS('2026 Time Off Request'!$A:$A,'Jan 2026'!$D21,'2026 Time Off Request'!$L:$L,'Jan 2026'!AC$6)</f>
        <v>0</v>
      </c>
      <c r="AD21" s="147">
        <f>COUNTIFS('2026 Time Off Request'!$A:$A,'Jan 2026'!$D21,'2026 Time Off Request'!$L:$L,'Jan 2026'!AD$6)</f>
        <v>0</v>
      </c>
      <c r="AE21" s="148">
        <f>COUNTIFS('2026 Time Off Request'!$A:$A,'Jan 2026'!$D21,'2026 Time Off Request'!$L:$L,'Jan 2026'!AE$6)</f>
        <v>0</v>
      </c>
      <c r="AF21" s="148">
        <f>COUNTIFS('2026 Time Off Request'!$A:$A,'Jan 2026'!$D21,'2026 Time Off Request'!$L:$L,'Jan 2026'!AF$6)</f>
        <v>0</v>
      </c>
      <c r="AG21" s="148">
        <f>COUNTIFS('2026 Time Off Request'!$A:$A,'Jan 2026'!$D21,'2026 Time Off Request'!$L:$L,'Jan 2026'!AG$6)</f>
        <v>0</v>
      </c>
      <c r="AH21" s="146">
        <f>COUNTIFS('2026 Time Off Request'!$A:$A,'Jan 2026'!$D21,'2026 Time Off Request'!$L:$L,'Jan 2026'!AH$6)</f>
        <v>0</v>
      </c>
      <c r="AI21" s="146">
        <f>COUNTIFS('2026 Time Off Request'!$A:$A,'Jan 2026'!$D21,'2026 Time Off Request'!$L:$L,'Jan 2026'!AI$6)</f>
        <v>0</v>
      </c>
      <c r="AJ21" s="149">
        <f>COUNTIFS('2026 Time Off Request'!$A:$A,'Jan 2026'!$D21,'2026 Time Off Request'!$L:$L,'Jan 2026'!AJ$6)</f>
        <v>0</v>
      </c>
    </row>
    <row r="22" spans="1:36" ht="15.6" customHeight="1">
      <c r="A22" s="8">
        <v>15</v>
      </c>
      <c r="B22" s="124" t="s">
        <v>45</v>
      </c>
      <c r="C22" s="120" t="s">
        <v>47</v>
      </c>
      <c r="D22" s="139" t="s">
        <v>48</v>
      </c>
      <c r="E22" s="156">
        <f t="shared" si="2"/>
        <v>0</v>
      </c>
      <c r="F22" s="145">
        <f>COUNTIFS('2026 Time Off Request'!$A:$A,'Jan 2026'!$D22,'2026 Time Off Request'!$L:$L,'Jan 2026'!F$6)</f>
        <v>0</v>
      </c>
      <c r="G22" s="146">
        <f>COUNTIFS('2026 Time Off Request'!$A:$A,'Jan 2026'!$D22,'2026 Time Off Request'!$L:$L,'Jan 2026'!G$6)</f>
        <v>0</v>
      </c>
      <c r="H22" s="147">
        <f>COUNTIFS('2026 Time Off Request'!$A:$A,'Jan 2026'!$D22,'2026 Time Off Request'!$L:$L,'Jan 2026'!H$6)</f>
        <v>0</v>
      </c>
      <c r="I22" s="147">
        <f>COUNTIFS('2026 Time Off Request'!$A:$A,'Jan 2026'!$D22,'2026 Time Off Request'!$L:$L,'Jan 2026'!I$6)</f>
        <v>0</v>
      </c>
      <c r="J22" s="146">
        <f>COUNTIFS('2026 Time Off Request'!$A:$A,'Jan 2026'!$D22,'2026 Time Off Request'!$L:$L,'Jan 2026'!J$6)</f>
        <v>0</v>
      </c>
      <c r="K22" s="148">
        <f>COUNTIFS('2026 Time Off Request'!$A:$A,'Jan 2026'!$D22,'2026 Time Off Request'!$L:$L,'Jan 2026'!K$6)</f>
        <v>0</v>
      </c>
      <c r="L22" s="148">
        <f>COUNTIFS('2026 Time Off Request'!$A:$A,'Jan 2026'!$D22,'2026 Time Off Request'!$L:$L,'Jan 2026'!L$6)</f>
        <v>0</v>
      </c>
      <c r="M22" s="146">
        <f>COUNTIFS('2026 Time Off Request'!$A:$A,'Jan 2026'!$D22,'2026 Time Off Request'!$L:$L,'Jan 2026'!M$6)</f>
        <v>0</v>
      </c>
      <c r="N22" s="146">
        <f>COUNTIFS('2026 Time Off Request'!$A:$A,'Jan 2026'!$D22,'2026 Time Off Request'!$L:$L,'Jan 2026'!N$6)</f>
        <v>0</v>
      </c>
      <c r="O22" s="147">
        <f>COUNTIFS('2026 Time Off Request'!$A:$A,'Jan 2026'!$D22,'2026 Time Off Request'!$L:$L,'Jan 2026'!O$6)</f>
        <v>0</v>
      </c>
      <c r="P22" s="147">
        <f>COUNTIFS('2026 Time Off Request'!$A:$A,'Jan 2026'!$D22,'2026 Time Off Request'!$L:$L,'Jan 2026'!P$6)</f>
        <v>0</v>
      </c>
      <c r="Q22" s="146">
        <f>COUNTIFS('2026 Time Off Request'!$A:$A,'Jan 2026'!$D22,'2026 Time Off Request'!$L:$L,'Jan 2026'!Q$6)</f>
        <v>0</v>
      </c>
      <c r="R22" s="148">
        <f>COUNTIFS('2026 Time Off Request'!$A:$A,'Jan 2026'!$D22,'2026 Time Off Request'!$L:$L,'Jan 2026'!R$6)</f>
        <v>0</v>
      </c>
      <c r="S22" s="148">
        <f>COUNTIFS('2026 Time Off Request'!$A:$A,'Jan 2026'!$D22,'2026 Time Off Request'!$L:$L,'Jan 2026'!S$6)</f>
        <v>0</v>
      </c>
      <c r="T22" s="146">
        <f>COUNTIFS('2026 Time Off Request'!$A:$A,'Jan 2026'!$D22,'2026 Time Off Request'!$L:$L,'Jan 2026'!T$6)</f>
        <v>0</v>
      </c>
      <c r="U22" s="146">
        <f>COUNTIFS('2026 Time Off Request'!$A:$A,'Jan 2026'!$D22,'2026 Time Off Request'!$L:$L,'Jan 2026'!U$6)</f>
        <v>0</v>
      </c>
      <c r="V22" s="147">
        <f>COUNTIFS('2026 Time Off Request'!$A:$A,'Jan 2026'!$D22,'2026 Time Off Request'!$L:$L,'Jan 2026'!V$6)</f>
        <v>0</v>
      </c>
      <c r="W22" s="147">
        <f>COUNTIFS('2026 Time Off Request'!$A:$A,'Jan 2026'!$D22,'2026 Time Off Request'!$L:$L,'Jan 2026'!W$6)</f>
        <v>0</v>
      </c>
      <c r="X22" s="146">
        <f>COUNTIFS('2026 Time Off Request'!$A:$A,'Jan 2026'!$D22,'2026 Time Off Request'!$L:$L,'Jan 2026'!X$6)</f>
        <v>0</v>
      </c>
      <c r="Y22" s="148">
        <f>COUNTIFS('2026 Time Off Request'!$A:$A,'Jan 2026'!$D22,'2026 Time Off Request'!$L:$L,'Jan 2026'!Y$6)</f>
        <v>0</v>
      </c>
      <c r="Z22" s="148">
        <f>COUNTIFS('2026 Time Off Request'!$A:$A,'Jan 2026'!$D22,'2026 Time Off Request'!$L:$L,'Jan 2026'!Z$6)</f>
        <v>0</v>
      </c>
      <c r="AA22" s="146">
        <f>COUNTIFS('2026 Time Off Request'!$A:$A,'Jan 2026'!$D22,'2026 Time Off Request'!$L:$L,'Jan 2026'!AA$6)</f>
        <v>0</v>
      </c>
      <c r="AB22" s="146">
        <f>COUNTIFS('2026 Time Off Request'!$A:$A,'Jan 2026'!$D22,'2026 Time Off Request'!$L:$L,'Jan 2026'!AB$6)</f>
        <v>0</v>
      </c>
      <c r="AC22" s="147">
        <f>COUNTIFS('2026 Time Off Request'!$A:$A,'Jan 2026'!$D22,'2026 Time Off Request'!$L:$L,'Jan 2026'!AC$6)</f>
        <v>0</v>
      </c>
      <c r="AD22" s="147">
        <f>COUNTIFS('2026 Time Off Request'!$A:$A,'Jan 2026'!$D22,'2026 Time Off Request'!$L:$L,'Jan 2026'!AD$6)</f>
        <v>0</v>
      </c>
      <c r="AE22" s="148">
        <f>COUNTIFS('2026 Time Off Request'!$A:$A,'Jan 2026'!$D22,'2026 Time Off Request'!$L:$L,'Jan 2026'!AE$6)</f>
        <v>0</v>
      </c>
      <c r="AF22" s="148">
        <f>COUNTIFS('2026 Time Off Request'!$A:$A,'Jan 2026'!$D22,'2026 Time Off Request'!$L:$L,'Jan 2026'!AF$6)</f>
        <v>0</v>
      </c>
      <c r="AG22" s="148">
        <f>COUNTIFS('2026 Time Off Request'!$A:$A,'Jan 2026'!$D22,'2026 Time Off Request'!$L:$L,'Jan 2026'!AG$6)</f>
        <v>0</v>
      </c>
      <c r="AH22" s="146">
        <f>COUNTIFS('2026 Time Off Request'!$A:$A,'Jan 2026'!$D22,'2026 Time Off Request'!$L:$L,'Jan 2026'!AH$6)</f>
        <v>0</v>
      </c>
      <c r="AI22" s="146">
        <f>COUNTIFS('2026 Time Off Request'!$A:$A,'Jan 2026'!$D22,'2026 Time Off Request'!$L:$L,'Jan 2026'!AI$6)</f>
        <v>0</v>
      </c>
      <c r="AJ22" s="149">
        <f>COUNTIFS('2026 Time Off Request'!$A:$A,'Jan 2026'!$D22,'2026 Time Off Request'!$L:$L,'Jan 2026'!AJ$6)</f>
        <v>0</v>
      </c>
    </row>
    <row r="23" spans="1:36" ht="15.6" customHeight="1">
      <c r="A23" s="8">
        <v>16</v>
      </c>
      <c r="B23" s="124" t="s">
        <v>49</v>
      </c>
      <c r="C23" s="120" t="s">
        <v>50</v>
      </c>
      <c r="D23" s="139" t="s">
        <v>51</v>
      </c>
      <c r="E23" s="156">
        <f t="shared" si="2"/>
        <v>4</v>
      </c>
      <c r="F23" s="145">
        <f>COUNTIFS('2026 Time Off Request'!$A:$A,'Jan 2026'!$D23,'2026 Time Off Request'!$L:$L,'Jan 2026'!F$6)</f>
        <v>0</v>
      </c>
      <c r="G23" s="146">
        <f>COUNTIFS('2026 Time Off Request'!$A:$A,'Jan 2026'!$D23,'2026 Time Off Request'!$L:$L,'Jan 2026'!G$6)</f>
        <v>0</v>
      </c>
      <c r="H23" s="147">
        <f>COUNTIFS('2026 Time Off Request'!$A:$A,'Jan 2026'!$D23,'2026 Time Off Request'!$L:$L,'Jan 2026'!H$6)</f>
        <v>0</v>
      </c>
      <c r="I23" s="147">
        <f>COUNTIFS('2026 Time Off Request'!$A:$A,'Jan 2026'!$D23,'2026 Time Off Request'!$L:$L,'Jan 2026'!I$6)</f>
        <v>0</v>
      </c>
      <c r="J23" s="146">
        <f>COUNTIFS('2026 Time Off Request'!$A:$A,'Jan 2026'!$D23,'2026 Time Off Request'!$L:$L,'Jan 2026'!J$6)</f>
        <v>0</v>
      </c>
      <c r="K23" s="148">
        <f>COUNTIFS('2026 Time Off Request'!$A:$A,'Jan 2026'!$D23,'2026 Time Off Request'!$L:$L,'Jan 2026'!K$6)</f>
        <v>0</v>
      </c>
      <c r="L23" s="148">
        <f>COUNTIFS('2026 Time Off Request'!$A:$A,'Jan 2026'!$D23,'2026 Time Off Request'!$L:$L,'Jan 2026'!L$6)</f>
        <v>0</v>
      </c>
      <c r="M23" s="146">
        <f>COUNTIFS('2026 Time Off Request'!$A:$A,'Jan 2026'!$D23,'2026 Time Off Request'!$L:$L,'Jan 2026'!M$6)</f>
        <v>0</v>
      </c>
      <c r="N23" s="146">
        <f>COUNTIFS('2026 Time Off Request'!$A:$A,'Jan 2026'!$D23,'2026 Time Off Request'!$L:$L,'Jan 2026'!N$6)</f>
        <v>0</v>
      </c>
      <c r="O23" s="147">
        <f>COUNTIFS('2026 Time Off Request'!$A:$A,'Jan 2026'!$D23,'2026 Time Off Request'!$L:$L,'Jan 2026'!O$6)</f>
        <v>0</v>
      </c>
      <c r="P23" s="147">
        <f>COUNTIFS('2026 Time Off Request'!$A:$A,'Jan 2026'!$D23,'2026 Time Off Request'!$L:$L,'Jan 2026'!P$6)</f>
        <v>0</v>
      </c>
      <c r="Q23" s="146">
        <f>COUNTIFS('2026 Time Off Request'!$A:$A,'Jan 2026'!$D23,'2026 Time Off Request'!$L:$L,'Jan 2026'!Q$6)</f>
        <v>0</v>
      </c>
      <c r="R23" s="148">
        <f>COUNTIFS('2026 Time Off Request'!$A:$A,'Jan 2026'!$D23,'2026 Time Off Request'!$L:$L,'Jan 2026'!R$6)</f>
        <v>0</v>
      </c>
      <c r="S23" s="148">
        <f>COUNTIFS('2026 Time Off Request'!$A:$A,'Jan 2026'!$D23,'2026 Time Off Request'!$L:$L,'Jan 2026'!S$6)</f>
        <v>0</v>
      </c>
      <c r="T23" s="146">
        <f>COUNTIFS('2026 Time Off Request'!$A:$A,'Jan 2026'!$D23,'2026 Time Off Request'!$L:$L,'Jan 2026'!T$6)</f>
        <v>0</v>
      </c>
      <c r="U23" s="146">
        <f>COUNTIFS('2026 Time Off Request'!$A:$A,'Jan 2026'!$D23,'2026 Time Off Request'!$L:$L,'Jan 2026'!U$6)</f>
        <v>0</v>
      </c>
      <c r="V23" s="147">
        <f>COUNTIFS('2026 Time Off Request'!$A:$A,'Jan 2026'!$D23,'2026 Time Off Request'!$L:$L,'Jan 2026'!V$6)</f>
        <v>0</v>
      </c>
      <c r="W23" s="147">
        <f>COUNTIFS('2026 Time Off Request'!$A:$A,'Jan 2026'!$D23,'2026 Time Off Request'!$L:$L,'Jan 2026'!W$6)</f>
        <v>0</v>
      </c>
      <c r="X23" s="146">
        <f>COUNTIFS('2026 Time Off Request'!$A:$A,'Jan 2026'!$D23,'2026 Time Off Request'!$L:$L,'Jan 2026'!X$6)</f>
        <v>0</v>
      </c>
      <c r="Y23" s="148">
        <f>COUNTIFS('2026 Time Off Request'!$A:$A,'Jan 2026'!$D23,'2026 Time Off Request'!$L:$L,'Jan 2026'!Y$6)</f>
        <v>0</v>
      </c>
      <c r="Z23" s="148">
        <f>COUNTIFS('2026 Time Off Request'!$A:$A,'Jan 2026'!$D23,'2026 Time Off Request'!$L:$L,'Jan 2026'!Z$6)</f>
        <v>0</v>
      </c>
      <c r="AA23" s="146">
        <f>COUNTIFS('2026 Time Off Request'!$A:$A,'Jan 2026'!$D23,'2026 Time Off Request'!$L:$L,'Jan 2026'!AA$6)</f>
        <v>0</v>
      </c>
      <c r="AB23" s="146">
        <f>COUNTIFS('2026 Time Off Request'!$A:$A,'Jan 2026'!$D23,'2026 Time Off Request'!$L:$L,'Jan 2026'!AB$6)</f>
        <v>0</v>
      </c>
      <c r="AC23" s="147">
        <f>COUNTIFS('2026 Time Off Request'!$A:$A,'Jan 2026'!$D23,'2026 Time Off Request'!$L:$L,'Jan 2026'!AC$6)</f>
        <v>0</v>
      </c>
      <c r="AD23" s="147">
        <f>COUNTIFS('2026 Time Off Request'!$A:$A,'Jan 2026'!$D23,'2026 Time Off Request'!$L:$L,'Jan 2026'!AD$6)</f>
        <v>0</v>
      </c>
      <c r="AE23" s="148">
        <f>COUNTIFS('2026 Time Off Request'!$A:$A,'Jan 2026'!$D23,'2026 Time Off Request'!$L:$L,'Jan 2026'!AE$6)</f>
        <v>1</v>
      </c>
      <c r="AF23" s="148">
        <f>COUNTIFS('2026 Time Off Request'!$A:$A,'Jan 2026'!$D23,'2026 Time Off Request'!$L:$L,'Jan 2026'!AF$6)</f>
        <v>1</v>
      </c>
      <c r="AG23" s="148">
        <f>COUNTIFS('2026 Time Off Request'!$A:$A,'Jan 2026'!$D23,'2026 Time Off Request'!$L:$L,'Jan 2026'!AG$6)</f>
        <v>1</v>
      </c>
      <c r="AH23" s="146">
        <f>COUNTIFS('2026 Time Off Request'!$A:$A,'Jan 2026'!$D23,'2026 Time Off Request'!$L:$L,'Jan 2026'!AH$6)</f>
        <v>1</v>
      </c>
      <c r="AI23" s="146">
        <f>COUNTIFS('2026 Time Off Request'!$A:$A,'Jan 2026'!$D23,'2026 Time Off Request'!$L:$L,'Jan 2026'!AI$6)</f>
        <v>0</v>
      </c>
      <c r="AJ23" s="149">
        <f>COUNTIFS('2026 Time Off Request'!$A:$A,'Jan 2026'!$D23,'2026 Time Off Request'!$L:$L,'Jan 2026'!AJ$6)</f>
        <v>0</v>
      </c>
    </row>
    <row r="24" spans="1:36" ht="15.6" customHeight="1">
      <c r="A24" s="8">
        <v>17</v>
      </c>
      <c r="B24" s="124" t="s">
        <v>45</v>
      </c>
      <c r="C24" s="120" t="s">
        <v>52</v>
      </c>
      <c r="D24" s="139" t="s">
        <v>53</v>
      </c>
      <c r="E24" s="156">
        <f t="shared" si="2"/>
        <v>0</v>
      </c>
      <c r="F24" s="145">
        <f>COUNTIFS('2026 Time Off Request'!$A:$A,'Jan 2026'!$D24,'2026 Time Off Request'!$L:$L,'Jan 2026'!F$6)</f>
        <v>0</v>
      </c>
      <c r="G24" s="146">
        <f>COUNTIFS('2026 Time Off Request'!$A:$A,'Jan 2026'!$D24,'2026 Time Off Request'!$L:$L,'Jan 2026'!G$6)</f>
        <v>0</v>
      </c>
      <c r="H24" s="147">
        <f>COUNTIFS('2026 Time Off Request'!$A:$A,'Jan 2026'!$D24,'2026 Time Off Request'!$L:$L,'Jan 2026'!H$6)</f>
        <v>0</v>
      </c>
      <c r="I24" s="147">
        <f>COUNTIFS('2026 Time Off Request'!$A:$A,'Jan 2026'!$D24,'2026 Time Off Request'!$L:$L,'Jan 2026'!I$6)</f>
        <v>0</v>
      </c>
      <c r="J24" s="146">
        <f>COUNTIFS('2026 Time Off Request'!$A:$A,'Jan 2026'!$D24,'2026 Time Off Request'!$L:$L,'Jan 2026'!J$6)</f>
        <v>0</v>
      </c>
      <c r="K24" s="148">
        <f>COUNTIFS('2026 Time Off Request'!$A:$A,'Jan 2026'!$D24,'2026 Time Off Request'!$L:$L,'Jan 2026'!K$6)</f>
        <v>0</v>
      </c>
      <c r="L24" s="148">
        <f>COUNTIFS('2026 Time Off Request'!$A:$A,'Jan 2026'!$D24,'2026 Time Off Request'!$L:$L,'Jan 2026'!L$6)</f>
        <v>0</v>
      </c>
      <c r="M24" s="146">
        <f>COUNTIFS('2026 Time Off Request'!$A:$A,'Jan 2026'!$D24,'2026 Time Off Request'!$L:$L,'Jan 2026'!M$6)</f>
        <v>0</v>
      </c>
      <c r="N24" s="146">
        <f>COUNTIFS('2026 Time Off Request'!$A:$A,'Jan 2026'!$D24,'2026 Time Off Request'!$L:$L,'Jan 2026'!N$6)</f>
        <v>0</v>
      </c>
      <c r="O24" s="147">
        <f>COUNTIFS('2026 Time Off Request'!$A:$A,'Jan 2026'!$D24,'2026 Time Off Request'!$L:$L,'Jan 2026'!O$6)</f>
        <v>0</v>
      </c>
      <c r="P24" s="147">
        <f>COUNTIFS('2026 Time Off Request'!$A:$A,'Jan 2026'!$D24,'2026 Time Off Request'!$L:$L,'Jan 2026'!P$6)</f>
        <v>0</v>
      </c>
      <c r="Q24" s="146">
        <f>COUNTIFS('2026 Time Off Request'!$A:$A,'Jan 2026'!$D24,'2026 Time Off Request'!$L:$L,'Jan 2026'!Q$6)</f>
        <v>0</v>
      </c>
      <c r="R24" s="148">
        <f>COUNTIFS('2026 Time Off Request'!$A:$A,'Jan 2026'!$D24,'2026 Time Off Request'!$L:$L,'Jan 2026'!R$6)</f>
        <v>0</v>
      </c>
      <c r="S24" s="148">
        <f>COUNTIFS('2026 Time Off Request'!$A:$A,'Jan 2026'!$D24,'2026 Time Off Request'!$L:$L,'Jan 2026'!S$6)</f>
        <v>0</v>
      </c>
      <c r="T24" s="146">
        <f>COUNTIFS('2026 Time Off Request'!$A:$A,'Jan 2026'!$D24,'2026 Time Off Request'!$L:$L,'Jan 2026'!T$6)</f>
        <v>0</v>
      </c>
      <c r="U24" s="146">
        <f>COUNTIFS('2026 Time Off Request'!$A:$A,'Jan 2026'!$D24,'2026 Time Off Request'!$L:$L,'Jan 2026'!U$6)</f>
        <v>0</v>
      </c>
      <c r="V24" s="147">
        <f>COUNTIFS('2026 Time Off Request'!$A:$A,'Jan 2026'!$D24,'2026 Time Off Request'!$L:$L,'Jan 2026'!V$6)</f>
        <v>0</v>
      </c>
      <c r="W24" s="147">
        <f>COUNTIFS('2026 Time Off Request'!$A:$A,'Jan 2026'!$D24,'2026 Time Off Request'!$L:$L,'Jan 2026'!W$6)</f>
        <v>0</v>
      </c>
      <c r="X24" s="146">
        <f>COUNTIFS('2026 Time Off Request'!$A:$A,'Jan 2026'!$D24,'2026 Time Off Request'!$L:$L,'Jan 2026'!X$6)</f>
        <v>0</v>
      </c>
      <c r="Y24" s="148">
        <f>COUNTIFS('2026 Time Off Request'!$A:$A,'Jan 2026'!$D24,'2026 Time Off Request'!$L:$L,'Jan 2026'!Y$6)</f>
        <v>0</v>
      </c>
      <c r="Z24" s="148">
        <f>COUNTIFS('2026 Time Off Request'!$A:$A,'Jan 2026'!$D24,'2026 Time Off Request'!$L:$L,'Jan 2026'!Z$6)</f>
        <v>0</v>
      </c>
      <c r="AA24" s="146">
        <f>COUNTIFS('2026 Time Off Request'!$A:$A,'Jan 2026'!$D24,'2026 Time Off Request'!$L:$L,'Jan 2026'!AA$6)</f>
        <v>0</v>
      </c>
      <c r="AB24" s="146">
        <f>COUNTIFS('2026 Time Off Request'!$A:$A,'Jan 2026'!$D24,'2026 Time Off Request'!$L:$L,'Jan 2026'!AB$6)</f>
        <v>0</v>
      </c>
      <c r="AC24" s="147">
        <f>COUNTIFS('2026 Time Off Request'!$A:$A,'Jan 2026'!$D24,'2026 Time Off Request'!$L:$L,'Jan 2026'!AC$6)</f>
        <v>0</v>
      </c>
      <c r="AD24" s="147">
        <f>COUNTIFS('2026 Time Off Request'!$A:$A,'Jan 2026'!$D24,'2026 Time Off Request'!$L:$L,'Jan 2026'!AD$6)</f>
        <v>0</v>
      </c>
      <c r="AE24" s="148">
        <f>COUNTIFS('2026 Time Off Request'!$A:$A,'Jan 2026'!$D24,'2026 Time Off Request'!$L:$L,'Jan 2026'!AE$6)</f>
        <v>0</v>
      </c>
      <c r="AF24" s="148">
        <f>COUNTIFS('2026 Time Off Request'!$A:$A,'Jan 2026'!$D24,'2026 Time Off Request'!$L:$L,'Jan 2026'!AF$6)</f>
        <v>0</v>
      </c>
      <c r="AG24" s="148">
        <f>COUNTIFS('2026 Time Off Request'!$A:$A,'Jan 2026'!$D24,'2026 Time Off Request'!$L:$L,'Jan 2026'!AG$6)</f>
        <v>0</v>
      </c>
      <c r="AH24" s="146">
        <f>COUNTIFS('2026 Time Off Request'!$A:$A,'Jan 2026'!$D24,'2026 Time Off Request'!$L:$L,'Jan 2026'!AH$6)</f>
        <v>0</v>
      </c>
      <c r="AI24" s="146">
        <f>COUNTIFS('2026 Time Off Request'!$A:$A,'Jan 2026'!$D24,'2026 Time Off Request'!$L:$L,'Jan 2026'!AI$6)</f>
        <v>0</v>
      </c>
      <c r="AJ24" s="149">
        <f>COUNTIFS('2026 Time Off Request'!$A:$A,'Jan 2026'!$D24,'2026 Time Off Request'!$L:$L,'Jan 2026'!AJ$6)</f>
        <v>0</v>
      </c>
    </row>
    <row r="25" spans="1:36" ht="15.6" customHeight="1">
      <c r="A25" s="8">
        <v>18</v>
      </c>
      <c r="B25" s="124" t="s">
        <v>45</v>
      </c>
      <c r="C25" s="120" t="s">
        <v>55</v>
      </c>
      <c r="D25" s="139" t="s">
        <v>56</v>
      </c>
      <c r="E25" s="156">
        <f t="shared" si="2"/>
        <v>3</v>
      </c>
      <c r="F25" s="145">
        <f>COUNTIFS('2026 Time Off Request'!$A:$A,'Jan 2026'!$D25,'2026 Time Off Request'!$L:$L,'Jan 2026'!F$6)</f>
        <v>0</v>
      </c>
      <c r="G25" s="146">
        <f>COUNTIFS('2026 Time Off Request'!$A:$A,'Jan 2026'!$D25,'2026 Time Off Request'!$L:$L,'Jan 2026'!G$6)</f>
        <v>0</v>
      </c>
      <c r="H25" s="147">
        <f>COUNTIFS('2026 Time Off Request'!$A:$A,'Jan 2026'!$D25,'2026 Time Off Request'!$L:$L,'Jan 2026'!H$6)</f>
        <v>0</v>
      </c>
      <c r="I25" s="147">
        <f>COUNTIFS('2026 Time Off Request'!$A:$A,'Jan 2026'!$D25,'2026 Time Off Request'!$L:$L,'Jan 2026'!I$6)</f>
        <v>0</v>
      </c>
      <c r="J25" s="146">
        <f>COUNTIFS('2026 Time Off Request'!$A:$A,'Jan 2026'!$D25,'2026 Time Off Request'!$L:$L,'Jan 2026'!J$6)</f>
        <v>1</v>
      </c>
      <c r="K25" s="148">
        <f>COUNTIFS('2026 Time Off Request'!$A:$A,'Jan 2026'!$D25,'2026 Time Off Request'!$L:$L,'Jan 2026'!K$6)</f>
        <v>0</v>
      </c>
      <c r="L25" s="148">
        <f>COUNTIFS('2026 Time Off Request'!$A:$A,'Jan 2026'!$D25,'2026 Time Off Request'!$L:$L,'Jan 2026'!L$6)</f>
        <v>0</v>
      </c>
      <c r="M25" s="146">
        <f>COUNTIFS('2026 Time Off Request'!$A:$A,'Jan 2026'!$D25,'2026 Time Off Request'!$L:$L,'Jan 2026'!M$6)</f>
        <v>0</v>
      </c>
      <c r="N25" s="146">
        <f>COUNTIFS('2026 Time Off Request'!$A:$A,'Jan 2026'!$D25,'2026 Time Off Request'!$L:$L,'Jan 2026'!N$6)</f>
        <v>1</v>
      </c>
      <c r="O25" s="147">
        <f>COUNTIFS('2026 Time Off Request'!$A:$A,'Jan 2026'!$D25,'2026 Time Off Request'!$L:$L,'Jan 2026'!O$6)</f>
        <v>0</v>
      </c>
      <c r="P25" s="147">
        <f>COUNTIFS('2026 Time Off Request'!$A:$A,'Jan 2026'!$D25,'2026 Time Off Request'!$L:$L,'Jan 2026'!P$6)</f>
        <v>0</v>
      </c>
      <c r="Q25" s="146">
        <f>COUNTIFS('2026 Time Off Request'!$A:$A,'Jan 2026'!$D25,'2026 Time Off Request'!$L:$L,'Jan 2026'!Q$6)</f>
        <v>0</v>
      </c>
      <c r="R25" s="148">
        <f>COUNTIFS('2026 Time Off Request'!$A:$A,'Jan 2026'!$D25,'2026 Time Off Request'!$L:$L,'Jan 2026'!R$6)</f>
        <v>0</v>
      </c>
      <c r="S25" s="148">
        <f>COUNTIFS('2026 Time Off Request'!$A:$A,'Jan 2026'!$D25,'2026 Time Off Request'!$L:$L,'Jan 2026'!S$6)</f>
        <v>0</v>
      </c>
      <c r="T25" s="146">
        <f>COUNTIFS('2026 Time Off Request'!$A:$A,'Jan 2026'!$D25,'2026 Time Off Request'!$L:$L,'Jan 2026'!T$6)</f>
        <v>0</v>
      </c>
      <c r="U25" s="146">
        <f>COUNTIFS('2026 Time Off Request'!$A:$A,'Jan 2026'!$D25,'2026 Time Off Request'!$L:$L,'Jan 2026'!U$6)</f>
        <v>0</v>
      </c>
      <c r="V25" s="147">
        <f>COUNTIFS('2026 Time Off Request'!$A:$A,'Jan 2026'!$D25,'2026 Time Off Request'!$L:$L,'Jan 2026'!V$6)</f>
        <v>0</v>
      </c>
      <c r="W25" s="147">
        <f>COUNTIFS('2026 Time Off Request'!$A:$A,'Jan 2026'!$D25,'2026 Time Off Request'!$L:$L,'Jan 2026'!W$6)</f>
        <v>0</v>
      </c>
      <c r="X25" s="146">
        <f>COUNTIFS('2026 Time Off Request'!$A:$A,'Jan 2026'!$D25,'2026 Time Off Request'!$L:$L,'Jan 2026'!X$6)</f>
        <v>0</v>
      </c>
      <c r="Y25" s="148">
        <f>COUNTIFS('2026 Time Off Request'!$A:$A,'Jan 2026'!$D25,'2026 Time Off Request'!$L:$L,'Jan 2026'!Y$6)</f>
        <v>0</v>
      </c>
      <c r="Z25" s="148">
        <f>COUNTIFS('2026 Time Off Request'!$A:$A,'Jan 2026'!$D25,'2026 Time Off Request'!$L:$L,'Jan 2026'!Z$6)</f>
        <v>0</v>
      </c>
      <c r="AA25" s="146">
        <f>COUNTIFS('2026 Time Off Request'!$A:$A,'Jan 2026'!$D25,'2026 Time Off Request'!$L:$L,'Jan 2026'!AA$6)</f>
        <v>0</v>
      </c>
      <c r="AB25" s="146">
        <f>COUNTIFS('2026 Time Off Request'!$A:$A,'Jan 2026'!$D25,'2026 Time Off Request'!$L:$L,'Jan 2026'!AB$6)</f>
        <v>0</v>
      </c>
      <c r="AC25" s="147">
        <f>COUNTIFS('2026 Time Off Request'!$A:$A,'Jan 2026'!$D25,'2026 Time Off Request'!$L:$L,'Jan 2026'!AC$6)</f>
        <v>0</v>
      </c>
      <c r="AD25" s="147">
        <f>COUNTIFS('2026 Time Off Request'!$A:$A,'Jan 2026'!$D25,'2026 Time Off Request'!$L:$L,'Jan 2026'!AD$6)</f>
        <v>0</v>
      </c>
      <c r="AE25" s="148">
        <f>COUNTIFS('2026 Time Off Request'!$A:$A,'Jan 2026'!$D25,'2026 Time Off Request'!$L:$L,'Jan 2026'!AE$6)</f>
        <v>0</v>
      </c>
      <c r="AF25" s="148">
        <f>COUNTIFS('2026 Time Off Request'!$A:$A,'Jan 2026'!$D25,'2026 Time Off Request'!$L:$L,'Jan 2026'!AF$6)</f>
        <v>1</v>
      </c>
      <c r="AG25" s="148">
        <f>COUNTIFS('2026 Time Off Request'!$A:$A,'Jan 2026'!$D25,'2026 Time Off Request'!$L:$L,'Jan 2026'!AG$6)</f>
        <v>0</v>
      </c>
      <c r="AH25" s="146">
        <f>COUNTIFS('2026 Time Off Request'!$A:$A,'Jan 2026'!$D25,'2026 Time Off Request'!$L:$L,'Jan 2026'!AH$6)</f>
        <v>0</v>
      </c>
      <c r="AI25" s="146">
        <f>COUNTIFS('2026 Time Off Request'!$A:$A,'Jan 2026'!$D25,'2026 Time Off Request'!$L:$L,'Jan 2026'!AI$6)</f>
        <v>0</v>
      </c>
      <c r="AJ25" s="149">
        <f>COUNTIFS('2026 Time Off Request'!$A:$A,'Jan 2026'!$D25,'2026 Time Off Request'!$L:$L,'Jan 2026'!AJ$6)</f>
        <v>0</v>
      </c>
    </row>
    <row r="26" spans="1:36" ht="15.6" customHeight="1">
      <c r="A26" s="8">
        <v>19</v>
      </c>
      <c r="B26" s="124" t="s">
        <v>45</v>
      </c>
      <c r="C26" s="120" t="s">
        <v>58</v>
      </c>
      <c r="D26" s="139" t="s">
        <v>59</v>
      </c>
      <c r="E26" s="156">
        <f t="shared" si="2"/>
        <v>0</v>
      </c>
      <c r="F26" s="145">
        <f>COUNTIFS('2026 Time Off Request'!$A:$A,'Jan 2026'!$D26,'2026 Time Off Request'!$L:$L,'Jan 2026'!F$6)</f>
        <v>0</v>
      </c>
      <c r="G26" s="146">
        <f>COUNTIFS('2026 Time Off Request'!$A:$A,'Jan 2026'!$D26,'2026 Time Off Request'!$L:$L,'Jan 2026'!G$6)</f>
        <v>0</v>
      </c>
      <c r="H26" s="147">
        <f>COUNTIFS('2026 Time Off Request'!$A:$A,'Jan 2026'!$D26,'2026 Time Off Request'!$L:$L,'Jan 2026'!H$6)</f>
        <v>0</v>
      </c>
      <c r="I26" s="147">
        <f>COUNTIFS('2026 Time Off Request'!$A:$A,'Jan 2026'!$D26,'2026 Time Off Request'!$L:$L,'Jan 2026'!I$6)</f>
        <v>0</v>
      </c>
      <c r="J26" s="146">
        <f>COUNTIFS('2026 Time Off Request'!$A:$A,'Jan 2026'!$D26,'2026 Time Off Request'!$L:$L,'Jan 2026'!J$6)</f>
        <v>0</v>
      </c>
      <c r="K26" s="148">
        <f>COUNTIFS('2026 Time Off Request'!$A:$A,'Jan 2026'!$D26,'2026 Time Off Request'!$L:$L,'Jan 2026'!K$6)</f>
        <v>0</v>
      </c>
      <c r="L26" s="148">
        <f>COUNTIFS('2026 Time Off Request'!$A:$A,'Jan 2026'!$D26,'2026 Time Off Request'!$L:$L,'Jan 2026'!L$6)</f>
        <v>0</v>
      </c>
      <c r="M26" s="146">
        <f>COUNTIFS('2026 Time Off Request'!$A:$A,'Jan 2026'!$D26,'2026 Time Off Request'!$L:$L,'Jan 2026'!M$6)</f>
        <v>0</v>
      </c>
      <c r="N26" s="146">
        <f>COUNTIFS('2026 Time Off Request'!$A:$A,'Jan 2026'!$D26,'2026 Time Off Request'!$L:$L,'Jan 2026'!N$6)</f>
        <v>0</v>
      </c>
      <c r="O26" s="147">
        <f>COUNTIFS('2026 Time Off Request'!$A:$A,'Jan 2026'!$D26,'2026 Time Off Request'!$L:$L,'Jan 2026'!O$6)</f>
        <v>0</v>
      </c>
      <c r="P26" s="147">
        <f>COUNTIFS('2026 Time Off Request'!$A:$A,'Jan 2026'!$D26,'2026 Time Off Request'!$L:$L,'Jan 2026'!P$6)</f>
        <v>0</v>
      </c>
      <c r="Q26" s="146">
        <f>COUNTIFS('2026 Time Off Request'!$A:$A,'Jan 2026'!$D26,'2026 Time Off Request'!$L:$L,'Jan 2026'!Q$6)</f>
        <v>0</v>
      </c>
      <c r="R26" s="148">
        <f>COUNTIFS('2026 Time Off Request'!$A:$A,'Jan 2026'!$D26,'2026 Time Off Request'!$L:$L,'Jan 2026'!R$6)</f>
        <v>0</v>
      </c>
      <c r="S26" s="148">
        <f>COUNTIFS('2026 Time Off Request'!$A:$A,'Jan 2026'!$D26,'2026 Time Off Request'!$L:$L,'Jan 2026'!S$6)</f>
        <v>0</v>
      </c>
      <c r="T26" s="146">
        <f>COUNTIFS('2026 Time Off Request'!$A:$A,'Jan 2026'!$D26,'2026 Time Off Request'!$L:$L,'Jan 2026'!T$6)</f>
        <v>0</v>
      </c>
      <c r="U26" s="146">
        <f>COUNTIFS('2026 Time Off Request'!$A:$A,'Jan 2026'!$D26,'2026 Time Off Request'!$L:$L,'Jan 2026'!U$6)</f>
        <v>0</v>
      </c>
      <c r="V26" s="147">
        <f>COUNTIFS('2026 Time Off Request'!$A:$A,'Jan 2026'!$D26,'2026 Time Off Request'!$L:$L,'Jan 2026'!V$6)</f>
        <v>0</v>
      </c>
      <c r="W26" s="147">
        <f>COUNTIFS('2026 Time Off Request'!$A:$A,'Jan 2026'!$D26,'2026 Time Off Request'!$L:$L,'Jan 2026'!W$6)</f>
        <v>0</v>
      </c>
      <c r="X26" s="146">
        <f>COUNTIFS('2026 Time Off Request'!$A:$A,'Jan 2026'!$D26,'2026 Time Off Request'!$L:$L,'Jan 2026'!X$6)</f>
        <v>0</v>
      </c>
      <c r="Y26" s="148">
        <f>COUNTIFS('2026 Time Off Request'!$A:$A,'Jan 2026'!$D26,'2026 Time Off Request'!$L:$L,'Jan 2026'!Y$6)</f>
        <v>0</v>
      </c>
      <c r="Z26" s="148">
        <f>COUNTIFS('2026 Time Off Request'!$A:$A,'Jan 2026'!$D26,'2026 Time Off Request'!$L:$L,'Jan 2026'!Z$6)</f>
        <v>0</v>
      </c>
      <c r="AA26" s="146">
        <f>COUNTIFS('2026 Time Off Request'!$A:$A,'Jan 2026'!$D26,'2026 Time Off Request'!$L:$L,'Jan 2026'!AA$6)</f>
        <v>0</v>
      </c>
      <c r="AB26" s="146">
        <f>COUNTIFS('2026 Time Off Request'!$A:$A,'Jan 2026'!$D26,'2026 Time Off Request'!$L:$L,'Jan 2026'!AB$6)</f>
        <v>0</v>
      </c>
      <c r="AC26" s="147">
        <f>COUNTIFS('2026 Time Off Request'!$A:$A,'Jan 2026'!$D26,'2026 Time Off Request'!$L:$L,'Jan 2026'!AC$6)</f>
        <v>0</v>
      </c>
      <c r="AD26" s="147">
        <f>COUNTIFS('2026 Time Off Request'!$A:$A,'Jan 2026'!$D26,'2026 Time Off Request'!$L:$L,'Jan 2026'!AD$6)</f>
        <v>0</v>
      </c>
      <c r="AE26" s="148">
        <f>COUNTIFS('2026 Time Off Request'!$A:$A,'Jan 2026'!$D26,'2026 Time Off Request'!$L:$L,'Jan 2026'!AE$6)</f>
        <v>0</v>
      </c>
      <c r="AF26" s="148">
        <f>COUNTIFS('2026 Time Off Request'!$A:$A,'Jan 2026'!$D26,'2026 Time Off Request'!$L:$L,'Jan 2026'!AF$6)</f>
        <v>0</v>
      </c>
      <c r="AG26" s="148">
        <f>COUNTIFS('2026 Time Off Request'!$A:$A,'Jan 2026'!$D26,'2026 Time Off Request'!$L:$L,'Jan 2026'!AG$6)</f>
        <v>0</v>
      </c>
      <c r="AH26" s="146">
        <f>COUNTIFS('2026 Time Off Request'!$A:$A,'Jan 2026'!$D26,'2026 Time Off Request'!$L:$L,'Jan 2026'!AH$6)</f>
        <v>0</v>
      </c>
      <c r="AI26" s="146">
        <f>COUNTIFS('2026 Time Off Request'!$A:$A,'Jan 2026'!$D26,'2026 Time Off Request'!$L:$L,'Jan 2026'!AI$6)</f>
        <v>0</v>
      </c>
      <c r="AJ26" s="149">
        <f>COUNTIFS('2026 Time Off Request'!$A:$A,'Jan 2026'!$D26,'2026 Time Off Request'!$L:$L,'Jan 2026'!AJ$6)</f>
        <v>0</v>
      </c>
    </row>
    <row r="27" spans="1:36" ht="15.6" customHeight="1">
      <c r="A27" s="8">
        <v>20</v>
      </c>
      <c r="B27" s="124" t="s">
        <v>45</v>
      </c>
      <c r="C27" s="120" t="s">
        <v>60</v>
      </c>
      <c r="D27" s="139" t="s">
        <v>61</v>
      </c>
      <c r="E27" s="156">
        <f t="shared" si="2"/>
        <v>0</v>
      </c>
      <c r="F27" s="145">
        <f>COUNTIFS('2026 Time Off Request'!$A:$A,'Jan 2026'!$D27,'2026 Time Off Request'!$L:$L,'Jan 2026'!F$6)</f>
        <v>0</v>
      </c>
      <c r="G27" s="146">
        <f>COUNTIFS('2026 Time Off Request'!$A:$A,'Jan 2026'!$D27,'2026 Time Off Request'!$L:$L,'Jan 2026'!G$6)</f>
        <v>0</v>
      </c>
      <c r="H27" s="147">
        <f>COUNTIFS('2026 Time Off Request'!$A:$A,'Jan 2026'!$D27,'2026 Time Off Request'!$L:$L,'Jan 2026'!H$6)</f>
        <v>0</v>
      </c>
      <c r="I27" s="147">
        <f>COUNTIFS('2026 Time Off Request'!$A:$A,'Jan 2026'!$D27,'2026 Time Off Request'!$L:$L,'Jan 2026'!I$6)</f>
        <v>0</v>
      </c>
      <c r="J27" s="146">
        <f>COUNTIFS('2026 Time Off Request'!$A:$A,'Jan 2026'!$D27,'2026 Time Off Request'!$L:$L,'Jan 2026'!J$6)</f>
        <v>0</v>
      </c>
      <c r="K27" s="148">
        <f>COUNTIFS('2026 Time Off Request'!$A:$A,'Jan 2026'!$D27,'2026 Time Off Request'!$L:$L,'Jan 2026'!K$6)</f>
        <v>0</v>
      </c>
      <c r="L27" s="148">
        <f>COUNTIFS('2026 Time Off Request'!$A:$A,'Jan 2026'!$D27,'2026 Time Off Request'!$L:$L,'Jan 2026'!L$6)</f>
        <v>0</v>
      </c>
      <c r="M27" s="146">
        <f>COUNTIFS('2026 Time Off Request'!$A:$A,'Jan 2026'!$D27,'2026 Time Off Request'!$L:$L,'Jan 2026'!M$6)</f>
        <v>0</v>
      </c>
      <c r="N27" s="146">
        <f>COUNTIFS('2026 Time Off Request'!$A:$A,'Jan 2026'!$D27,'2026 Time Off Request'!$L:$L,'Jan 2026'!N$6)</f>
        <v>0</v>
      </c>
      <c r="O27" s="147">
        <f>COUNTIFS('2026 Time Off Request'!$A:$A,'Jan 2026'!$D27,'2026 Time Off Request'!$L:$L,'Jan 2026'!O$6)</f>
        <v>0</v>
      </c>
      <c r="P27" s="147">
        <f>COUNTIFS('2026 Time Off Request'!$A:$A,'Jan 2026'!$D27,'2026 Time Off Request'!$L:$L,'Jan 2026'!P$6)</f>
        <v>0</v>
      </c>
      <c r="Q27" s="146">
        <f>COUNTIFS('2026 Time Off Request'!$A:$A,'Jan 2026'!$D27,'2026 Time Off Request'!$L:$L,'Jan 2026'!Q$6)</f>
        <v>0</v>
      </c>
      <c r="R27" s="148">
        <f>COUNTIFS('2026 Time Off Request'!$A:$A,'Jan 2026'!$D27,'2026 Time Off Request'!$L:$L,'Jan 2026'!R$6)</f>
        <v>0</v>
      </c>
      <c r="S27" s="148">
        <f>COUNTIFS('2026 Time Off Request'!$A:$A,'Jan 2026'!$D27,'2026 Time Off Request'!$L:$L,'Jan 2026'!S$6)</f>
        <v>0</v>
      </c>
      <c r="T27" s="146">
        <f>COUNTIFS('2026 Time Off Request'!$A:$A,'Jan 2026'!$D27,'2026 Time Off Request'!$L:$L,'Jan 2026'!T$6)</f>
        <v>0</v>
      </c>
      <c r="U27" s="146">
        <f>COUNTIFS('2026 Time Off Request'!$A:$A,'Jan 2026'!$D27,'2026 Time Off Request'!$L:$L,'Jan 2026'!U$6)</f>
        <v>0</v>
      </c>
      <c r="V27" s="147">
        <f>COUNTIFS('2026 Time Off Request'!$A:$A,'Jan 2026'!$D27,'2026 Time Off Request'!$L:$L,'Jan 2026'!V$6)</f>
        <v>0</v>
      </c>
      <c r="W27" s="147">
        <f>COUNTIFS('2026 Time Off Request'!$A:$A,'Jan 2026'!$D27,'2026 Time Off Request'!$L:$L,'Jan 2026'!W$6)</f>
        <v>0</v>
      </c>
      <c r="X27" s="146">
        <f>COUNTIFS('2026 Time Off Request'!$A:$A,'Jan 2026'!$D27,'2026 Time Off Request'!$L:$L,'Jan 2026'!X$6)</f>
        <v>0</v>
      </c>
      <c r="Y27" s="148">
        <f>COUNTIFS('2026 Time Off Request'!$A:$A,'Jan 2026'!$D27,'2026 Time Off Request'!$L:$L,'Jan 2026'!Y$6)</f>
        <v>0</v>
      </c>
      <c r="Z27" s="148">
        <f>COUNTIFS('2026 Time Off Request'!$A:$A,'Jan 2026'!$D27,'2026 Time Off Request'!$L:$L,'Jan 2026'!Z$6)</f>
        <v>0</v>
      </c>
      <c r="AA27" s="146">
        <f>COUNTIFS('2026 Time Off Request'!$A:$A,'Jan 2026'!$D27,'2026 Time Off Request'!$L:$L,'Jan 2026'!AA$6)</f>
        <v>0</v>
      </c>
      <c r="AB27" s="146">
        <f>COUNTIFS('2026 Time Off Request'!$A:$A,'Jan 2026'!$D27,'2026 Time Off Request'!$L:$L,'Jan 2026'!AB$6)</f>
        <v>0</v>
      </c>
      <c r="AC27" s="147">
        <f>COUNTIFS('2026 Time Off Request'!$A:$A,'Jan 2026'!$D27,'2026 Time Off Request'!$L:$L,'Jan 2026'!AC$6)</f>
        <v>0</v>
      </c>
      <c r="AD27" s="147">
        <f>COUNTIFS('2026 Time Off Request'!$A:$A,'Jan 2026'!$D27,'2026 Time Off Request'!$L:$L,'Jan 2026'!AD$6)</f>
        <v>0</v>
      </c>
      <c r="AE27" s="148">
        <f>COUNTIFS('2026 Time Off Request'!$A:$A,'Jan 2026'!$D27,'2026 Time Off Request'!$L:$L,'Jan 2026'!AE$6)</f>
        <v>0</v>
      </c>
      <c r="AF27" s="148">
        <f>COUNTIFS('2026 Time Off Request'!$A:$A,'Jan 2026'!$D27,'2026 Time Off Request'!$L:$L,'Jan 2026'!AF$6)</f>
        <v>0</v>
      </c>
      <c r="AG27" s="148">
        <f>COUNTIFS('2026 Time Off Request'!$A:$A,'Jan 2026'!$D27,'2026 Time Off Request'!$L:$L,'Jan 2026'!AG$6)</f>
        <v>0</v>
      </c>
      <c r="AH27" s="146">
        <f>COUNTIFS('2026 Time Off Request'!$A:$A,'Jan 2026'!$D27,'2026 Time Off Request'!$L:$L,'Jan 2026'!AH$6)</f>
        <v>0</v>
      </c>
      <c r="AI27" s="146">
        <f>COUNTIFS('2026 Time Off Request'!$A:$A,'Jan 2026'!$D27,'2026 Time Off Request'!$L:$L,'Jan 2026'!AI$6)</f>
        <v>0</v>
      </c>
      <c r="AJ27" s="149">
        <f>COUNTIFS('2026 Time Off Request'!$A:$A,'Jan 2026'!$D27,'2026 Time Off Request'!$L:$L,'Jan 2026'!AJ$6)</f>
        <v>0</v>
      </c>
    </row>
    <row r="28" spans="1:36" ht="15.6" customHeight="1">
      <c r="A28" s="8">
        <v>21</v>
      </c>
      <c r="B28" s="124" t="s">
        <v>49</v>
      </c>
      <c r="C28" s="120" t="s">
        <v>64</v>
      </c>
      <c r="D28" s="139" t="s">
        <v>65</v>
      </c>
      <c r="E28" s="156">
        <f t="shared" si="2"/>
        <v>0</v>
      </c>
      <c r="F28" s="145">
        <f>COUNTIFS('2026 Time Off Request'!$A:$A,'Jan 2026'!$D28,'2026 Time Off Request'!$L:$L,'Jan 2026'!F$6)</f>
        <v>0</v>
      </c>
      <c r="G28" s="146">
        <f>COUNTIFS('2026 Time Off Request'!$A:$A,'Jan 2026'!$D28,'2026 Time Off Request'!$L:$L,'Jan 2026'!G$6)</f>
        <v>0</v>
      </c>
      <c r="H28" s="147">
        <f>COUNTIFS('2026 Time Off Request'!$A:$A,'Jan 2026'!$D28,'2026 Time Off Request'!$L:$L,'Jan 2026'!H$6)</f>
        <v>0</v>
      </c>
      <c r="I28" s="147">
        <f>COUNTIFS('2026 Time Off Request'!$A:$A,'Jan 2026'!$D28,'2026 Time Off Request'!$L:$L,'Jan 2026'!I$6)</f>
        <v>0</v>
      </c>
      <c r="J28" s="146">
        <f>COUNTIFS('2026 Time Off Request'!$A:$A,'Jan 2026'!$D28,'2026 Time Off Request'!$L:$L,'Jan 2026'!J$6)</f>
        <v>0</v>
      </c>
      <c r="K28" s="148">
        <f>COUNTIFS('2026 Time Off Request'!$A:$A,'Jan 2026'!$D28,'2026 Time Off Request'!$L:$L,'Jan 2026'!K$6)</f>
        <v>0</v>
      </c>
      <c r="L28" s="148">
        <f>COUNTIFS('2026 Time Off Request'!$A:$A,'Jan 2026'!$D28,'2026 Time Off Request'!$L:$L,'Jan 2026'!L$6)</f>
        <v>0</v>
      </c>
      <c r="M28" s="146">
        <f>COUNTIFS('2026 Time Off Request'!$A:$A,'Jan 2026'!$D28,'2026 Time Off Request'!$L:$L,'Jan 2026'!M$6)</f>
        <v>0</v>
      </c>
      <c r="N28" s="146">
        <f>COUNTIFS('2026 Time Off Request'!$A:$A,'Jan 2026'!$D28,'2026 Time Off Request'!$L:$L,'Jan 2026'!N$6)</f>
        <v>0</v>
      </c>
      <c r="O28" s="147">
        <f>COUNTIFS('2026 Time Off Request'!$A:$A,'Jan 2026'!$D28,'2026 Time Off Request'!$L:$L,'Jan 2026'!O$6)</f>
        <v>0</v>
      </c>
      <c r="P28" s="147">
        <f>COUNTIFS('2026 Time Off Request'!$A:$A,'Jan 2026'!$D28,'2026 Time Off Request'!$L:$L,'Jan 2026'!P$6)</f>
        <v>0</v>
      </c>
      <c r="Q28" s="146">
        <f>COUNTIFS('2026 Time Off Request'!$A:$A,'Jan 2026'!$D28,'2026 Time Off Request'!$L:$L,'Jan 2026'!Q$6)</f>
        <v>0</v>
      </c>
      <c r="R28" s="148">
        <f>COUNTIFS('2026 Time Off Request'!$A:$A,'Jan 2026'!$D28,'2026 Time Off Request'!$L:$L,'Jan 2026'!R$6)</f>
        <v>0</v>
      </c>
      <c r="S28" s="148">
        <f>COUNTIFS('2026 Time Off Request'!$A:$A,'Jan 2026'!$D28,'2026 Time Off Request'!$L:$L,'Jan 2026'!S$6)</f>
        <v>0</v>
      </c>
      <c r="T28" s="146">
        <f>COUNTIFS('2026 Time Off Request'!$A:$A,'Jan 2026'!$D28,'2026 Time Off Request'!$L:$L,'Jan 2026'!T$6)</f>
        <v>0</v>
      </c>
      <c r="U28" s="146">
        <f>COUNTIFS('2026 Time Off Request'!$A:$A,'Jan 2026'!$D28,'2026 Time Off Request'!$L:$L,'Jan 2026'!U$6)</f>
        <v>0</v>
      </c>
      <c r="V28" s="147">
        <f>COUNTIFS('2026 Time Off Request'!$A:$A,'Jan 2026'!$D28,'2026 Time Off Request'!$L:$L,'Jan 2026'!V$6)</f>
        <v>0</v>
      </c>
      <c r="W28" s="147">
        <f>COUNTIFS('2026 Time Off Request'!$A:$A,'Jan 2026'!$D28,'2026 Time Off Request'!$L:$L,'Jan 2026'!W$6)</f>
        <v>0</v>
      </c>
      <c r="X28" s="146">
        <f>COUNTIFS('2026 Time Off Request'!$A:$A,'Jan 2026'!$D28,'2026 Time Off Request'!$L:$L,'Jan 2026'!X$6)</f>
        <v>0</v>
      </c>
      <c r="Y28" s="148">
        <f>COUNTIFS('2026 Time Off Request'!$A:$A,'Jan 2026'!$D28,'2026 Time Off Request'!$L:$L,'Jan 2026'!Y$6)</f>
        <v>0</v>
      </c>
      <c r="Z28" s="148">
        <f>COUNTIFS('2026 Time Off Request'!$A:$A,'Jan 2026'!$D28,'2026 Time Off Request'!$L:$L,'Jan 2026'!Z$6)</f>
        <v>0</v>
      </c>
      <c r="AA28" s="146">
        <f>COUNTIFS('2026 Time Off Request'!$A:$A,'Jan 2026'!$D28,'2026 Time Off Request'!$L:$L,'Jan 2026'!AA$6)</f>
        <v>0</v>
      </c>
      <c r="AB28" s="146">
        <f>COUNTIFS('2026 Time Off Request'!$A:$A,'Jan 2026'!$D28,'2026 Time Off Request'!$L:$L,'Jan 2026'!AB$6)</f>
        <v>0</v>
      </c>
      <c r="AC28" s="147">
        <f>COUNTIFS('2026 Time Off Request'!$A:$A,'Jan 2026'!$D28,'2026 Time Off Request'!$L:$L,'Jan 2026'!AC$6)</f>
        <v>0</v>
      </c>
      <c r="AD28" s="147">
        <f>COUNTIFS('2026 Time Off Request'!$A:$A,'Jan 2026'!$D28,'2026 Time Off Request'!$L:$L,'Jan 2026'!AD$6)</f>
        <v>0</v>
      </c>
      <c r="AE28" s="148">
        <f>COUNTIFS('2026 Time Off Request'!$A:$A,'Jan 2026'!$D28,'2026 Time Off Request'!$L:$L,'Jan 2026'!AE$6)</f>
        <v>0</v>
      </c>
      <c r="AF28" s="148">
        <f>COUNTIFS('2026 Time Off Request'!$A:$A,'Jan 2026'!$D28,'2026 Time Off Request'!$L:$L,'Jan 2026'!AF$6)</f>
        <v>0</v>
      </c>
      <c r="AG28" s="148">
        <f>COUNTIFS('2026 Time Off Request'!$A:$A,'Jan 2026'!$D28,'2026 Time Off Request'!$L:$L,'Jan 2026'!AG$6)</f>
        <v>0</v>
      </c>
      <c r="AH28" s="146">
        <f>COUNTIFS('2026 Time Off Request'!$A:$A,'Jan 2026'!$D28,'2026 Time Off Request'!$L:$L,'Jan 2026'!AH$6)</f>
        <v>0</v>
      </c>
      <c r="AI28" s="146">
        <f>COUNTIFS('2026 Time Off Request'!$A:$A,'Jan 2026'!$D28,'2026 Time Off Request'!$L:$L,'Jan 2026'!AI$6)</f>
        <v>0</v>
      </c>
      <c r="AJ28" s="149">
        <f>COUNTIFS('2026 Time Off Request'!$A:$A,'Jan 2026'!$D28,'2026 Time Off Request'!$L:$L,'Jan 2026'!AJ$6)</f>
        <v>0</v>
      </c>
    </row>
    <row r="29" spans="1:36" ht="15.6" customHeight="1">
      <c r="A29" s="8">
        <v>22</v>
      </c>
      <c r="B29" s="124" t="s">
        <v>49</v>
      </c>
      <c r="C29" s="120" t="s">
        <v>66</v>
      </c>
      <c r="D29" s="139" t="s">
        <v>67</v>
      </c>
      <c r="E29" s="156">
        <f t="shared" si="2"/>
        <v>0</v>
      </c>
      <c r="F29" s="145">
        <f>COUNTIFS('2026 Time Off Request'!$A:$A,'Jan 2026'!$D29,'2026 Time Off Request'!$L:$L,'Jan 2026'!F$6)</f>
        <v>0</v>
      </c>
      <c r="G29" s="146">
        <f>COUNTIFS('2026 Time Off Request'!$A:$A,'Jan 2026'!$D29,'2026 Time Off Request'!$L:$L,'Jan 2026'!G$6)</f>
        <v>0</v>
      </c>
      <c r="H29" s="147">
        <f>COUNTIFS('2026 Time Off Request'!$A:$A,'Jan 2026'!$D29,'2026 Time Off Request'!$L:$L,'Jan 2026'!H$6)</f>
        <v>0</v>
      </c>
      <c r="I29" s="147">
        <f>COUNTIFS('2026 Time Off Request'!$A:$A,'Jan 2026'!$D29,'2026 Time Off Request'!$L:$L,'Jan 2026'!I$6)</f>
        <v>0</v>
      </c>
      <c r="J29" s="146">
        <f>COUNTIFS('2026 Time Off Request'!$A:$A,'Jan 2026'!$D29,'2026 Time Off Request'!$L:$L,'Jan 2026'!J$6)</f>
        <v>0</v>
      </c>
      <c r="K29" s="148">
        <f>COUNTIFS('2026 Time Off Request'!$A:$A,'Jan 2026'!$D29,'2026 Time Off Request'!$L:$L,'Jan 2026'!K$6)</f>
        <v>0</v>
      </c>
      <c r="L29" s="148">
        <f>COUNTIFS('2026 Time Off Request'!$A:$A,'Jan 2026'!$D29,'2026 Time Off Request'!$L:$L,'Jan 2026'!L$6)</f>
        <v>0</v>
      </c>
      <c r="M29" s="146">
        <f>COUNTIFS('2026 Time Off Request'!$A:$A,'Jan 2026'!$D29,'2026 Time Off Request'!$L:$L,'Jan 2026'!M$6)</f>
        <v>0</v>
      </c>
      <c r="N29" s="146">
        <f>COUNTIFS('2026 Time Off Request'!$A:$A,'Jan 2026'!$D29,'2026 Time Off Request'!$L:$L,'Jan 2026'!N$6)</f>
        <v>0</v>
      </c>
      <c r="O29" s="147">
        <f>COUNTIFS('2026 Time Off Request'!$A:$A,'Jan 2026'!$D29,'2026 Time Off Request'!$L:$L,'Jan 2026'!O$6)</f>
        <v>0</v>
      </c>
      <c r="P29" s="147">
        <f>COUNTIFS('2026 Time Off Request'!$A:$A,'Jan 2026'!$D29,'2026 Time Off Request'!$L:$L,'Jan 2026'!P$6)</f>
        <v>0</v>
      </c>
      <c r="Q29" s="146">
        <f>COUNTIFS('2026 Time Off Request'!$A:$A,'Jan 2026'!$D29,'2026 Time Off Request'!$L:$L,'Jan 2026'!Q$6)</f>
        <v>0</v>
      </c>
      <c r="R29" s="148">
        <f>COUNTIFS('2026 Time Off Request'!$A:$A,'Jan 2026'!$D29,'2026 Time Off Request'!$L:$L,'Jan 2026'!R$6)</f>
        <v>0</v>
      </c>
      <c r="S29" s="148">
        <f>COUNTIFS('2026 Time Off Request'!$A:$A,'Jan 2026'!$D29,'2026 Time Off Request'!$L:$L,'Jan 2026'!S$6)</f>
        <v>0</v>
      </c>
      <c r="T29" s="146">
        <f>COUNTIFS('2026 Time Off Request'!$A:$A,'Jan 2026'!$D29,'2026 Time Off Request'!$L:$L,'Jan 2026'!T$6)</f>
        <v>0</v>
      </c>
      <c r="U29" s="146">
        <f>COUNTIFS('2026 Time Off Request'!$A:$A,'Jan 2026'!$D29,'2026 Time Off Request'!$L:$L,'Jan 2026'!U$6)</f>
        <v>0</v>
      </c>
      <c r="V29" s="147">
        <f>COUNTIFS('2026 Time Off Request'!$A:$A,'Jan 2026'!$D29,'2026 Time Off Request'!$L:$L,'Jan 2026'!V$6)</f>
        <v>0</v>
      </c>
      <c r="W29" s="147">
        <f>COUNTIFS('2026 Time Off Request'!$A:$A,'Jan 2026'!$D29,'2026 Time Off Request'!$L:$L,'Jan 2026'!W$6)</f>
        <v>0</v>
      </c>
      <c r="X29" s="146">
        <f>COUNTIFS('2026 Time Off Request'!$A:$A,'Jan 2026'!$D29,'2026 Time Off Request'!$L:$L,'Jan 2026'!X$6)</f>
        <v>0</v>
      </c>
      <c r="Y29" s="148">
        <f>COUNTIFS('2026 Time Off Request'!$A:$A,'Jan 2026'!$D29,'2026 Time Off Request'!$L:$L,'Jan 2026'!Y$6)</f>
        <v>0</v>
      </c>
      <c r="Z29" s="148">
        <f>COUNTIFS('2026 Time Off Request'!$A:$A,'Jan 2026'!$D29,'2026 Time Off Request'!$L:$L,'Jan 2026'!Z$6)</f>
        <v>0</v>
      </c>
      <c r="AA29" s="146">
        <f>COUNTIFS('2026 Time Off Request'!$A:$A,'Jan 2026'!$D29,'2026 Time Off Request'!$L:$L,'Jan 2026'!AA$6)</f>
        <v>0</v>
      </c>
      <c r="AB29" s="146">
        <f>COUNTIFS('2026 Time Off Request'!$A:$A,'Jan 2026'!$D29,'2026 Time Off Request'!$L:$L,'Jan 2026'!AB$6)</f>
        <v>0</v>
      </c>
      <c r="AC29" s="147">
        <f>COUNTIFS('2026 Time Off Request'!$A:$A,'Jan 2026'!$D29,'2026 Time Off Request'!$L:$L,'Jan 2026'!AC$6)</f>
        <v>0</v>
      </c>
      <c r="AD29" s="147">
        <f>COUNTIFS('2026 Time Off Request'!$A:$A,'Jan 2026'!$D29,'2026 Time Off Request'!$L:$L,'Jan 2026'!AD$6)</f>
        <v>0</v>
      </c>
      <c r="AE29" s="148">
        <f>COUNTIFS('2026 Time Off Request'!$A:$A,'Jan 2026'!$D29,'2026 Time Off Request'!$L:$L,'Jan 2026'!AE$6)</f>
        <v>0</v>
      </c>
      <c r="AF29" s="148">
        <f>COUNTIFS('2026 Time Off Request'!$A:$A,'Jan 2026'!$D29,'2026 Time Off Request'!$L:$L,'Jan 2026'!AF$6)</f>
        <v>0</v>
      </c>
      <c r="AG29" s="148">
        <f>COUNTIFS('2026 Time Off Request'!$A:$A,'Jan 2026'!$D29,'2026 Time Off Request'!$L:$L,'Jan 2026'!AG$6)</f>
        <v>0</v>
      </c>
      <c r="AH29" s="146">
        <f>COUNTIFS('2026 Time Off Request'!$A:$A,'Jan 2026'!$D29,'2026 Time Off Request'!$L:$L,'Jan 2026'!AH$6)</f>
        <v>0</v>
      </c>
      <c r="AI29" s="146">
        <f>COUNTIFS('2026 Time Off Request'!$A:$A,'Jan 2026'!$D29,'2026 Time Off Request'!$L:$L,'Jan 2026'!AI$6)</f>
        <v>0</v>
      </c>
      <c r="AJ29" s="149">
        <f>COUNTIFS('2026 Time Off Request'!$A:$A,'Jan 2026'!$D29,'2026 Time Off Request'!$L:$L,'Jan 2026'!AJ$6)</f>
        <v>0</v>
      </c>
    </row>
    <row r="30" spans="1:36" ht="15.6" customHeight="1">
      <c r="A30" s="8">
        <v>23</v>
      </c>
      <c r="B30" s="124" t="s">
        <v>45</v>
      </c>
      <c r="C30" s="120" t="s">
        <v>68</v>
      </c>
      <c r="D30" s="139" t="s">
        <v>69</v>
      </c>
      <c r="E30" s="156">
        <f t="shared" si="2"/>
        <v>3</v>
      </c>
      <c r="F30" s="145">
        <f>COUNTIFS('2026 Time Off Request'!$A:$A,'Jan 2026'!$D30,'2026 Time Off Request'!$L:$L,'Jan 2026'!F$6)</f>
        <v>0</v>
      </c>
      <c r="G30" s="146">
        <f>COUNTIFS('2026 Time Off Request'!$A:$A,'Jan 2026'!$D30,'2026 Time Off Request'!$L:$L,'Jan 2026'!G$6)</f>
        <v>0</v>
      </c>
      <c r="H30" s="147">
        <f>COUNTIFS('2026 Time Off Request'!$A:$A,'Jan 2026'!$D30,'2026 Time Off Request'!$L:$L,'Jan 2026'!H$6)</f>
        <v>0</v>
      </c>
      <c r="I30" s="147">
        <f>COUNTIFS('2026 Time Off Request'!$A:$A,'Jan 2026'!$D30,'2026 Time Off Request'!$L:$L,'Jan 2026'!I$6)</f>
        <v>0</v>
      </c>
      <c r="J30" s="146">
        <f>COUNTIFS('2026 Time Off Request'!$A:$A,'Jan 2026'!$D30,'2026 Time Off Request'!$L:$L,'Jan 2026'!J$6)</f>
        <v>0</v>
      </c>
      <c r="K30" s="148">
        <f>COUNTIFS('2026 Time Off Request'!$A:$A,'Jan 2026'!$D30,'2026 Time Off Request'!$L:$L,'Jan 2026'!K$6)</f>
        <v>0</v>
      </c>
      <c r="L30" s="148">
        <f>COUNTIFS('2026 Time Off Request'!$A:$A,'Jan 2026'!$D30,'2026 Time Off Request'!$L:$L,'Jan 2026'!L$6)</f>
        <v>0</v>
      </c>
      <c r="M30" s="146">
        <f>COUNTIFS('2026 Time Off Request'!$A:$A,'Jan 2026'!$D30,'2026 Time Off Request'!$L:$L,'Jan 2026'!M$6)</f>
        <v>1</v>
      </c>
      <c r="N30" s="146">
        <f>COUNTIFS('2026 Time Off Request'!$A:$A,'Jan 2026'!$D30,'2026 Time Off Request'!$L:$L,'Jan 2026'!N$6)</f>
        <v>1</v>
      </c>
      <c r="O30" s="147">
        <f>COUNTIFS('2026 Time Off Request'!$A:$A,'Jan 2026'!$D30,'2026 Time Off Request'!$L:$L,'Jan 2026'!O$6)</f>
        <v>0</v>
      </c>
      <c r="P30" s="147">
        <f>COUNTIFS('2026 Time Off Request'!$A:$A,'Jan 2026'!$D30,'2026 Time Off Request'!$L:$L,'Jan 2026'!P$6)</f>
        <v>0</v>
      </c>
      <c r="Q30" s="146">
        <f>COUNTIFS('2026 Time Off Request'!$A:$A,'Jan 2026'!$D30,'2026 Time Off Request'!$L:$L,'Jan 2026'!Q$6)</f>
        <v>1</v>
      </c>
      <c r="R30" s="148">
        <f>COUNTIFS('2026 Time Off Request'!$A:$A,'Jan 2026'!$D30,'2026 Time Off Request'!$L:$L,'Jan 2026'!R$6)</f>
        <v>0</v>
      </c>
      <c r="S30" s="148">
        <f>COUNTIFS('2026 Time Off Request'!$A:$A,'Jan 2026'!$D30,'2026 Time Off Request'!$L:$L,'Jan 2026'!S$6)</f>
        <v>0</v>
      </c>
      <c r="T30" s="146">
        <f>COUNTIFS('2026 Time Off Request'!$A:$A,'Jan 2026'!$D30,'2026 Time Off Request'!$L:$L,'Jan 2026'!T$6)</f>
        <v>0</v>
      </c>
      <c r="U30" s="146">
        <f>COUNTIFS('2026 Time Off Request'!$A:$A,'Jan 2026'!$D30,'2026 Time Off Request'!$L:$L,'Jan 2026'!U$6)</f>
        <v>0</v>
      </c>
      <c r="V30" s="147">
        <f>COUNTIFS('2026 Time Off Request'!$A:$A,'Jan 2026'!$D30,'2026 Time Off Request'!$L:$L,'Jan 2026'!V$6)</f>
        <v>0</v>
      </c>
      <c r="W30" s="147">
        <f>COUNTIFS('2026 Time Off Request'!$A:$A,'Jan 2026'!$D30,'2026 Time Off Request'!$L:$L,'Jan 2026'!W$6)</f>
        <v>0</v>
      </c>
      <c r="X30" s="146">
        <f>COUNTIFS('2026 Time Off Request'!$A:$A,'Jan 2026'!$D30,'2026 Time Off Request'!$L:$L,'Jan 2026'!X$6)</f>
        <v>0</v>
      </c>
      <c r="Y30" s="148">
        <f>COUNTIFS('2026 Time Off Request'!$A:$A,'Jan 2026'!$D30,'2026 Time Off Request'!$L:$L,'Jan 2026'!Y$6)</f>
        <v>0</v>
      </c>
      <c r="Z30" s="148">
        <f>COUNTIFS('2026 Time Off Request'!$A:$A,'Jan 2026'!$D30,'2026 Time Off Request'!$L:$L,'Jan 2026'!Z$6)</f>
        <v>0</v>
      </c>
      <c r="AA30" s="146">
        <f>COUNTIFS('2026 Time Off Request'!$A:$A,'Jan 2026'!$D30,'2026 Time Off Request'!$L:$L,'Jan 2026'!AA$6)</f>
        <v>0</v>
      </c>
      <c r="AB30" s="146">
        <f>COUNTIFS('2026 Time Off Request'!$A:$A,'Jan 2026'!$D30,'2026 Time Off Request'!$L:$L,'Jan 2026'!AB$6)</f>
        <v>0</v>
      </c>
      <c r="AC30" s="147">
        <f>COUNTIFS('2026 Time Off Request'!$A:$A,'Jan 2026'!$D30,'2026 Time Off Request'!$L:$L,'Jan 2026'!AC$6)</f>
        <v>0</v>
      </c>
      <c r="AD30" s="147">
        <f>COUNTIFS('2026 Time Off Request'!$A:$A,'Jan 2026'!$D30,'2026 Time Off Request'!$L:$L,'Jan 2026'!AD$6)</f>
        <v>0</v>
      </c>
      <c r="AE30" s="148">
        <f>COUNTIFS('2026 Time Off Request'!$A:$A,'Jan 2026'!$D30,'2026 Time Off Request'!$L:$L,'Jan 2026'!AE$6)</f>
        <v>0</v>
      </c>
      <c r="AF30" s="148">
        <f>COUNTIFS('2026 Time Off Request'!$A:$A,'Jan 2026'!$D30,'2026 Time Off Request'!$L:$L,'Jan 2026'!AF$6)</f>
        <v>0</v>
      </c>
      <c r="AG30" s="148">
        <f>COUNTIFS('2026 Time Off Request'!$A:$A,'Jan 2026'!$D30,'2026 Time Off Request'!$L:$L,'Jan 2026'!AG$6)</f>
        <v>0</v>
      </c>
      <c r="AH30" s="146">
        <f>COUNTIFS('2026 Time Off Request'!$A:$A,'Jan 2026'!$D30,'2026 Time Off Request'!$L:$L,'Jan 2026'!AH$6)</f>
        <v>0</v>
      </c>
      <c r="AI30" s="146">
        <f>COUNTIFS('2026 Time Off Request'!$A:$A,'Jan 2026'!$D30,'2026 Time Off Request'!$L:$L,'Jan 2026'!AI$6)</f>
        <v>0</v>
      </c>
      <c r="AJ30" s="149">
        <f>COUNTIFS('2026 Time Off Request'!$A:$A,'Jan 2026'!$D30,'2026 Time Off Request'!$L:$L,'Jan 2026'!AJ$6)</f>
        <v>0</v>
      </c>
    </row>
    <row r="31" spans="1:36" ht="15.6" customHeight="1">
      <c r="A31" s="8">
        <v>24</v>
      </c>
      <c r="B31" s="124" t="s">
        <v>45</v>
      </c>
      <c r="C31" s="120" t="s">
        <v>70</v>
      </c>
      <c r="D31" s="139" t="s">
        <v>71</v>
      </c>
      <c r="E31" s="156">
        <f t="shared" si="2"/>
        <v>0</v>
      </c>
      <c r="F31" s="145">
        <f>COUNTIFS('2026 Time Off Request'!$A:$A,'Jan 2026'!$D31,'2026 Time Off Request'!$L:$L,'Jan 2026'!F$6)</f>
        <v>0</v>
      </c>
      <c r="G31" s="146">
        <f>COUNTIFS('2026 Time Off Request'!$A:$A,'Jan 2026'!$D31,'2026 Time Off Request'!$L:$L,'Jan 2026'!G$6)</f>
        <v>0</v>
      </c>
      <c r="H31" s="147">
        <f>COUNTIFS('2026 Time Off Request'!$A:$A,'Jan 2026'!$D31,'2026 Time Off Request'!$L:$L,'Jan 2026'!H$6)</f>
        <v>0</v>
      </c>
      <c r="I31" s="147">
        <f>COUNTIFS('2026 Time Off Request'!$A:$A,'Jan 2026'!$D31,'2026 Time Off Request'!$L:$L,'Jan 2026'!I$6)</f>
        <v>0</v>
      </c>
      <c r="J31" s="146">
        <f>COUNTIFS('2026 Time Off Request'!$A:$A,'Jan 2026'!$D31,'2026 Time Off Request'!$L:$L,'Jan 2026'!J$6)</f>
        <v>0</v>
      </c>
      <c r="K31" s="148">
        <f>COUNTIFS('2026 Time Off Request'!$A:$A,'Jan 2026'!$D31,'2026 Time Off Request'!$L:$L,'Jan 2026'!K$6)</f>
        <v>0</v>
      </c>
      <c r="L31" s="148">
        <f>COUNTIFS('2026 Time Off Request'!$A:$A,'Jan 2026'!$D31,'2026 Time Off Request'!$L:$L,'Jan 2026'!L$6)</f>
        <v>0</v>
      </c>
      <c r="M31" s="146">
        <f>COUNTIFS('2026 Time Off Request'!$A:$A,'Jan 2026'!$D31,'2026 Time Off Request'!$L:$L,'Jan 2026'!M$6)</f>
        <v>0</v>
      </c>
      <c r="N31" s="146">
        <f>COUNTIFS('2026 Time Off Request'!$A:$A,'Jan 2026'!$D31,'2026 Time Off Request'!$L:$L,'Jan 2026'!N$6)</f>
        <v>0</v>
      </c>
      <c r="O31" s="147">
        <f>COUNTIFS('2026 Time Off Request'!$A:$A,'Jan 2026'!$D31,'2026 Time Off Request'!$L:$L,'Jan 2026'!O$6)</f>
        <v>0</v>
      </c>
      <c r="P31" s="147">
        <f>COUNTIFS('2026 Time Off Request'!$A:$A,'Jan 2026'!$D31,'2026 Time Off Request'!$L:$L,'Jan 2026'!P$6)</f>
        <v>0</v>
      </c>
      <c r="Q31" s="146">
        <f>COUNTIFS('2026 Time Off Request'!$A:$A,'Jan 2026'!$D31,'2026 Time Off Request'!$L:$L,'Jan 2026'!Q$6)</f>
        <v>0</v>
      </c>
      <c r="R31" s="148">
        <f>COUNTIFS('2026 Time Off Request'!$A:$A,'Jan 2026'!$D31,'2026 Time Off Request'!$L:$L,'Jan 2026'!R$6)</f>
        <v>0</v>
      </c>
      <c r="S31" s="148">
        <f>COUNTIFS('2026 Time Off Request'!$A:$A,'Jan 2026'!$D31,'2026 Time Off Request'!$L:$L,'Jan 2026'!S$6)</f>
        <v>0</v>
      </c>
      <c r="T31" s="146">
        <f>COUNTIFS('2026 Time Off Request'!$A:$A,'Jan 2026'!$D31,'2026 Time Off Request'!$L:$L,'Jan 2026'!T$6)</f>
        <v>0</v>
      </c>
      <c r="U31" s="146">
        <f>COUNTIFS('2026 Time Off Request'!$A:$A,'Jan 2026'!$D31,'2026 Time Off Request'!$L:$L,'Jan 2026'!U$6)</f>
        <v>0</v>
      </c>
      <c r="V31" s="147">
        <f>COUNTIFS('2026 Time Off Request'!$A:$A,'Jan 2026'!$D31,'2026 Time Off Request'!$L:$L,'Jan 2026'!V$6)</f>
        <v>0</v>
      </c>
      <c r="W31" s="147">
        <f>COUNTIFS('2026 Time Off Request'!$A:$A,'Jan 2026'!$D31,'2026 Time Off Request'!$L:$L,'Jan 2026'!W$6)</f>
        <v>0</v>
      </c>
      <c r="X31" s="146">
        <f>COUNTIFS('2026 Time Off Request'!$A:$A,'Jan 2026'!$D31,'2026 Time Off Request'!$L:$L,'Jan 2026'!X$6)</f>
        <v>0</v>
      </c>
      <c r="Y31" s="148">
        <f>COUNTIFS('2026 Time Off Request'!$A:$A,'Jan 2026'!$D31,'2026 Time Off Request'!$L:$L,'Jan 2026'!Y$6)</f>
        <v>0</v>
      </c>
      <c r="Z31" s="148">
        <f>COUNTIFS('2026 Time Off Request'!$A:$A,'Jan 2026'!$D31,'2026 Time Off Request'!$L:$L,'Jan 2026'!Z$6)</f>
        <v>0</v>
      </c>
      <c r="AA31" s="146">
        <f>COUNTIFS('2026 Time Off Request'!$A:$A,'Jan 2026'!$D31,'2026 Time Off Request'!$L:$L,'Jan 2026'!AA$6)</f>
        <v>0</v>
      </c>
      <c r="AB31" s="146">
        <f>COUNTIFS('2026 Time Off Request'!$A:$A,'Jan 2026'!$D31,'2026 Time Off Request'!$L:$L,'Jan 2026'!AB$6)</f>
        <v>0</v>
      </c>
      <c r="AC31" s="147">
        <f>COUNTIFS('2026 Time Off Request'!$A:$A,'Jan 2026'!$D31,'2026 Time Off Request'!$L:$L,'Jan 2026'!AC$6)</f>
        <v>0</v>
      </c>
      <c r="AD31" s="147">
        <f>COUNTIFS('2026 Time Off Request'!$A:$A,'Jan 2026'!$D31,'2026 Time Off Request'!$L:$L,'Jan 2026'!AD$6)</f>
        <v>0</v>
      </c>
      <c r="AE31" s="148">
        <f>COUNTIFS('2026 Time Off Request'!$A:$A,'Jan 2026'!$D31,'2026 Time Off Request'!$L:$L,'Jan 2026'!AE$6)</f>
        <v>0</v>
      </c>
      <c r="AF31" s="148">
        <f>COUNTIFS('2026 Time Off Request'!$A:$A,'Jan 2026'!$D31,'2026 Time Off Request'!$L:$L,'Jan 2026'!AF$6)</f>
        <v>0</v>
      </c>
      <c r="AG31" s="148">
        <f>COUNTIFS('2026 Time Off Request'!$A:$A,'Jan 2026'!$D31,'2026 Time Off Request'!$L:$L,'Jan 2026'!AG$6)</f>
        <v>0</v>
      </c>
      <c r="AH31" s="146">
        <f>COUNTIFS('2026 Time Off Request'!$A:$A,'Jan 2026'!$D31,'2026 Time Off Request'!$L:$L,'Jan 2026'!AH$6)</f>
        <v>0</v>
      </c>
      <c r="AI31" s="146">
        <f>COUNTIFS('2026 Time Off Request'!$A:$A,'Jan 2026'!$D31,'2026 Time Off Request'!$L:$L,'Jan 2026'!AI$6)</f>
        <v>0</v>
      </c>
      <c r="AJ31" s="149">
        <f>COUNTIFS('2026 Time Off Request'!$A:$A,'Jan 2026'!$D31,'2026 Time Off Request'!$L:$L,'Jan 2026'!AJ$6)</f>
        <v>0</v>
      </c>
    </row>
    <row r="32" spans="1:36" ht="15.6" customHeight="1">
      <c r="A32" s="8">
        <v>25</v>
      </c>
      <c r="B32" s="124" t="s">
        <v>45</v>
      </c>
      <c r="C32" s="120" t="s">
        <v>70</v>
      </c>
      <c r="D32" s="139" t="s">
        <v>72</v>
      </c>
      <c r="E32" s="156">
        <f t="shared" si="2"/>
        <v>0</v>
      </c>
      <c r="F32" s="145">
        <f>COUNTIFS('2026 Time Off Request'!$A:$A,'Jan 2026'!$D32,'2026 Time Off Request'!$L:$L,'Jan 2026'!F$6)</f>
        <v>0</v>
      </c>
      <c r="G32" s="146">
        <f>COUNTIFS('2026 Time Off Request'!$A:$A,'Jan 2026'!$D32,'2026 Time Off Request'!$L:$L,'Jan 2026'!G$6)</f>
        <v>0</v>
      </c>
      <c r="H32" s="147">
        <f>COUNTIFS('2026 Time Off Request'!$A:$A,'Jan 2026'!$D32,'2026 Time Off Request'!$L:$L,'Jan 2026'!H$6)</f>
        <v>0</v>
      </c>
      <c r="I32" s="147">
        <f>COUNTIFS('2026 Time Off Request'!$A:$A,'Jan 2026'!$D32,'2026 Time Off Request'!$L:$L,'Jan 2026'!I$6)</f>
        <v>0</v>
      </c>
      <c r="J32" s="146">
        <f>COUNTIFS('2026 Time Off Request'!$A:$A,'Jan 2026'!$D32,'2026 Time Off Request'!$L:$L,'Jan 2026'!J$6)</f>
        <v>0</v>
      </c>
      <c r="K32" s="148">
        <f>COUNTIFS('2026 Time Off Request'!$A:$A,'Jan 2026'!$D32,'2026 Time Off Request'!$L:$L,'Jan 2026'!K$6)</f>
        <v>0</v>
      </c>
      <c r="L32" s="148">
        <f>COUNTIFS('2026 Time Off Request'!$A:$A,'Jan 2026'!$D32,'2026 Time Off Request'!$L:$L,'Jan 2026'!L$6)</f>
        <v>0</v>
      </c>
      <c r="M32" s="146">
        <f>COUNTIFS('2026 Time Off Request'!$A:$A,'Jan 2026'!$D32,'2026 Time Off Request'!$L:$L,'Jan 2026'!M$6)</f>
        <v>0</v>
      </c>
      <c r="N32" s="146">
        <f>COUNTIFS('2026 Time Off Request'!$A:$A,'Jan 2026'!$D32,'2026 Time Off Request'!$L:$L,'Jan 2026'!N$6)</f>
        <v>0</v>
      </c>
      <c r="O32" s="147">
        <f>COUNTIFS('2026 Time Off Request'!$A:$A,'Jan 2026'!$D32,'2026 Time Off Request'!$L:$L,'Jan 2026'!O$6)</f>
        <v>0</v>
      </c>
      <c r="P32" s="147">
        <f>COUNTIFS('2026 Time Off Request'!$A:$A,'Jan 2026'!$D32,'2026 Time Off Request'!$L:$L,'Jan 2026'!P$6)</f>
        <v>0</v>
      </c>
      <c r="Q32" s="146">
        <f>COUNTIFS('2026 Time Off Request'!$A:$A,'Jan 2026'!$D32,'2026 Time Off Request'!$L:$L,'Jan 2026'!Q$6)</f>
        <v>0</v>
      </c>
      <c r="R32" s="148">
        <f>COUNTIFS('2026 Time Off Request'!$A:$A,'Jan 2026'!$D32,'2026 Time Off Request'!$L:$L,'Jan 2026'!R$6)</f>
        <v>0</v>
      </c>
      <c r="S32" s="148">
        <f>COUNTIFS('2026 Time Off Request'!$A:$A,'Jan 2026'!$D32,'2026 Time Off Request'!$L:$L,'Jan 2026'!S$6)</f>
        <v>0</v>
      </c>
      <c r="T32" s="146">
        <f>COUNTIFS('2026 Time Off Request'!$A:$A,'Jan 2026'!$D32,'2026 Time Off Request'!$L:$L,'Jan 2026'!T$6)</f>
        <v>0</v>
      </c>
      <c r="U32" s="146">
        <f>COUNTIFS('2026 Time Off Request'!$A:$A,'Jan 2026'!$D32,'2026 Time Off Request'!$L:$L,'Jan 2026'!U$6)</f>
        <v>0</v>
      </c>
      <c r="V32" s="147">
        <f>COUNTIFS('2026 Time Off Request'!$A:$A,'Jan 2026'!$D32,'2026 Time Off Request'!$L:$L,'Jan 2026'!V$6)</f>
        <v>0</v>
      </c>
      <c r="W32" s="147">
        <f>COUNTIFS('2026 Time Off Request'!$A:$A,'Jan 2026'!$D32,'2026 Time Off Request'!$L:$L,'Jan 2026'!W$6)</f>
        <v>0</v>
      </c>
      <c r="X32" s="146">
        <f>COUNTIFS('2026 Time Off Request'!$A:$A,'Jan 2026'!$D32,'2026 Time Off Request'!$L:$L,'Jan 2026'!X$6)</f>
        <v>0</v>
      </c>
      <c r="Y32" s="148">
        <f>COUNTIFS('2026 Time Off Request'!$A:$A,'Jan 2026'!$D32,'2026 Time Off Request'!$L:$L,'Jan 2026'!Y$6)</f>
        <v>0</v>
      </c>
      <c r="Z32" s="148">
        <f>COUNTIFS('2026 Time Off Request'!$A:$A,'Jan 2026'!$D32,'2026 Time Off Request'!$L:$L,'Jan 2026'!Z$6)</f>
        <v>0</v>
      </c>
      <c r="AA32" s="146">
        <f>COUNTIFS('2026 Time Off Request'!$A:$A,'Jan 2026'!$D32,'2026 Time Off Request'!$L:$L,'Jan 2026'!AA$6)</f>
        <v>0</v>
      </c>
      <c r="AB32" s="146">
        <f>COUNTIFS('2026 Time Off Request'!$A:$A,'Jan 2026'!$D32,'2026 Time Off Request'!$L:$L,'Jan 2026'!AB$6)</f>
        <v>0</v>
      </c>
      <c r="AC32" s="147">
        <f>COUNTIFS('2026 Time Off Request'!$A:$A,'Jan 2026'!$D32,'2026 Time Off Request'!$L:$L,'Jan 2026'!AC$6)</f>
        <v>0</v>
      </c>
      <c r="AD32" s="147">
        <f>COUNTIFS('2026 Time Off Request'!$A:$A,'Jan 2026'!$D32,'2026 Time Off Request'!$L:$L,'Jan 2026'!AD$6)</f>
        <v>0</v>
      </c>
      <c r="AE32" s="148">
        <f>COUNTIFS('2026 Time Off Request'!$A:$A,'Jan 2026'!$D32,'2026 Time Off Request'!$L:$L,'Jan 2026'!AE$6)</f>
        <v>0</v>
      </c>
      <c r="AF32" s="148">
        <f>COUNTIFS('2026 Time Off Request'!$A:$A,'Jan 2026'!$D32,'2026 Time Off Request'!$L:$L,'Jan 2026'!AF$6)</f>
        <v>0</v>
      </c>
      <c r="AG32" s="148">
        <f>COUNTIFS('2026 Time Off Request'!$A:$A,'Jan 2026'!$D32,'2026 Time Off Request'!$L:$L,'Jan 2026'!AG$6)</f>
        <v>0</v>
      </c>
      <c r="AH32" s="146">
        <f>COUNTIFS('2026 Time Off Request'!$A:$A,'Jan 2026'!$D32,'2026 Time Off Request'!$L:$L,'Jan 2026'!AH$6)</f>
        <v>0</v>
      </c>
      <c r="AI32" s="146">
        <f>COUNTIFS('2026 Time Off Request'!$A:$A,'Jan 2026'!$D32,'2026 Time Off Request'!$L:$L,'Jan 2026'!AI$6)</f>
        <v>0</v>
      </c>
      <c r="AJ32" s="149">
        <f>COUNTIFS('2026 Time Off Request'!$A:$A,'Jan 2026'!$D32,'2026 Time Off Request'!$L:$L,'Jan 2026'!AJ$6)</f>
        <v>0</v>
      </c>
    </row>
    <row r="33" spans="1:36" ht="15.6" customHeight="1">
      <c r="A33" s="8">
        <v>26</v>
      </c>
      <c r="B33" s="124" t="s">
        <v>45</v>
      </c>
      <c r="C33" s="120" t="s">
        <v>73</v>
      </c>
      <c r="D33" s="139" t="s">
        <v>74</v>
      </c>
      <c r="E33" s="156">
        <f t="shared" ref="E33" si="3">SUM(F33:AJ33)</f>
        <v>0</v>
      </c>
      <c r="F33" s="145">
        <f>COUNTIFS('2026 Time Off Request'!$A:$A,'Jan 2026'!$D33,'2026 Time Off Request'!$L:$L,'Jan 2026'!F$6)</f>
        <v>0</v>
      </c>
      <c r="G33" s="146">
        <f>COUNTIFS('2026 Time Off Request'!$A:$A,'Jan 2026'!$D33,'2026 Time Off Request'!$L:$L,'Jan 2026'!G$6)</f>
        <v>0</v>
      </c>
      <c r="H33" s="147">
        <f>COUNTIFS('2026 Time Off Request'!$A:$A,'Jan 2026'!$D33,'2026 Time Off Request'!$L:$L,'Jan 2026'!H$6)</f>
        <v>0</v>
      </c>
      <c r="I33" s="147">
        <f>COUNTIFS('2026 Time Off Request'!$A:$A,'Jan 2026'!$D33,'2026 Time Off Request'!$L:$L,'Jan 2026'!I$6)</f>
        <v>0</v>
      </c>
      <c r="J33" s="146">
        <f>COUNTIFS('2026 Time Off Request'!$A:$A,'Jan 2026'!$D33,'2026 Time Off Request'!$L:$L,'Jan 2026'!J$6)</f>
        <v>0</v>
      </c>
      <c r="K33" s="148">
        <f>COUNTIFS('2026 Time Off Request'!$A:$A,'Jan 2026'!$D33,'2026 Time Off Request'!$L:$L,'Jan 2026'!K$6)</f>
        <v>0</v>
      </c>
      <c r="L33" s="148">
        <f>COUNTIFS('2026 Time Off Request'!$A:$A,'Jan 2026'!$D33,'2026 Time Off Request'!$L:$L,'Jan 2026'!L$6)</f>
        <v>0</v>
      </c>
      <c r="M33" s="146">
        <f>COUNTIFS('2026 Time Off Request'!$A:$A,'Jan 2026'!$D33,'2026 Time Off Request'!$L:$L,'Jan 2026'!M$6)</f>
        <v>0</v>
      </c>
      <c r="N33" s="146">
        <f>COUNTIFS('2026 Time Off Request'!$A:$A,'Jan 2026'!$D33,'2026 Time Off Request'!$L:$L,'Jan 2026'!N$6)</f>
        <v>0</v>
      </c>
      <c r="O33" s="147">
        <f>COUNTIFS('2026 Time Off Request'!$A:$A,'Jan 2026'!$D33,'2026 Time Off Request'!$L:$L,'Jan 2026'!O$6)</f>
        <v>0</v>
      </c>
      <c r="P33" s="147">
        <f>COUNTIFS('2026 Time Off Request'!$A:$A,'Jan 2026'!$D33,'2026 Time Off Request'!$L:$L,'Jan 2026'!P$6)</f>
        <v>0</v>
      </c>
      <c r="Q33" s="146">
        <f>COUNTIFS('2026 Time Off Request'!$A:$A,'Jan 2026'!$D33,'2026 Time Off Request'!$L:$L,'Jan 2026'!Q$6)</f>
        <v>0</v>
      </c>
      <c r="R33" s="148">
        <f>COUNTIFS('2026 Time Off Request'!$A:$A,'Jan 2026'!$D33,'2026 Time Off Request'!$L:$L,'Jan 2026'!R$6)</f>
        <v>0</v>
      </c>
      <c r="S33" s="148">
        <f>COUNTIFS('2026 Time Off Request'!$A:$A,'Jan 2026'!$D33,'2026 Time Off Request'!$L:$L,'Jan 2026'!S$6)</f>
        <v>0</v>
      </c>
      <c r="T33" s="146">
        <f>COUNTIFS('2026 Time Off Request'!$A:$A,'Jan 2026'!$D33,'2026 Time Off Request'!$L:$L,'Jan 2026'!T$6)</f>
        <v>0</v>
      </c>
      <c r="U33" s="146">
        <f>COUNTIFS('2026 Time Off Request'!$A:$A,'Jan 2026'!$D33,'2026 Time Off Request'!$L:$L,'Jan 2026'!U$6)</f>
        <v>0</v>
      </c>
      <c r="V33" s="147">
        <f>COUNTIFS('2026 Time Off Request'!$A:$A,'Jan 2026'!$D33,'2026 Time Off Request'!$L:$L,'Jan 2026'!V$6)</f>
        <v>0</v>
      </c>
      <c r="W33" s="147">
        <f>COUNTIFS('2026 Time Off Request'!$A:$A,'Jan 2026'!$D33,'2026 Time Off Request'!$L:$L,'Jan 2026'!W$6)</f>
        <v>0</v>
      </c>
      <c r="X33" s="146">
        <f>COUNTIFS('2026 Time Off Request'!$A:$A,'Jan 2026'!$D33,'2026 Time Off Request'!$L:$L,'Jan 2026'!X$6)</f>
        <v>0</v>
      </c>
      <c r="Y33" s="148">
        <f>COUNTIFS('2026 Time Off Request'!$A:$A,'Jan 2026'!$D33,'2026 Time Off Request'!$L:$L,'Jan 2026'!Y$6)</f>
        <v>0</v>
      </c>
      <c r="Z33" s="148">
        <f>COUNTIFS('2026 Time Off Request'!$A:$A,'Jan 2026'!$D33,'2026 Time Off Request'!$L:$L,'Jan 2026'!Z$6)</f>
        <v>0</v>
      </c>
      <c r="AA33" s="146">
        <f>COUNTIFS('2026 Time Off Request'!$A:$A,'Jan 2026'!$D33,'2026 Time Off Request'!$L:$L,'Jan 2026'!AA$6)</f>
        <v>0</v>
      </c>
      <c r="AB33" s="146">
        <f>COUNTIFS('2026 Time Off Request'!$A:$A,'Jan 2026'!$D33,'2026 Time Off Request'!$L:$L,'Jan 2026'!AB$6)</f>
        <v>0</v>
      </c>
      <c r="AC33" s="147">
        <f>COUNTIFS('2026 Time Off Request'!$A:$A,'Jan 2026'!$D33,'2026 Time Off Request'!$L:$L,'Jan 2026'!AC$6)</f>
        <v>0</v>
      </c>
      <c r="AD33" s="147">
        <f>COUNTIFS('2026 Time Off Request'!$A:$A,'Jan 2026'!$D33,'2026 Time Off Request'!$L:$L,'Jan 2026'!AD$6)</f>
        <v>0</v>
      </c>
      <c r="AE33" s="148">
        <f>COUNTIFS('2026 Time Off Request'!$A:$A,'Jan 2026'!$D33,'2026 Time Off Request'!$L:$L,'Jan 2026'!AE$6)</f>
        <v>0</v>
      </c>
      <c r="AF33" s="148">
        <f>COUNTIFS('2026 Time Off Request'!$A:$A,'Jan 2026'!$D33,'2026 Time Off Request'!$L:$L,'Jan 2026'!AF$6)</f>
        <v>0</v>
      </c>
      <c r="AG33" s="148">
        <f>COUNTIFS('2026 Time Off Request'!$A:$A,'Jan 2026'!$D33,'2026 Time Off Request'!$L:$L,'Jan 2026'!AG$6)</f>
        <v>0</v>
      </c>
      <c r="AH33" s="146">
        <f>COUNTIFS('2026 Time Off Request'!$A:$A,'Jan 2026'!$D33,'2026 Time Off Request'!$L:$L,'Jan 2026'!AH$6)</f>
        <v>0</v>
      </c>
      <c r="AI33" s="146">
        <f>COUNTIFS('2026 Time Off Request'!$A:$A,'Jan 2026'!$D33,'2026 Time Off Request'!$L:$L,'Jan 2026'!AI$6)</f>
        <v>0</v>
      </c>
      <c r="AJ33" s="149">
        <f>COUNTIFS('2026 Time Off Request'!$A:$A,'Jan 2026'!$D33,'2026 Time Off Request'!$L:$L,'Jan 2026'!AJ$6)</f>
        <v>0</v>
      </c>
    </row>
    <row r="34" spans="1:36" ht="15.6" customHeight="1">
      <c r="A34" s="8">
        <v>27</v>
      </c>
      <c r="B34" s="124" t="s">
        <v>49</v>
      </c>
      <c r="C34" s="120" t="s">
        <v>75</v>
      </c>
      <c r="D34" s="139" t="s">
        <v>76</v>
      </c>
      <c r="E34" s="156">
        <f t="shared" si="2"/>
        <v>0</v>
      </c>
      <c r="F34" s="145">
        <f>COUNTIFS('2026 Time Off Request'!$A:$A,'Jan 2026'!$D34,'2026 Time Off Request'!$L:$L,'Jan 2026'!F$6)</f>
        <v>0</v>
      </c>
      <c r="G34" s="146">
        <f>COUNTIFS('2026 Time Off Request'!$A:$A,'Jan 2026'!$D34,'2026 Time Off Request'!$L:$L,'Jan 2026'!G$6)</f>
        <v>0</v>
      </c>
      <c r="H34" s="147">
        <f>COUNTIFS('2026 Time Off Request'!$A:$A,'Jan 2026'!$D34,'2026 Time Off Request'!$L:$L,'Jan 2026'!H$6)</f>
        <v>0</v>
      </c>
      <c r="I34" s="147">
        <f>COUNTIFS('2026 Time Off Request'!$A:$A,'Jan 2026'!$D34,'2026 Time Off Request'!$L:$L,'Jan 2026'!I$6)</f>
        <v>0</v>
      </c>
      <c r="J34" s="146">
        <f>COUNTIFS('2026 Time Off Request'!$A:$A,'Jan 2026'!$D34,'2026 Time Off Request'!$L:$L,'Jan 2026'!J$6)</f>
        <v>0</v>
      </c>
      <c r="K34" s="148">
        <f>COUNTIFS('2026 Time Off Request'!$A:$A,'Jan 2026'!$D34,'2026 Time Off Request'!$L:$L,'Jan 2026'!K$6)</f>
        <v>0</v>
      </c>
      <c r="L34" s="148">
        <f>COUNTIFS('2026 Time Off Request'!$A:$A,'Jan 2026'!$D34,'2026 Time Off Request'!$L:$L,'Jan 2026'!L$6)</f>
        <v>0</v>
      </c>
      <c r="M34" s="146">
        <f>COUNTIFS('2026 Time Off Request'!$A:$A,'Jan 2026'!$D34,'2026 Time Off Request'!$L:$L,'Jan 2026'!M$6)</f>
        <v>0</v>
      </c>
      <c r="N34" s="146">
        <f>COUNTIFS('2026 Time Off Request'!$A:$A,'Jan 2026'!$D34,'2026 Time Off Request'!$L:$L,'Jan 2026'!N$6)</f>
        <v>0</v>
      </c>
      <c r="O34" s="147">
        <f>COUNTIFS('2026 Time Off Request'!$A:$A,'Jan 2026'!$D34,'2026 Time Off Request'!$L:$L,'Jan 2026'!O$6)</f>
        <v>0</v>
      </c>
      <c r="P34" s="147">
        <f>COUNTIFS('2026 Time Off Request'!$A:$A,'Jan 2026'!$D34,'2026 Time Off Request'!$L:$L,'Jan 2026'!P$6)</f>
        <v>0</v>
      </c>
      <c r="Q34" s="146">
        <f>COUNTIFS('2026 Time Off Request'!$A:$A,'Jan 2026'!$D34,'2026 Time Off Request'!$L:$L,'Jan 2026'!Q$6)</f>
        <v>0</v>
      </c>
      <c r="R34" s="148">
        <f>COUNTIFS('2026 Time Off Request'!$A:$A,'Jan 2026'!$D34,'2026 Time Off Request'!$L:$L,'Jan 2026'!R$6)</f>
        <v>0</v>
      </c>
      <c r="S34" s="148">
        <f>COUNTIFS('2026 Time Off Request'!$A:$A,'Jan 2026'!$D34,'2026 Time Off Request'!$L:$L,'Jan 2026'!S$6)</f>
        <v>0</v>
      </c>
      <c r="T34" s="146">
        <f>COUNTIFS('2026 Time Off Request'!$A:$A,'Jan 2026'!$D34,'2026 Time Off Request'!$L:$L,'Jan 2026'!T$6)</f>
        <v>0</v>
      </c>
      <c r="U34" s="146">
        <f>COUNTIFS('2026 Time Off Request'!$A:$A,'Jan 2026'!$D34,'2026 Time Off Request'!$L:$L,'Jan 2026'!U$6)</f>
        <v>0</v>
      </c>
      <c r="V34" s="147">
        <f>COUNTIFS('2026 Time Off Request'!$A:$A,'Jan 2026'!$D34,'2026 Time Off Request'!$L:$L,'Jan 2026'!V$6)</f>
        <v>0</v>
      </c>
      <c r="W34" s="147">
        <f>COUNTIFS('2026 Time Off Request'!$A:$A,'Jan 2026'!$D34,'2026 Time Off Request'!$L:$L,'Jan 2026'!W$6)</f>
        <v>0</v>
      </c>
      <c r="X34" s="146">
        <f>COUNTIFS('2026 Time Off Request'!$A:$A,'Jan 2026'!$D34,'2026 Time Off Request'!$L:$L,'Jan 2026'!X$6)</f>
        <v>0</v>
      </c>
      <c r="Y34" s="148">
        <f>COUNTIFS('2026 Time Off Request'!$A:$A,'Jan 2026'!$D34,'2026 Time Off Request'!$L:$L,'Jan 2026'!Y$6)</f>
        <v>0</v>
      </c>
      <c r="Z34" s="148">
        <f>COUNTIFS('2026 Time Off Request'!$A:$A,'Jan 2026'!$D34,'2026 Time Off Request'!$L:$L,'Jan 2026'!Z$6)</f>
        <v>0</v>
      </c>
      <c r="AA34" s="146">
        <f>COUNTIFS('2026 Time Off Request'!$A:$A,'Jan 2026'!$D34,'2026 Time Off Request'!$L:$L,'Jan 2026'!AA$6)</f>
        <v>0</v>
      </c>
      <c r="AB34" s="146">
        <f>COUNTIFS('2026 Time Off Request'!$A:$A,'Jan 2026'!$D34,'2026 Time Off Request'!$L:$L,'Jan 2026'!AB$6)</f>
        <v>0</v>
      </c>
      <c r="AC34" s="147">
        <f>COUNTIFS('2026 Time Off Request'!$A:$A,'Jan 2026'!$D34,'2026 Time Off Request'!$L:$L,'Jan 2026'!AC$6)</f>
        <v>0</v>
      </c>
      <c r="AD34" s="147">
        <f>COUNTIFS('2026 Time Off Request'!$A:$A,'Jan 2026'!$D34,'2026 Time Off Request'!$L:$L,'Jan 2026'!AD$6)</f>
        <v>0</v>
      </c>
      <c r="AE34" s="148">
        <f>COUNTIFS('2026 Time Off Request'!$A:$A,'Jan 2026'!$D34,'2026 Time Off Request'!$L:$L,'Jan 2026'!AE$6)</f>
        <v>0</v>
      </c>
      <c r="AF34" s="148">
        <f>COUNTIFS('2026 Time Off Request'!$A:$A,'Jan 2026'!$D34,'2026 Time Off Request'!$L:$L,'Jan 2026'!AF$6)</f>
        <v>0</v>
      </c>
      <c r="AG34" s="148">
        <f>COUNTIFS('2026 Time Off Request'!$A:$A,'Jan 2026'!$D34,'2026 Time Off Request'!$L:$L,'Jan 2026'!AG$6)</f>
        <v>0</v>
      </c>
      <c r="AH34" s="146">
        <f>COUNTIFS('2026 Time Off Request'!$A:$A,'Jan 2026'!$D34,'2026 Time Off Request'!$L:$L,'Jan 2026'!AH$6)</f>
        <v>0</v>
      </c>
      <c r="AI34" s="146">
        <f>COUNTIFS('2026 Time Off Request'!$A:$A,'Jan 2026'!$D34,'2026 Time Off Request'!$L:$L,'Jan 2026'!AI$6)</f>
        <v>0</v>
      </c>
      <c r="AJ34" s="149">
        <f>COUNTIFS('2026 Time Off Request'!$A:$A,'Jan 2026'!$D34,'2026 Time Off Request'!$L:$L,'Jan 2026'!AJ$6)</f>
        <v>0</v>
      </c>
    </row>
    <row r="35" spans="1:36" ht="15.6" customHeight="1">
      <c r="A35" s="8">
        <v>28</v>
      </c>
      <c r="B35" s="124" t="s">
        <v>45</v>
      </c>
      <c r="C35" s="120" t="s">
        <v>77</v>
      </c>
      <c r="D35" s="139" t="s">
        <v>78</v>
      </c>
      <c r="E35" s="156">
        <f t="shared" si="2"/>
        <v>0</v>
      </c>
      <c r="F35" s="145">
        <f>COUNTIFS('2026 Time Off Request'!$A:$A,'Jan 2026'!$D35,'2026 Time Off Request'!$L:$L,'Jan 2026'!F$6)</f>
        <v>0</v>
      </c>
      <c r="G35" s="146">
        <f>COUNTIFS('2026 Time Off Request'!$A:$A,'Jan 2026'!$D35,'2026 Time Off Request'!$L:$L,'Jan 2026'!G$6)</f>
        <v>0</v>
      </c>
      <c r="H35" s="147">
        <f>COUNTIFS('2026 Time Off Request'!$A:$A,'Jan 2026'!$D35,'2026 Time Off Request'!$L:$L,'Jan 2026'!H$6)</f>
        <v>0</v>
      </c>
      <c r="I35" s="147">
        <f>COUNTIFS('2026 Time Off Request'!$A:$A,'Jan 2026'!$D35,'2026 Time Off Request'!$L:$L,'Jan 2026'!I$6)</f>
        <v>0</v>
      </c>
      <c r="J35" s="146">
        <f>COUNTIFS('2026 Time Off Request'!$A:$A,'Jan 2026'!$D35,'2026 Time Off Request'!$L:$L,'Jan 2026'!J$6)</f>
        <v>0</v>
      </c>
      <c r="K35" s="148">
        <f>COUNTIFS('2026 Time Off Request'!$A:$A,'Jan 2026'!$D35,'2026 Time Off Request'!$L:$L,'Jan 2026'!K$6)</f>
        <v>0</v>
      </c>
      <c r="L35" s="148">
        <f>COUNTIFS('2026 Time Off Request'!$A:$A,'Jan 2026'!$D35,'2026 Time Off Request'!$L:$L,'Jan 2026'!L$6)</f>
        <v>0</v>
      </c>
      <c r="M35" s="146">
        <f>COUNTIFS('2026 Time Off Request'!$A:$A,'Jan 2026'!$D35,'2026 Time Off Request'!$L:$L,'Jan 2026'!M$6)</f>
        <v>0</v>
      </c>
      <c r="N35" s="146">
        <f>COUNTIFS('2026 Time Off Request'!$A:$A,'Jan 2026'!$D35,'2026 Time Off Request'!$L:$L,'Jan 2026'!N$6)</f>
        <v>0</v>
      </c>
      <c r="O35" s="147">
        <f>COUNTIFS('2026 Time Off Request'!$A:$A,'Jan 2026'!$D35,'2026 Time Off Request'!$L:$L,'Jan 2026'!O$6)</f>
        <v>0</v>
      </c>
      <c r="P35" s="147">
        <f>COUNTIFS('2026 Time Off Request'!$A:$A,'Jan 2026'!$D35,'2026 Time Off Request'!$L:$L,'Jan 2026'!P$6)</f>
        <v>0</v>
      </c>
      <c r="Q35" s="146">
        <f>COUNTIFS('2026 Time Off Request'!$A:$A,'Jan 2026'!$D35,'2026 Time Off Request'!$L:$L,'Jan 2026'!Q$6)</f>
        <v>0</v>
      </c>
      <c r="R35" s="148">
        <f>COUNTIFS('2026 Time Off Request'!$A:$A,'Jan 2026'!$D35,'2026 Time Off Request'!$L:$L,'Jan 2026'!R$6)</f>
        <v>0</v>
      </c>
      <c r="S35" s="148">
        <f>COUNTIFS('2026 Time Off Request'!$A:$A,'Jan 2026'!$D35,'2026 Time Off Request'!$L:$L,'Jan 2026'!S$6)</f>
        <v>0</v>
      </c>
      <c r="T35" s="146">
        <f>COUNTIFS('2026 Time Off Request'!$A:$A,'Jan 2026'!$D35,'2026 Time Off Request'!$L:$L,'Jan 2026'!T$6)</f>
        <v>0</v>
      </c>
      <c r="U35" s="146">
        <f>COUNTIFS('2026 Time Off Request'!$A:$A,'Jan 2026'!$D35,'2026 Time Off Request'!$L:$L,'Jan 2026'!U$6)</f>
        <v>0</v>
      </c>
      <c r="V35" s="147">
        <f>COUNTIFS('2026 Time Off Request'!$A:$A,'Jan 2026'!$D35,'2026 Time Off Request'!$L:$L,'Jan 2026'!V$6)</f>
        <v>0</v>
      </c>
      <c r="W35" s="147">
        <f>COUNTIFS('2026 Time Off Request'!$A:$A,'Jan 2026'!$D35,'2026 Time Off Request'!$L:$L,'Jan 2026'!W$6)</f>
        <v>0</v>
      </c>
      <c r="X35" s="146">
        <f>COUNTIFS('2026 Time Off Request'!$A:$A,'Jan 2026'!$D35,'2026 Time Off Request'!$L:$L,'Jan 2026'!X$6)</f>
        <v>0</v>
      </c>
      <c r="Y35" s="148">
        <f>COUNTIFS('2026 Time Off Request'!$A:$A,'Jan 2026'!$D35,'2026 Time Off Request'!$L:$L,'Jan 2026'!Y$6)</f>
        <v>0</v>
      </c>
      <c r="Z35" s="148">
        <f>COUNTIFS('2026 Time Off Request'!$A:$A,'Jan 2026'!$D35,'2026 Time Off Request'!$L:$L,'Jan 2026'!Z$6)</f>
        <v>0</v>
      </c>
      <c r="AA35" s="146">
        <f>COUNTIFS('2026 Time Off Request'!$A:$A,'Jan 2026'!$D35,'2026 Time Off Request'!$L:$L,'Jan 2026'!AA$6)</f>
        <v>0</v>
      </c>
      <c r="AB35" s="146">
        <f>COUNTIFS('2026 Time Off Request'!$A:$A,'Jan 2026'!$D35,'2026 Time Off Request'!$L:$L,'Jan 2026'!AB$6)</f>
        <v>0</v>
      </c>
      <c r="AC35" s="147">
        <f>COUNTIFS('2026 Time Off Request'!$A:$A,'Jan 2026'!$D35,'2026 Time Off Request'!$L:$L,'Jan 2026'!AC$6)</f>
        <v>0</v>
      </c>
      <c r="AD35" s="147">
        <f>COUNTIFS('2026 Time Off Request'!$A:$A,'Jan 2026'!$D35,'2026 Time Off Request'!$L:$L,'Jan 2026'!AD$6)</f>
        <v>0</v>
      </c>
      <c r="AE35" s="148">
        <f>COUNTIFS('2026 Time Off Request'!$A:$A,'Jan 2026'!$D35,'2026 Time Off Request'!$L:$L,'Jan 2026'!AE$6)</f>
        <v>0</v>
      </c>
      <c r="AF35" s="148">
        <f>COUNTIFS('2026 Time Off Request'!$A:$A,'Jan 2026'!$D35,'2026 Time Off Request'!$L:$L,'Jan 2026'!AF$6)</f>
        <v>0</v>
      </c>
      <c r="AG35" s="148">
        <f>COUNTIFS('2026 Time Off Request'!$A:$A,'Jan 2026'!$D35,'2026 Time Off Request'!$L:$L,'Jan 2026'!AG$6)</f>
        <v>0</v>
      </c>
      <c r="AH35" s="146">
        <f>COUNTIFS('2026 Time Off Request'!$A:$A,'Jan 2026'!$D35,'2026 Time Off Request'!$L:$L,'Jan 2026'!AH$6)</f>
        <v>0</v>
      </c>
      <c r="AI35" s="146">
        <f>COUNTIFS('2026 Time Off Request'!$A:$A,'Jan 2026'!$D35,'2026 Time Off Request'!$L:$L,'Jan 2026'!AI$6)</f>
        <v>0</v>
      </c>
      <c r="AJ35" s="149">
        <f>COUNTIFS('2026 Time Off Request'!$A:$A,'Jan 2026'!$D35,'2026 Time Off Request'!$L:$L,'Jan 2026'!AJ$6)</f>
        <v>0</v>
      </c>
    </row>
    <row r="36" spans="1:36" ht="15.6" customHeight="1">
      <c r="A36" s="8">
        <v>29</v>
      </c>
      <c r="B36" s="124" t="s">
        <v>45</v>
      </c>
      <c r="C36" s="120" t="s">
        <v>77</v>
      </c>
      <c r="D36" s="139" t="s">
        <v>79</v>
      </c>
      <c r="E36" s="156">
        <f t="shared" si="2"/>
        <v>8</v>
      </c>
      <c r="F36" s="145">
        <f>COUNTIFS('2026 Time Off Request'!$A:$A,'Jan 2026'!$D36,'2026 Time Off Request'!$L:$L,'Jan 2026'!F$6)</f>
        <v>0</v>
      </c>
      <c r="G36" s="146">
        <f>COUNTIFS('2026 Time Off Request'!$A:$A,'Jan 2026'!$D36,'2026 Time Off Request'!$L:$L,'Jan 2026'!G$6)</f>
        <v>1</v>
      </c>
      <c r="H36" s="147">
        <f>COUNTIFS('2026 Time Off Request'!$A:$A,'Jan 2026'!$D36,'2026 Time Off Request'!$L:$L,'Jan 2026'!H$6)</f>
        <v>0</v>
      </c>
      <c r="I36" s="147">
        <f>COUNTIFS('2026 Time Off Request'!$A:$A,'Jan 2026'!$D36,'2026 Time Off Request'!$L:$L,'Jan 2026'!I$6)</f>
        <v>0</v>
      </c>
      <c r="J36" s="146">
        <f>COUNTIFS('2026 Time Off Request'!$A:$A,'Jan 2026'!$D36,'2026 Time Off Request'!$L:$L,'Jan 2026'!J$6)</f>
        <v>1</v>
      </c>
      <c r="K36" s="148">
        <f>COUNTIFS('2026 Time Off Request'!$A:$A,'Jan 2026'!$D36,'2026 Time Off Request'!$L:$L,'Jan 2026'!K$6)</f>
        <v>1</v>
      </c>
      <c r="L36" s="148">
        <f>COUNTIFS('2026 Time Off Request'!$A:$A,'Jan 2026'!$D36,'2026 Time Off Request'!$L:$L,'Jan 2026'!L$6)</f>
        <v>1</v>
      </c>
      <c r="M36" s="146">
        <f>COUNTIFS('2026 Time Off Request'!$A:$A,'Jan 2026'!$D36,'2026 Time Off Request'!$L:$L,'Jan 2026'!M$6)</f>
        <v>1</v>
      </c>
      <c r="N36" s="146">
        <f>COUNTIFS('2026 Time Off Request'!$A:$A,'Jan 2026'!$D36,'2026 Time Off Request'!$L:$L,'Jan 2026'!N$6)</f>
        <v>1</v>
      </c>
      <c r="O36" s="147">
        <f>COUNTIFS('2026 Time Off Request'!$A:$A,'Jan 2026'!$D36,'2026 Time Off Request'!$L:$L,'Jan 2026'!O$6)</f>
        <v>0</v>
      </c>
      <c r="P36" s="147">
        <f>COUNTIFS('2026 Time Off Request'!$A:$A,'Jan 2026'!$D36,'2026 Time Off Request'!$L:$L,'Jan 2026'!P$6)</f>
        <v>0</v>
      </c>
      <c r="Q36" s="146">
        <f>COUNTIFS('2026 Time Off Request'!$A:$A,'Jan 2026'!$D36,'2026 Time Off Request'!$L:$L,'Jan 2026'!Q$6)</f>
        <v>1</v>
      </c>
      <c r="R36" s="148">
        <f>COUNTIFS('2026 Time Off Request'!$A:$A,'Jan 2026'!$D36,'2026 Time Off Request'!$L:$L,'Jan 2026'!R$6)</f>
        <v>1</v>
      </c>
      <c r="S36" s="148">
        <f>COUNTIFS('2026 Time Off Request'!$A:$A,'Jan 2026'!$D36,'2026 Time Off Request'!$L:$L,'Jan 2026'!S$6)</f>
        <v>0</v>
      </c>
      <c r="T36" s="146">
        <f>COUNTIFS('2026 Time Off Request'!$A:$A,'Jan 2026'!$D36,'2026 Time Off Request'!$L:$L,'Jan 2026'!T$6)</f>
        <v>0</v>
      </c>
      <c r="U36" s="146">
        <f>COUNTIFS('2026 Time Off Request'!$A:$A,'Jan 2026'!$D36,'2026 Time Off Request'!$L:$L,'Jan 2026'!U$6)</f>
        <v>0</v>
      </c>
      <c r="V36" s="147">
        <f>COUNTIFS('2026 Time Off Request'!$A:$A,'Jan 2026'!$D36,'2026 Time Off Request'!$L:$L,'Jan 2026'!V$6)</f>
        <v>0</v>
      </c>
      <c r="W36" s="147">
        <f>COUNTIFS('2026 Time Off Request'!$A:$A,'Jan 2026'!$D36,'2026 Time Off Request'!$L:$L,'Jan 2026'!W$6)</f>
        <v>0</v>
      </c>
      <c r="X36" s="146">
        <f>COUNTIFS('2026 Time Off Request'!$A:$A,'Jan 2026'!$D36,'2026 Time Off Request'!$L:$L,'Jan 2026'!X$6)</f>
        <v>0</v>
      </c>
      <c r="Y36" s="148">
        <f>COUNTIFS('2026 Time Off Request'!$A:$A,'Jan 2026'!$D36,'2026 Time Off Request'!$L:$L,'Jan 2026'!Y$6)</f>
        <v>0</v>
      </c>
      <c r="Z36" s="148">
        <f>COUNTIFS('2026 Time Off Request'!$A:$A,'Jan 2026'!$D36,'2026 Time Off Request'!$L:$L,'Jan 2026'!Z$6)</f>
        <v>0</v>
      </c>
      <c r="AA36" s="146">
        <f>COUNTIFS('2026 Time Off Request'!$A:$A,'Jan 2026'!$D36,'2026 Time Off Request'!$L:$L,'Jan 2026'!AA$6)</f>
        <v>0</v>
      </c>
      <c r="AB36" s="146">
        <f>COUNTIFS('2026 Time Off Request'!$A:$A,'Jan 2026'!$D36,'2026 Time Off Request'!$L:$L,'Jan 2026'!AB$6)</f>
        <v>0</v>
      </c>
      <c r="AC36" s="147">
        <f>COUNTIFS('2026 Time Off Request'!$A:$A,'Jan 2026'!$D36,'2026 Time Off Request'!$L:$L,'Jan 2026'!AC$6)</f>
        <v>0</v>
      </c>
      <c r="AD36" s="147">
        <f>COUNTIFS('2026 Time Off Request'!$A:$A,'Jan 2026'!$D36,'2026 Time Off Request'!$L:$L,'Jan 2026'!AD$6)</f>
        <v>0</v>
      </c>
      <c r="AE36" s="148">
        <f>COUNTIFS('2026 Time Off Request'!$A:$A,'Jan 2026'!$D36,'2026 Time Off Request'!$L:$L,'Jan 2026'!AE$6)</f>
        <v>0</v>
      </c>
      <c r="AF36" s="148">
        <f>COUNTIFS('2026 Time Off Request'!$A:$A,'Jan 2026'!$D36,'2026 Time Off Request'!$L:$L,'Jan 2026'!AF$6)</f>
        <v>0</v>
      </c>
      <c r="AG36" s="148">
        <f>COUNTIFS('2026 Time Off Request'!$A:$A,'Jan 2026'!$D36,'2026 Time Off Request'!$L:$L,'Jan 2026'!AG$6)</f>
        <v>0</v>
      </c>
      <c r="AH36" s="146">
        <f>COUNTIFS('2026 Time Off Request'!$A:$A,'Jan 2026'!$D36,'2026 Time Off Request'!$L:$L,'Jan 2026'!AH$6)</f>
        <v>0</v>
      </c>
      <c r="AI36" s="146">
        <f>COUNTIFS('2026 Time Off Request'!$A:$A,'Jan 2026'!$D36,'2026 Time Off Request'!$L:$L,'Jan 2026'!AI$6)</f>
        <v>0</v>
      </c>
      <c r="AJ36" s="149">
        <f>COUNTIFS('2026 Time Off Request'!$A:$A,'Jan 2026'!$D36,'2026 Time Off Request'!$L:$L,'Jan 2026'!AJ$6)</f>
        <v>0</v>
      </c>
    </row>
    <row r="37" spans="1:36" ht="15.6" customHeight="1">
      <c r="A37" s="8">
        <v>30</v>
      </c>
      <c r="B37" s="124" t="s">
        <v>45</v>
      </c>
      <c r="C37" s="120" t="s">
        <v>77</v>
      </c>
      <c r="D37" s="139" t="s">
        <v>80</v>
      </c>
      <c r="E37" s="156">
        <f>SUM(F37:AJ37)</f>
        <v>0</v>
      </c>
      <c r="F37" s="145">
        <f>COUNTIFS('2026 Time Off Request'!$A:$A,'Jan 2026'!$D37,'2026 Time Off Request'!$L:$L,'Jan 2026'!F$6)</f>
        <v>0</v>
      </c>
      <c r="G37" s="146">
        <f>COUNTIFS('2026 Time Off Request'!$A:$A,'Jan 2026'!$D37,'2026 Time Off Request'!$L:$L,'Jan 2026'!G$6)</f>
        <v>0</v>
      </c>
      <c r="H37" s="147">
        <f>COUNTIFS('2026 Time Off Request'!$A:$A,'Jan 2026'!$D37,'2026 Time Off Request'!$L:$L,'Jan 2026'!H$6)</f>
        <v>0</v>
      </c>
      <c r="I37" s="147">
        <f>COUNTIFS('2026 Time Off Request'!$A:$A,'Jan 2026'!$D37,'2026 Time Off Request'!$L:$L,'Jan 2026'!I$6)</f>
        <v>0</v>
      </c>
      <c r="J37" s="146">
        <f>COUNTIFS('2026 Time Off Request'!$A:$A,'Jan 2026'!$D37,'2026 Time Off Request'!$L:$L,'Jan 2026'!J$6)</f>
        <v>0</v>
      </c>
      <c r="K37" s="148">
        <f>COUNTIFS('2026 Time Off Request'!$A:$A,'Jan 2026'!$D37,'2026 Time Off Request'!$L:$L,'Jan 2026'!K$6)</f>
        <v>0</v>
      </c>
      <c r="L37" s="148">
        <f>COUNTIFS('2026 Time Off Request'!$A:$A,'Jan 2026'!$D37,'2026 Time Off Request'!$L:$L,'Jan 2026'!L$6)</f>
        <v>0</v>
      </c>
      <c r="M37" s="146">
        <f>COUNTIFS('2026 Time Off Request'!$A:$A,'Jan 2026'!$D37,'2026 Time Off Request'!$L:$L,'Jan 2026'!M$6)</f>
        <v>0</v>
      </c>
      <c r="N37" s="146">
        <f>COUNTIFS('2026 Time Off Request'!$A:$A,'Jan 2026'!$D37,'2026 Time Off Request'!$L:$L,'Jan 2026'!N$6)</f>
        <v>0</v>
      </c>
      <c r="O37" s="147">
        <f>COUNTIFS('2026 Time Off Request'!$A:$A,'Jan 2026'!$D37,'2026 Time Off Request'!$L:$L,'Jan 2026'!O$6)</f>
        <v>0</v>
      </c>
      <c r="P37" s="147">
        <f>COUNTIFS('2026 Time Off Request'!$A:$A,'Jan 2026'!$D37,'2026 Time Off Request'!$L:$L,'Jan 2026'!P$6)</f>
        <v>0</v>
      </c>
      <c r="Q37" s="146">
        <f>COUNTIFS('2026 Time Off Request'!$A:$A,'Jan 2026'!$D37,'2026 Time Off Request'!$L:$L,'Jan 2026'!Q$6)</f>
        <v>0</v>
      </c>
      <c r="R37" s="148">
        <f>COUNTIFS('2026 Time Off Request'!$A:$A,'Jan 2026'!$D37,'2026 Time Off Request'!$L:$L,'Jan 2026'!R$6)</f>
        <v>0</v>
      </c>
      <c r="S37" s="148">
        <f>COUNTIFS('2026 Time Off Request'!$A:$A,'Jan 2026'!$D37,'2026 Time Off Request'!$L:$L,'Jan 2026'!S$6)</f>
        <v>0</v>
      </c>
      <c r="T37" s="146">
        <f>COUNTIFS('2026 Time Off Request'!$A:$A,'Jan 2026'!$D37,'2026 Time Off Request'!$L:$L,'Jan 2026'!T$6)</f>
        <v>0</v>
      </c>
      <c r="U37" s="146">
        <f>COUNTIFS('2026 Time Off Request'!$A:$A,'Jan 2026'!$D37,'2026 Time Off Request'!$L:$L,'Jan 2026'!U$6)</f>
        <v>0</v>
      </c>
      <c r="V37" s="147">
        <f>COUNTIFS('2026 Time Off Request'!$A:$A,'Jan 2026'!$D37,'2026 Time Off Request'!$L:$L,'Jan 2026'!V$6)</f>
        <v>0</v>
      </c>
      <c r="W37" s="147">
        <f>COUNTIFS('2026 Time Off Request'!$A:$A,'Jan 2026'!$D37,'2026 Time Off Request'!$L:$L,'Jan 2026'!W$6)</f>
        <v>0</v>
      </c>
      <c r="X37" s="146">
        <f>COUNTIFS('2026 Time Off Request'!$A:$A,'Jan 2026'!$D37,'2026 Time Off Request'!$L:$L,'Jan 2026'!X$6)</f>
        <v>0</v>
      </c>
      <c r="Y37" s="148">
        <f>COUNTIFS('2026 Time Off Request'!$A:$A,'Jan 2026'!$D37,'2026 Time Off Request'!$L:$L,'Jan 2026'!Y$6)</f>
        <v>0</v>
      </c>
      <c r="Z37" s="148">
        <f>COUNTIFS('2026 Time Off Request'!$A:$A,'Jan 2026'!$D37,'2026 Time Off Request'!$L:$L,'Jan 2026'!Z$6)</f>
        <v>0</v>
      </c>
      <c r="AA37" s="146">
        <f>COUNTIFS('2026 Time Off Request'!$A:$A,'Jan 2026'!$D37,'2026 Time Off Request'!$L:$L,'Jan 2026'!AA$6)</f>
        <v>0</v>
      </c>
      <c r="AB37" s="146">
        <f>COUNTIFS('2026 Time Off Request'!$A:$A,'Jan 2026'!$D37,'2026 Time Off Request'!$L:$L,'Jan 2026'!AB$6)</f>
        <v>0</v>
      </c>
      <c r="AC37" s="147">
        <f>COUNTIFS('2026 Time Off Request'!$A:$A,'Jan 2026'!$D37,'2026 Time Off Request'!$L:$L,'Jan 2026'!AC$6)</f>
        <v>0</v>
      </c>
      <c r="AD37" s="147">
        <f>COUNTIFS('2026 Time Off Request'!$A:$A,'Jan 2026'!$D37,'2026 Time Off Request'!$L:$L,'Jan 2026'!AD$6)</f>
        <v>0</v>
      </c>
      <c r="AE37" s="148">
        <f>COUNTIFS('2026 Time Off Request'!$A:$A,'Jan 2026'!$D37,'2026 Time Off Request'!$L:$L,'Jan 2026'!AE$6)</f>
        <v>0</v>
      </c>
      <c r="AF37" s="148">
        <f>COUNTIFS('2026 Time Off Request'!$A:$A,'Jan 2026'!$D37,'2026 Time Off Request'!$L:$L,'Jan 2026'!AF$6)</f>
        <v>0</v>
      </c>
      <c r="AG37" s="148">
        <f>COUNTIFS('2026 Time Off Request'!$A:$A,'Jan 2026'!$D37,'2026 Time Off Request'!$L:$L,'Jan 2026'!AG$6)</f>
        <v>0</v>
      </c>
      <c r="AH37" s="146">
        <f>COUNTIFS('2026 Time Off Request'!$A:$A,'Jan 2026'!$D37,'2026 Time Off Request'!$L:$L,'Jan 2026'!AH$6)</f>
        <v>0</v>
      </c>
      <c r="AI37" s="146">
        <f>COUNTIFS('2026 Time Off Request'!$A:$A,'Jan 2026'!$D37,'2026 Time Off Request'!$L:$L,'Jan 2026'!AI$6)</f>
        <v>0</v>
      </c>
      <c r="AJ37" s="149">
        <f>COUNTIFS('2026 Time Off Request'!$A:$A,'Jan 2026'!$D37,'2026 Time Off Request'!$L:$L,'Jan 2026'!AJ$6)</f>
        <v>0</v>
      </c>
    </row>
    <row r="38" spans="1:36" ht="15.6" customHeight="1">
      <c r="A38" s="8">
        <v>31</v>
      </c>
      <c r="B38" s="124" t="s">
        <v>49</v>
      </c>
      <c r="C38" s="120" t="s">
        <v>81</v>
      </c>
      <c r="D38" s="139" t="s">
        <v>82</v>
      </c>
      <c r="E38" s="156">
        <f t="shared" si="2"/>
        <v>0</v>
      </c>
      <c r="F38" s="145">
        <f>COUNTIFS('2026 Time Off Request'!$A:$A,'Jan 2026'!$D38,'2026 Time Off Request'!$L:$L,'Jan 2026'!F$6)</f>
        <v>0</v>
      </c>
      <c r="G38" s="146">
        <f>COUNTIFS('2026 Time Off Request'!$A:$A,'Jan 2026'!$D38,'2026 Time Off Request'!$L:$L,'Jan 2026'!G$6)</f>
        <v>0</v>
      </c>
      <c r="H38" s="147">
        <f>COUNTIFS('2026 Time Off Request'!$A:$A,'Jan 2026'!$D38,'2026 Time Off Request'!$L:$L,'Jan 2026'!H$6)</f>
        <v>0</v>
      </c>
      <c r="I38" s="147">
        <f>COUNTIFS('2026 Time Off Request'!$A:$A,'Jan 2026'!$D38,'2026 Time Off Request'!$L:$L,'Jan 2026'!I$6)</f>
        <v>0</v>
      </c>
      <c r="J38" s="146">
        <f>COUNTIFS('2026 Time Off Request'!$A:$A,'Jan 2026'!$D38,'2026 Time Off Request'!$L:$L,'Jan 2026'!J$6)</f>
        <v>0</v>
      </c>
      <c r="K38" s="148">
        <f>COUNTIFS('2026 Time Off Request'!$A:$A,'Jan 2026'!$D38,'2026 Time Off Request'!$L:$L,'Jan 2026'!K$6)</f>
        <v>0</v>
      </c>
      <c r="L38" s="148">
        <f>COUNTIFS('2026 Time Off Request'!$A:$A,'Jan 2026'!$D38,'2026 Time Off Request'!$L:$L,'Jan 2026'!L$6)</f>
        <v>0</v>
      </c>
      <c r="M38" s="146">
        <f>COUNTIFS('2026 Time Off Request'!$A:$A,'Jan 2026'!$D38,'2026 Time Off Request'!$L:$L,'Jan 2026'!M$6)</f>
        <v>0</v>
      </c>
      <c r="N38" s="146">
        <f>COUNTIFS('2026 Time Off Request'!$A:$A,'Jan 2026'!$D38,'2026 Time Off Request'!$L:$L,'Jan 2026'!N$6)</f>
        <v>0</v>
      </c>
      <c r="O38" s="147">
        <f>COUNTIFS('2026 Time Off Request'!$A:$A,'Jan 2026'!$D38,'2026 Time Off Request'!$L:$L,'Jan 2026'!O$6)</f>
        <v>0</v>
      </c>
      <c r="P38" s="147">
        <f>COUNTIFS('2026 Time Off Request'!$A:$A,'Jan 2026'!$D38,'2026 Time Off Request'!$L:$L,'Jan 2026'!P$6)</f>
        <v>0</v>
      </c>
      <c r="Q38" s="146">
        <f>COUNTIFS('2026 Time Off Request'!$A:$A,'Jan 2026'!$D38,'2026 Time Off Request'!$L:$L,'Jan 2026'!Q$6)</f>
        <v>0</v>
      </c>
      <c r="R38" s="148">
        <f>COUNTIFS('2026 Time Off Request'!$A:$A,'Jan 2026'!$D38,'2026 Time Off Request'!$L:$L,'Jan 2026'!R$6)</f>
        <v>0</v>
      </c>
      <c r="S38" s="148">
        <f>COUNTIFS('2026 Time Off Request'!$A:$A,'Jan 2026'!$D38,'2026 Time Off Request'!$L:$L,'Jan 2026'!S$6)</f>
        <v>0</v>
      </c>
      <c r="T38" s="146">
        <f>COUNTIFS('2026 Time Off Request'!$A:$A,'Jan 2026'!$D38,'2026 Time Off Request'!$L:$L,'Jan 2026'!T$6)</f>
        <v>0</v>
      </c>
      <c r="U38" s="146">
        <f>COUNTIFS('2026 Time Off Request'!$A:$A,'Jan 2026'!$D38,'2026 Time Off Request'!$L:$L,'Jan 2026'!U$6)</f>
        <v>0</v>
      </c>
      <c r="V38" s="147">
        <f>COUNTIFS('2026 Time Off Request'!$A:$A,'Jan 2026'!$D38,'2026 Time Off Request'!$L:$L,'Jan 2026'!V$6)</f>
        <v>0</v>
      </c>
      <c r="W38" s="147">
        <f>COUNTIFS('2026 Time Off Request'!$A:$A,'Jan 2026'!$D38,'2026 Time Off Request'!$L:$L,'Jan 2026'!W$6)</f>
        <v>0</v>
      </c>
      <c r="X38" s="146">
        <f>COUNTIFS('2026 Time Off Request'!$A:$A,'Jan 2026'!$D38,'2026 Time Off Request'!$L:$L,'Jan 2026'!X$6)</f>
        <v>0</v>
      </c>
      <c r="Y38" s="148">
        <f>COUNTIFS('2026 Time Off Request'!$A:$A,'Jan 2026'!$D38,'2026 Time Off Request'!$L:$L,'Jan 2026'!Y$6)</f>
        <v>0</v>
      </c>
      <c r="Z38" s="148">
        <f>COUNTIFS('2026 Time Off Request'!$A:$A,'Jan 2026'!$D38,'2026 Time Off Request'!$L:$L,'Jan 2026'!Z$6)</f>
        <v>0</v>
      </c>
      <c r="AA38" s="146">
        <f>COUNTIFS('2026 Time Off Request'!$A:$A,'Jan 2026'!$D38,'2026 Time Off Request'!$L:$L,'Jan 2026'!AA$6)</f>
        <v>0</v>
      </c>
      <c r="AB38" s="146">
        <f>COUNTIFS('2026 Time Off Request'!$A:$A,'Jan 2026'!$D38,'2026 Time Off Request'!$L:$L,'Jan 2026'!AB$6)</f>
        <v>0</v>
      </c>
      <c r="AC38" s="147">
        <f>COUNTIFS('2026 Time Off Request'!$A:$A,'Jan 2026'!$D38,'2026 Time Off Request'!$L:$L,'Jan 2026'!AC$6)</f>
        <v>0</v>
      </c>
      <c r="AD38" s="147">
        <f>COUNTIFS('2026 Time Off Request'!$A:$A,'Jan 2026'!$D38,'2026 Time Off Request'!$L:$L,'Jan 2026'!AD$6)</f>
        <v>0</v>
      </c>
      <c r="AE38" s="148">
        <f>COUNTIFS('2026 Time Off Request'!$A:$A,'Jan 2026'!$D38,'2026 Time Off Request'!$L:$L,'Jan 2026'!AE$6)</f>
        <v>0</v>
      </c>
      <c r="AF38" s="148">
        <f>COUNTIFS('2026 Time Off Request'!$A:$A,'Jan 2026'!$D38,'2026 Time Off Request'!$L:$L,'Jan 2026'!AF$6)</f>
        <v>0</v>
      </c>
      <c r="AG38" s="148">
        <f>COUNTIFS('2026 Time Off Request'!$A:$A,'Jan 2026'!$D38,'2026 Time Off Request'!$L:$L,'Jan 2026'!AG$6)</f>
        <v>0</v>
      </c>
      <c r="AH38" s="146">
        <f>COUNTIFS('2026 Time Off Request'!$A:$A,'Jan 2026'!$D38,'2026 Time Off Request'!$L:$L,'Jan 2026'!AH$6)</f>
        <v>0</v>
      </c>
      <c r="AI38" s="146">
        <f>COUNTIFS('2026 Time Off Request'!$A:$A,'Jan 2026'!$D38,'2026 Time Off Request'!$L:$L,'Jan 2026'!AI$6)</f>
        <v>0</v>
      </c>
      <c r="AJ38" s="149">
        <f>COUNTIFS('2026 Time Off Request'!$A:$A,'Jan 2026'!$D38,'2026 Time Off Request'!$L:$L,'Jan 2026'!AJ$6)</f>
        <v>0</v>
      </c>
    </row>
    <row r="39" spans="1:36" ht="15.6" customHeight="1">
      <c r="A39" s="8">
        <v>32</v>
      </c>
      <c r="B39" s="124" t="s">
        <v>45</v>
      </c>
      <c r="C39" s="120" t="s">
        <v>83</v>
      </c>
      <c r="D39" s="139" t="s">
        <v>84</v>
      </c>
      <c r="E39" s="156">
        <f t="shared" si="2"/>
        <v>0</v>
      </c>
      <c r="F39" s="145">
        <f>COUNTIFS('2026 Time Off Request'!$A:$A,'Jan 2026'!$D39,'2026 Time Off Request'!$L:$L,'Jan 2026'!F$6)</f>
        <v>0</v>
      </c>
      <c r="G39" s="146">
        <f>COUNTIFS('2026 Time Off Request'!$A:$A,'Jan 2026'!$D39,'2026 Time Off Request'!$L:$L,'Jan 2026'!G$6)</f>
        <v>0</v>
      </c>
      <c r="H39" s="147">
        <f>COUNTIFS('2026 Time Off Request'!$A:$A,'Jan 2026'!$D39,'2026 Time Off Request'!$L:$L,'Jan 2026'!H$6)</f>
        <v>0</v>
      </c>
      <c r="I39" s="147">
        <f>COUNTIFS('2026 Time Off Request'!$A:$A,'Jan 2026'!$D39,'2026 Time Off Request'!$L:$L,'Jan 2026'!I$6)</f>
        <v>0</v>
      </c>
      <c r="J39" s="146">
        <f>COUNTIFS('2026 Time Off Request'!$A:$A,'Jan 2026'!$D39,'2026 Time Off Request'!$L:$L,'Jan 2026'!J$6)</f>
        <v>0</v>
      </c>
      <c r="K39" s="148">
        <f>COUNTIFS('2026 Time Off Request'!$A:$A,'Jan 2026'!$D39,'2026 Time Off Request'!$L:$L,'Jan 2026'!K$6)</f>
        <v>0</v>
      </c>
      <c r="L39" s="148">
        <f>COUNTIFS('2026 Time Off Request'!$A:$A,'Jan 2026'!$D39,'2026 Time Off Request'!$L:$L,'Jan 2026'!L$6)</f>
        <v>0</v>
      </c>
      <c r="M39" s="146">
        <f>COUNTIFS('2026 Time Off Request'!$A:$A,'Jan 2026'!$D39,'2026 Time Off Request'!$L:$L,'Jan 2026'!M$6)</f>
        <v>0</v>
      </c>
      <c r="N39" s="146">
        <f>COUNTIFS('2026 Time Off Request'!$A:$A,'Jan 2026'!$D39,'2026 Time Off Request'!$L:$L,'Jan 2026'!N$6)</f>
        <v>0</v>
      </c>
      <c r="O39" s="147">
        <f>COUNTIFS('2026 Time Off Request'!$A:$A,'Jan 2026'!$D39,'2026 Time Off Request'!$L:$L,'Jan 2026'!O$6)</f>
        <v>0</v>
      </c>
      <c r="P39" s="147">
        <f>COUNTIFS('2026 Time Off Request'!$A:$A,'Jan 2026'!$D39,'2026 Time Off Request'!$L:$L,'Jan 2026'!P$6)</f>
        <v>0</v>
      </c>
      <c r="Q39" s="146">
        <f>COUNTIFS('2026 Time Off Request'!$A:$A,'Jan 2026'!$D39,'2026 Time Off Request'!$L:$L,'Jan 2026'!Q$6)</f>
        <v>0</v>
      </c>
      <c r="R39" s="148">
        <f>COUNTIFS('2026 Time Off Request'!$A:$A,'Jan 2026'!$D39,'2026 Time Off Request'!$L:$L,'Jan 2026'!R$6)</f>
        <v>0</v>
      </c>
      <c r="S39" s="148">
        <f>COUNTIFS('2026 Time Off Request'!$A:$A,'Jan 2026'!$D39,'2026 Time Off Request'!$L:$L,'Jan 2026'!S$6)</f>
        <v>0</v>
      </c>
      <c r="T39" s="146">
        <f>COUNTIFS('2026 Time Off Request'!$A:$A,'Jan 2026'!$D39,'2026 Time Off Request'!$L:$L,'Jan 2026'!T$6)</f>
        <v>0</v>
      </c>
      <c r="U39" s="146">
        <f>COUNTIFS('2026 Time Off Request'!$A:$A,'Jan 2026'!$D39,'2026 Time Off Request'!$L:$L,'Jan 2026'!U$6)</f>
        <v>0</v>
      </c>
      <c r="V39" s="147">
        <f>COUNTIFS('2026 Time Off Request'!$A:$A,'Jan 2026'!$D39,'2026 Time Off Request'!$L:$L,'Jan 2026'!V$6)</f>
        <v>0</v>
      </c>
      <c r="W39" s="147">
        <f>COUNTIFS('2026 Time Off Request'!$A:$A,'Jan 2026'!$D39,'2026 Time Off Request'!$L:$L,'Jan 2026'!W$6)</f>
        <v>0</v>
      </c>
      <c r="X39" s="146">
        <f>COUNTIFS('2026 Time Off Request'!$A:$A,'Jan 2026'!$D39,'2026 Time Off Request'!$L:$L,'Jan 2026'!X$6)</f>
        <v>0</v>
      </c>
      <c r="Y39" s="148">
        <f>COUNTIFS('2026 Time Off Request'!$A:$A,'Jan 2026'!$D39,'2026 Time Off Request'!$L:$L,'Jan 2026'!Y$6)</f>
        <v>0</v>
      </c>
      <c r="Z39" s="148">
        <f>COUNTIFS('2026 Time Off Request'!$A:$A,'Jan 2026'!$D39,'2026 Time Off Request'!$L:$L,'Jan 2026'!Z$6)</f>
        <v>0</v>
      </c>
      <c r="AA39" s="146">
        <f>COUNTIFS('2026 Time Off Request'!$A:$A,'Jan 2026'!$D39,'2026 Time Off Request'!$L:$L,'Jan 2026'!AA$6)</f>
        <v>0</v>
      </c>
      <c r="AB39" s="146">
        <f>COUNTIFS('2026 Time Off Request'!$A:$A,'Jan 2026'!$D39,'2026 Time Off Request'!$L:$L,'Jan 2026'!AB$6)</f>
        <v>0</v>
      </c>
      <c r="AC39" s="147">
        <f>COUNTIFS('2026 Time Off Request'!$A:$A,'Jan 2026'!$D39,'2026 Time Off Request'!$L:$L,'Jan 2026'!AC$6)</f>
        <v>0</v>
      </c>
      <c r="AD39" s="147">
        <f>COUNTIFS('2026 Time Off Request'!$A:$A,'Jan 2026'!$D39,'2026 Time Off Request'!$L:$L,'Jan 2026'!AD$6)</f>
        <v>0</v>
      </c>
      <c r="AE39" s="148">
        <f>COUNTIFS('2026 Time Off Request'!$A:$A,'Jan 2026'!$D39,'2026 Time Off Request'!$L:$L,'Jan 2026'!AE$6)</f>
        <v>0</v>
      </c>
      <c r="AF39" s="148">
        <f>COUNTIFS('2026 Time Off Request'!$A:$A,'Jan 2026'!$D39,'2026 Time Off Request'!$L:$L,'Jan 2026'!AF$6)</f>
        <v>0</v>
      </c>
      <c r="AG39" s="148">
        <f>COUNTIFS('2026 Time Off Request'!$A:$A,'Jan 2026'!$D39,'2026 Time Off Request'!$L:$L,'Jan 2026'!AG$6)</f>
        <v>0</v>
      </c>
      <c r="AH39" s="146">
        <f>COUNTIFS('2026 Time Off Request'!$A:$A,'Jan 2026'!$D39,'2026 Time Off Request'!$L:$L,'Jan 2026'!AH$6)</f>
        <v>0</v>
      </c>
      <c r="AI39" s="146">
        <f>COUNTIFS('2026 Time Off Request'!$A:$A,'Jan 2026'!$D39,'2026 Time Off Request'!$L:$L,'Jan 2026'!AI$6)</f>
        <v>0</v>
      </c>
      <c r="AJ39" s="149">
        <f>COUNTIFS('2026 Time Off Request'!$A:$A,'Jan 2026'!$D39,'2026 Time Off Request'!$L:$L,'Jan 2026'!AJ$6)</f>
        <v>0</v>
      </c>
    </row>
    <row r="40" spans="1:36" ht="15.6" customHeight="1">
      <c r="A40" s="8">
        <v>33</v>
      </c>
      <c r="B40" s="124" t="s">
        <v>45</v>
      </c>
      <c r="C40" s="120" t="s">
        <v>85</v>
      </c>
      <c r="D40" s="139" t="s">
        <v>86</v>
      </c>
      <c r="E40" s="156">
        <f t="shared" si="2"/>
        <v>0</v>
      </c>
      <c r="F40" s="145">
        <f>COUNTIFS('2026 Time Off Request'!$A:$A,'Jan 2026'!$D40,'2026 Time Off Request'!$L:$L,'Jan 2026'!F$6)</f>
        <v>0</v>
      </c>
      <c r="G40" s="146">
        <f>COUNTIFS('2026 Time Off Request'!$A:$A,'Jan 2026'!$D40,'2026 Time Off Request'!$L:$L,'Jan 2026'!G$6)</f>
        <v>0</v>
      </c>
      <c r="H40" s="147">
        <f>COUNTIFS('2026 Time Off Request'!$A:$A,'Jan 2026'!$D40,'2026 Time Off Request'!$L:$L,'Jan 2026'!H$6)</f>
        <v>0</v>
      </c>
      <c r="I40" s="147">
        <f>COUNTIFS('2026 Time Off Request'!$A:$A,'Jan 2026'!$D40,'2026 Time Off Request'!$L:$L,'Jan 2026'!I$6)</f>
        <v>0</v>
      </c>
      <c r="J40" s="146">
        <f>COUNTIFS('2026 Time Off Request'!$A:$A,'Jan 2026'!$D40,'2026 Time Off Request'!$L:$L,'Jan 2026'!J$6)</f>
        <v>0</v>
      </c>
      <c r="K40" s="148">
        <f>COUNTIFS('2026 Time Off Request'!$A:$A,'Jan 2026'!$D40,'2026 Time Off Request'!$L:$L,'Jan 2026'!K$6)</f>
        <v>0</v>
      </c>
      <c r="L40" s="148">
        <f>COUNTIFS('2026 Time Off Request'!$A:$A,'Jan 2026'!$D40,'2026 Time Off Request'!$L:$L,'Jan 2026'!L$6)</f>
        <v>0</v>
      </c>
      <c r="M40" s="146">
        <f>COUNTIFS('2026 Time Off Request'!$A:$A,'Jan 2026'!$D40,'2026 Time Off Request'!$L:$L,'Jan 2026'!M$6)</f>
        <v>0</v>
      </c>
      <c r="N40" s="146">
        <f>COUNTIFS('2026 Time Off Request'!$A:$A,'Jan 2026'!$D40,'2026 Time Off Request'!$L:$L,'Jan 2026'!N$6)</f>
        <v>0</v>
      </c>
      <c r="O40" s="147">
        <f>COUNTIFS('2026 Time Off Request'!$A:$A,'Jan 2026'!$D40,'2026 Time Off Request'!$L:$L,'Jan 2026'!O$6)</f>
        <v>0</v>
      </c>
      <c r="P40" s="147">
        <f>COUNTIFS('2026 Time Off Request'!$A:$A,'Jan 2026'!$D40,'2026 Time Off Request'!$L:$L,'Jan 2026'!P$6)</f>
        <v>0</v>
      </c>
      <c r="Q40" s="146">
        <f>COUNTIFS('2026 Time Off Request'!$A:$A,'Jan 2026'!$D40,'2026 Time Off Request'!$L:$L,'Jan 2026'!Q$6)</f>
        <v>0</v>
      </c>
      <c r="R40" s="148">
        <f>COUNTIFS('2026 Time Off Request'!$A:$A,'Jan 2026'!$D40,'2026 Time Off Request'!$L:$L,'Jan 2026'!R$6)</f>
        <v>0</v>
      </c>
      <c r="S40" s="148">
        <f>COUNTIFS('2026 Time Off Request'!$A:$A,'Jan 2026'!$D40,'2026 Time Off Request'!$L:$L,'Jan 2026'!S$6)</f>
        <v>0</v>
      </c>
      <c r="T40" s="146">
        <f>COUNTIFS('2026 Time Off Request'!$A:$A,'Jan 2026'!$D40,'2026 Time Off Request'!$L:$L,'Jan 2026'!T$6)</f>
        <v>0</v>
      </c>
      <c r="U40" s="146">
        <f>COUNTIFS('2026 Time Off Request'!$A:$A,'Jan 2026'!$D40,'2026 Time Off Request'!$L:$L,'Jan 2026'!U$6)</f>
        <v>0</v>
      </c>
      <c r="V40" s="147">
        <f>COUNTIFS('2026 Time Off Request'!$A:$A,'Jan 2026'!$D40,'2026 Time Off Request'!$L:$L,'Jan 2026'!V$6)</f>
        <v>0</v>
      </c>
      <c r="W40" s="147">
        <f>COUNTIFS('2026 Time Off Request'!$A:$A,'Jan 2026'!$D40,'2026 Time Off Request'!$L:$L,'Jan 2026'!W$6)</f>
        <v>0</v>
      </c>
      <c r="X40" s="146">
        <f>COUNTIFS('2026 Time Off Request'!$A:$A,'Jan 2026'!$D40,'2026 Time Off Request'!$L:$L,'Jan 2026'!X$6)</f>
        <v>0</v>
      </c>
      <c r="Y40" s="148">
        <f>COUNTIFS('2026 Time Off Request'!$A:$A,'Jan 2026'!$D40,'2026 Time Off Request'!$L:$L,'Jan 2026'!Y$6)</f>
        <v>0</v>
      </c>
      <c r="Z40" s="148">
        <f>COUNTIFS('2026 Time Off Request'!$A:$A,'Jan 2026'!$D40,'2026 Time Off Request'!$L:$L,'Jan 2026'!Z$6)</f>
        <v>0</v>
      </c>
      <c r="AA40" s="146">
        <f>COUNTIFS('2026 Time Off Request'!$A:$A,'Jan 2026'!$D40,'2026 Time Off Request'!$L:$L,'Jan 2026'!AA$6)</f>
        <v>0</v>
      </c>
      <c r="AB40" s="146">
        <f>COUNTIFS('2026 Time Off Request'!$A:$A,'Jan 2026'!$D40,'2026 Time Off Request'!$L:$L,'Jan 2026'!AB$6)</f>
        <v>0</v>
      </c>
      <c r="AC40" s="147">
        <f>COUNTIFS('2026 Time Off Request'!$A:$A,'Jan 2026'!$D40,'2026 Time Off Request'!$L:$L,'Jan 2026'!AC$6)</f>
        <v>0</v>
      </c>
      <c r="AD40" s="147">
        <f>COUNTIFS('2026 Time Off Request'!$A:$A,'Jan 2026'!$D40,'2026 Time Off Request'!$L:$L,'Jan 2026'!AD$6)</f>
        <v>0</v>
      </c>
      <c r="AE40" s="148">
        <f>COUNTIFS('2026 Time Off Request'!$A:$A,'Jan 2026'!$D40,'2026 Time Off Request'!$L:$L,'Jan 2026'!AE$6)</f>
        <v>0</v>
      </c>
      <c r="AF40" s="148">
        <f>COUNTIFS('2026 Time Off Request'!$A:$A,'Jan 2026'!$D40,'2026 Time Off Request'!$L:$L,'Jan 2026'!AF$6)</f>
        <v>0</v>
      </c>
      <c r="AG40" s="148">
        <f>COUNTIFS('2026 Time Off Request'!$A:$A,'Jan 2026'!$D40,'2026 Time Off Request'!$L:$L,'Jan 2026'!AG$6)</f>
        <v>0</v>
      </c>
      <c r="AH40" s="146">
        <f>COUNTIFS('2026 Time Off Request'!$A:$A,'Jan 2026'!$D40,'2026 Time Off Request'!$L:$L,'Jan 2026'!AH$6)</f>
        <v>0</v>
      </c>
      <c r="AI40" s="146">
        <f>COUNTIFS('2026 Time Off Request'!$A:$A,'Jan 2026'!$D40,'2026 Time Off Request'!$L:$L,'Jan 2026'!AI$6)</f>
        <v>0</v>
      </c>
      <c r="AJ40" s="149">
        <f>COUNTIFS('2026 Time Off Request'!$A:$A,'Jan 2026'!$D40,'2026 Time Off Request'!$L:$L,'Jan 2026'!AJ$6)</f>
        <v>0</v>
      </c>
    </row>
    <row r="41" spans="1:36" ht="15.6" customHeight="1">
      <c r="A41" s="8">
        <v>34</v>
      </c>
      <c r="B41" s="124" t="s">
        <v>45</v>
      </c>
      <c r="C41" s="120" t="s">
        <v>87</v>
      </c>
      <c r="D41" s="139" t="s">
        <v>88</v>
      </c>
      <c r="E41" s="156">
        <f t="shared" si="2"/>
        <v>1</v>
      </c>
      <c r="F41" s="145">
        <f>COUNTIFS('2026 Time Off Request'!$A:$A,'Jan 2026'!$D41,'2026 Time Off Request'!$L:$L,'Jan 2026'!F$6)</f>
        <v>0</v>
      </c>
      <c r="G41" s="146">
        <f>COUNTIFS('2026 Time Off Request'!$A:$A,'Jan 2026'!$D41,'2026 Time Off Request'!$L:$L,'Jan 2026'!G$6)</f>
        <v>0</v>
      </c>
      <c r="H41" s="147">
        <f>COUNTIFS('2026 Time Off Request'!$A:$A,'Jan 2026'!$D41,'2026 Time Off Request'!$L:$L,'Jan 2026'!H$6)</f>
        <v>0</v>
      </c>
      <c r="I41" s="147">
        <f>COUNTIFS('2026 Time Off Request'!$A:$A,'Jan 2026'!$D41,'2026 Time Off Request'!$L:$L,'Jan 2026'!I$6)</f>
        <v>0</v>
      </c>
      <c r="J41" s="146">
        <f>COUNTIFS('2026 Time Off Request'!$A:$A,'Jan 2026'!$D41,'2026 Time Off Request'!$L:$L,'Jan 2026'!J$6)</f>
        <v>0</v>
      </c>
      <c r="K41" s="148">
        <f>COUNTIFS('2026 Time Off Request'!$A:$A,'Jan 2026'!$D41,'2026 Time Off Request'!$L:$L,'Jan 2026'!K$6)</f>
        <v>0</v>
      </c>
      <c r="L41" s="148">
        <f>COUNTIFS('2026 Time Off Request'!$A:$A,'Jan 2026'!$D41,'2026 Time Off Request'!$L:$L,'Jan 2026'!L$6)</f>
        <v>0</v>
      </c>
      <c r="M41" s="146">
        <f>COUNTIFS('2026 Time Off Request'!$A:$A,'Jan 2026'!$D41,'2026 Time Off Request'!$L:$L,'Jan 2026'!M$6)</f>
        <v>0</v>
      </c>
      <c r="N41" s="146">
        <f>COUNTIFS('2026 Time Off Request'!$A:$A,'Jan 2026'!$D41,'2026 Time Off Request'!$L:$L,'Jan 2026'!N$6)</f>
        <v>0</v>
      </c>
      <c r="O41" s="147">
        <f>COUNTIFS('2026 Time Off Request'!$A:$A,'Jan 2026'!$D41,'2026 Time Off Request'!$L:$L,'Jan 2026'!O$6)</f>
        <v>0</v>
      </c>
      <c r="P41" s="147">
        <f>COUNTIFS('2026 Time Off Request'!$A:$A,'Jan 2026'!$D41,'2026 Time Off Request'!$L:$L,'Jan 2026'!P$6)</f>
        <v>0</v>
      </c>
      <c r="Q41" s="146">
        <f>COUNTIFS('2026 Time Off Request'!$A:$A,'Jan 2026'!$D41,'2026 Time Off Request'!$L:$L,'Jan 2026'!Q$6)</f>
        <v>0</v>
      </c>
      <c r="R41" s="148">
        <f>COUNTIFS('2026 Time Off Request'!$A:$A,'Jan 2026'!$D41,'2026 Time Off Request'!$L:$L,'Jan 2026'!R$6)</f>
        <v>0</v>
      </c>
      <c r="S41" s="148">
        <f>COUNTIFS('2026 Time Off Request'!$A:$A,'Jan 2026'!$D41,'2026 Time Off Request'!$L:$L,'Jan 2026'!S$6)</f>
        <v>0</v>
      </c>
      <c r="T41" s="146">
        <f>COUNTIFS('2026 Time Off Request'!$A:$A,'Jan 2026'!$D41,'2026 Time Off Request'!$L:$L,'Jan 2026'!T$6)</f>
        <v>0</v>
      </c>
      <c r="U41" s="146">
        <f>COUNTIFS('2026 Time Off Request'!$A:$A,'Jan 2026'!$D41,'2026 Time Off Request'!$L:$L,'Jan 2026'!U$6)</f>
        <v>0</v>
      </c>
      <c r="V41" s="147">
        <f>COUNTIFS('2026 Time Off Request'!$A:$A,'Jan 2026'!$D41,'2026 Time Off Request'!$L:$L,'Jan 2026'!V$6)</f>
        <v>0</v>
      </c>
      <c r="W41" s="147">
        <f>COUNTIFS('2026 Time Off Request'!$A:$A,'Jan 2026'!$D41,'2026 Time Off Request'!$L:$L,'Jan 2026'!W$6)</f>
        <v>0</v>
      </c>
      <c r="X41" s="146">
        <f>COUNTIFS('2026 Time Off Request'!$A:$A,'Jan 2026'!$D41,'2026 Time Off Request'!$L:$L,'Jan 2026'!X$6)</f>
        <v>1</v>
      </c>
      <c r="Y41" s="148">
        <f>COUNTIFS('2026 Time Off Request'!$A:$A,'Jan 2026'!$D41,'2026 Time Off Request'!$L:$L,'Jan 2026'!Y$6)</f>
        <v>0</v>
      </c>
      <c r="Z41" s="148">
        <f>COUNTIFS('2026 Time Off Request'!$A:$A,'Jan 2026'!$D41,'2026 Time Off Request'!$L:$L,'Jan 2026'!Z$6)</f>
        <v>0</v>
      </c>
      <c r="AA41" s="146">
        <f>COUNTIFS('2026 Time Off Request'!$A:$A,'Jan 2026'!$D41,'2026 Time Off Request'!$L:$L,'Jan 2026'!AA$6)</f>
        <v>0</v>
      </c>
      <c r="AB41" s="146">
        <f>COUNTIFS('2026 Time Off Request'!$A:$A,'Jan 2026'!$D41,'2026 Time Off Request'!$L:$L,'Jan 2026'!AB$6)</f>
        <v>0</v>
      </c>
      <c r="AC41" s="147">
        <f>COUNTIFS('2026 Time Off Request'!$A:$A,'Jan 2026'!$D41,'2026 Time Off Request'!$L:$L,'Jan 2026'!AC$6)</f>
        <v>0</v>
      </c>
      <c r="AD41" s="147">
        <f>COUNTIFS('2026 Time Off Request'!$A:$A,'Jan 2026'!$D41,'2026 Time Off Request'!$L:$L,'Jan 2026'!AD$6)</f>
        <v>0</v>
      </c>
      <c r="AE41" s="148">
        <f>COUNTIFS('2026 Time Off Request'!$A:$A,'Jan 2026'!$D41,'2026 Time Off Request'!$L:$L,'Jan 2026'!AE$6)</f>
        <v>0</v>
      </c>
      <c r="AF41" s="148">
        <f>COUNTIFS('2026 Time Off Request'!$A:$A,'Jan 2026'!$D41,'2026 Time Off Request'!$L:$L,'Jan 2026'!AF$6)</f>
        <v>0</v>
      </c>
      <c r="AG41" s="148">
        <f>COUNTIFS('2026 Time Off Request'!$A:$A,'Jan 2026'!$D41,'2026 Time Off Request'!$L:$L,'Jan 2026'!AG$6)</f>
        <v>0</v>
      </c>
      <c r="AH41" s="146">
        <f>COUNTIFS('2026 Time Off Request'!$A:$A,'Jan 2026'!$D41,'2026 Time Off Request'!$L:$L,'Jan 2026'!AH$6)</f>
        <v>0</v>
      </c>
      <c r="AI41" s="146">
        <f>COUNTIFS('2026 Time Off Request'!$A:$A,'Jan 2026'!$D41,'2026 Time Off Request'!$L:$L,'Jan 2026'!AI$6)</f>
        <v>0</v>
      </c>
      <c r="AJ41" s="149">
        <f>COUNTIFS('2026 Time Off Request'!$A:$A,'Jan 2026'!$D41,'2026 Time Off Request'!$L:$L,'Jan 2026'!AJ$6)</f>
        <v>0</v>
      </c>
    </row>
    <row r="42" spans="1:36" ht="15.6" customHeight="1">
      <c r="A42" s="8">
        <v>35</v>
      </c>
      <c r="B42" s="124" t="s">
        <v>45</v>
      </c>
      <c r="C42" s="120" t="s">
        <v>89</v>
      </c>
      <c r="D42" s="139" t="s">
        <v>90</v>
      </c>
      <c r="E42" s="156">
        <f t="shared" si="2"/>
        <v>2</v>
      </c>
      <c r="F42" s="145">
        <f>COUNTIFS('2026 Time Off Request'!$A:$A,'Jan 2026'!$D42,'2026 Time Off Request'!$L:$L,'Jan 2026'!F$6)</f>
        <v>0</v>
      </c>
      <c r="G42" s="146">
        <f>COUNTIFS('2026 Time Off Request'!$A:$A,'Jan 2026'!$D42,'2026 Time Off Request'!$L:$L,'Jan 2026'!G$6)</f>
        <v>0</v>
      </c>
      <c r="H42" s="147">
        <f>COUNTIFS('2026 Time Off Request'!$A:$A,'Jan 2026'!$D42,'2026 Time Off Request'!$L:$L,'Jan 2026'!H$6)</f>
        <v>0</v>
      </c>
      <c r="I42" s="147">
        <f>COUNTIFS('2026 Time Off Request'!$A:$A,'Jan 2026'!$D42,'2026 Time Off Request'!$L:$L,'Jan 2026'!I$6)</f>
        <v>0</v>
      </c>
      <c r="J42" s="146">
        <f>COUNTIFS('2026 Time Off Request'!$A:$A,'Jan 2026'!$D42,'2026 Time Off Request'!$L:$L,'Jan 2026'!J$6)</f>
        <v>1</v>
      </c>
      <c r="K42" s="148">
        <f>COUNTIFS('2026 Time Off Request'!$A:$A,'Jan 2026'!$D42,'2026 Time Off Request'!$L:$L,'Jan 2026'!K$6)</f>
        <v>1</v>
      </c>
      <c r="L42" s="148">
        <f>COUNTIFS('2026 Time Off Request'!$A:$A,'Jan 2026'!$D42,'2026 Time Off Request'!$L:$L,'Jan 2026'!L$6)</f>
        <v>0</v>
      </c>
      <c r="M42" s="146">
        <f>COUNTIFS('2026 Time Off Request'!$A:$A,'Jan 2026'!$D42,'2026 Time Off Request'!$L:$L,'Jan 2026'!M$6)</f>
        <v>0</v>
      </c>
      <c r="N42" s="146">
        <f>COUNTIFS('2026 Time Off Request'!$A:$A,'Jan 2026'!$D42,'2026 Time Off Request'!$L:$L,'Jan 2026'!N$6)</f>
        <v>0</v>
      </c>
      <c r="O42" s="147">
        <f>COUNTIFS('2026 Time Off Request'!$A:$A,'Jan 2026'!$D42,'2026 Time Off Request'!$L:$L,'Jan 2026'!O$6)</f>
        <v>0</v>
      </c>
      <c r="P42" s="147">
        <f>COUNTIFS('2026 Time Off Request'!$A:$A,'Jan 2026'!$D42,'2026 Time Off Request'!$L:$L,'Jan 2026'!P$6)</f>
        <v>0</v>
      </c>
      <c r="Q42" s="146">
        <f>COUNTIFS('2026 Time Off Request'!$A:$A,'Jan 2026'!$D42,'2026 Time Off Request'!$L:$L,'Jan 2026'!Q$6)</f>
        <v>0</v>
      </c>
      <c r="R42" s="148">
        <f>COUNTIFS('2026 Time Off Request'!$A:$A,'Jan 2026'!$D42,'2026 Time Off Request'!$L:$L,'Jan 2026'!R$6)</f>
        <v>0</v>
      </c>
      <c r="S42" s="148">
        <f>COUNTIFS('2026 Time Off Request'!$A:$A,'Jan 2026'!$D42,'2026 Time Off Request'!$L:$L,'Jan 2026'!S$6)</f>
        <v>0</v>
      </c>
      <c r="T42" s="146">
        <f>COUNTIFS('2026 Time Off Request'!$A:$A,'Jan 2026'!$D42,'2026 Time Off Request'!$L:$L,'Jan 2026'!T$6)</f>
        <v>0</v>
      </c>
      <c r="U42" s="146">
        <f>COUNTIFS('2026 Time Off Request'!$A:$A,'Jan 2026'!$D42,'2026 Time Off Request'!$L:$L,'Jan 2026'!U$6)</f>
        <v>0</v>
      </c>
      <c r="V42" s="147">
        <f>COUNTIFS('2026 Time Off Request'!$A:$A,'Jan 2026'!$D42,'2026 Time Off Request'!$L:$L,'Jan 2026'!V$6)</f>
        <v>0</v>
      </c>
      <c r="W42" s="147">
        <f>COUNTIFS('2026 Time Off Request'!$A:$A,'Jan 2026'!$D42,'2026 Time Off Request'!$L:$L,'Jan 2026'!W$6)</f>
        <v>0</v>
      </c>
      <c r="X42" s="146">
        <f>COUNTIFS('2026 Time Off Request'!$A:$A,'Jan 2026'!$D42,'2026 Time Off Request'!$L:$L,'Jan 2026'!X$6)</f>
        <v>0</v>
      </c>
      <c r="Y42" s="148">
        <f>COUNTIFS('2026 Time Off Request'!$A:$A,'Jan 2026'!$D42,'2026 Time Off Request'!$L:$L,'Jan 2026'!Y$6)</f>
        <v>0</v>
      </c>
      <c r="Z42" s="148">
        <f>COUNTIFS('2026 Time Off Request'!$A:$A,'Jan 2026'!$D42,'2026 Time Off Request'!$L:$L,'Jan 2026'!Z$6)</f>
        <v>0</v>
      </c>
      <c r="AA42" s="146">
        <f>COUNTIFS('2026 Time Off Request'!$A:$A,'Jan 2026'!$D42,'2026 Time Off Request'!$L:$L,'Jan 2026'!AA$6)</f>
        <v>0</v>
      </c>
      <c r="AB42" s="146">
        <f>COUNTIFS('2026 Time Off Request'!$A:$A,'Jan 2026'!$D42,'2026 Time Off Request'!$L:$L,'Jan 2026'!AB$6)</f>
        <v>0</v>
      </c>
      <c r="AC42" s="147">
        <f>COUNTIFS('2026 Time Off Request'!$A:$A,'Jan 2026'!$D42,'2026 Time Off Request'!$L:$L,'Jan 2026'!AC$6)</f>
        <v>0</v>
      </c>
      <c r="AD42" s="147">
        <f>COUNTIFS('2026 Time Off Request'!$A:$A,'Jan 2026'!$D42,'2026 Time Off Request'!$L:$L,'Jan 2026'!AD$6)</f>
        <v>0</v>
      </c>
      <c r="AE42" s="148">
        <f>COUNTIFS('2026 Time Off Request'!$A:$A,'Jan 2026'!$D42,'2026 Time Off Request'!$L:$L,'Jan 2026'!AE$6)</f>
        <v>0</v>
      </c>
      <c r="AF42" s="148">
        <f>COUNTIFS('2026 Time Off Request'!$A:$A,'Jan 2026'!$D42,'2026 Time Off Request'!$L:$L,'Jan 2026'!AF$6)</f>
        <v>0</v>
      </c>
      <c r="AG42" s="148">
        <f>COUNTIFS('2026 Time Off Request'!$A:$A,'Jan 2026'!$D42,'2026 Time Off Request'!$L:$L,'Jan 2026'!AG$6)</f>
        <v>0</v>
      </c>
      <c r="AH42" s="146">
        <f>COUNTIFS('2026 Time Off Request'!$A:$A,'Jan 2026'!$D42,'2026 Time Off Request'!$L:$L,'Jan 2026'!AH$6)</f>
        <v>0</v>
      </c>
      <c r="AI42" s="146">
        <f>COUNTIFS('2026 Time Off Request'!$A:$A,'Jan 2026'!$D42,'2026 Time Off Request'!$L:$L,'Jan 2026'!AI$6)</f>
        <v>0</v>
      </c>
      <c r="AJ42" s="149">
        <f>COUNTIFS('2026 Time Off Request'!$A:$A,'Jan 2026'!$D42,'2026 Time Off Request'!$L:$L,'Jan 2026'!AJ$6)</f>
        <v>0</v>
      </c>
    </row>
    <row r="43" spans="1:36" ht="15.6" customHeight="1">
      <c r="A43" s="8">
        <v>36</v>
      </c>
      <c r="B43" s="126" t="s">
        <v>45</v>
      </c>
      <c r="C43" s="127" t="s">
        <v>89</v>
      </c>
      <c r="D43" s="158" t="s">
        <v>91</v>
      </c>
      <c r="E43" s="157">
        <f t="shared" si="2"/>
        <v>0</v>
      </c>
      <c r="F43" s="150">
        <f>COUNTIFS('2026 Time Off Request'!$A:$A,'Jan 2026'!$D43,'2026 Time Off Request'!$L:$L,'Jan 2026'!F$6)</f>
        <v>0</v>
      </c>
      <c r="G43" s="151">
        <f>COUNTIFS('2026 Time Off Request'!$A:$A,'Jan 2026'!$D43,'2026 Time Off Request'!$L:$L,'Jan 2026'!G$6)</f>
        <v>0</v>
      </c>
      <c r="H43" s="152">
        <f>COUNTIFS('2026 Time Off Request'!$A:$A,'Jan 2026'!$D43,'2026 Time Off Request'!$L:$L,'Jan 2026'!H$6)</f>
        <v>0</v>
      </c>
      <c r="I43" s="152">
        <f>COUNTIFS('2026 Time Off Request'!$A:$A,'Jan 2026'!$D43,'2026 Time Off Request'!$L:$L,'Jan 2026'!I$6)</f>
        <v>0</v>
      </c>
      <c r="J43" s="151">
        <f>COUNTIFS('2026 Time Off Request'!$A:$A,'Jan 2026'!$D43,'2026 Time Off Request'!$L:$L,'Jan 2026'!J$6)</f>
        <v>0</v>
      </c>
      <c r="K43" s="153">
        <f>COUNTIFS('2026 Time Off Request'!$A:$A,'Jan 2026'!$D43,'2026 Time Off Request'!$L:$L,'Jan 2026'!K$6)</f>
        <v>0</v>
      </c>
      <c r="L43" s="153">
        <f>COUNTIFS('2026 Time Off Request'!$A:$A,'Jan 2026'!$D43,'2026 Time Off Request'!$L:$L,'Jan 2026'!L$6)</f>
        <v>0</v>
      </c>
      <c r="M43" s="151">
        <f>COUNTIFS('2026 Time Off Request'!$A:$A,'Jan 2026'!$D43,'2026 Time Off Request'!$L:$L,'Jan 2026'!M$6)</f>
        <v>0</v>
      </c>
      <c r="N43" s="151">
        <f>COUNTIFS('2026 Time Off Request'!$A:$A,'Jan 2026'!$D43,'2026 Time Off Request'!$L:$L,'Jan 2026'!N$6)</f>
        <v>0</v>
      </c>
      <c r="O43" s="152">
        <f>COUNTIFS('2026 Time Off Request'!$A:$A,'Jan 2026'!$D43,'2026 Time Off Request'!$L:$L,'Jan 2026'!O$6)</f>
        <v>0</v>
      </c>
      <c r="P43" s="152">
        <f>COUNTIFS('2026 Time Off Request'!$A:$A,'Jan 2026'!$D43,'2026 Time Off Request'!$L:$L,'Jan 2026'!P$6)</f>
        <v>0</v>
      </c>
      <c r="Q43" s="151">
        <f>COUNTIFS('2026 Time Off Request'!$A:$A,'Jan 2026'!$D43,'2026 Time Off Request'!$L:$L,'Jan 2026'!Q$6)</f>
        <v>0</v>
      </c>
      <c r="R43" s="153">
        <f>COUNTIFS('2026 Time Off Request'!$A:$A,'Jan 2026'!$D43,'2026 Time Off Request'!$L:$L,'Jan 2026'!R$6)</f>
        <v>0</v>
      </c>
      <c r="S43" s="153">
        <f>COUNTIFS('2026 Time Off Request'!$A:$A,'Jan 2026'!$D43,'2026 Time Off Request'!$L:$L,'Jan 2026'!S$6)</f>
        <v>0</v>
      </c>
      <c r="T43" s="151">
        <f>COUNTIFS('2026 Time Off Request'!$A:$A,'Jan 2026'!$D43,'2026 Time Off Request'!$L:$L,'Jan 2026'!T$6)</f>
        <v>0</v>
      </c>
      <c r="U43" s="151">
        <f>COUNTIFS('2026 Time Off Request'!$A:$A,'Jan 2026'!$D43,'2026 Time Off Request'!$L:$L,'Jan 2026'!U$6)</f>
        <v>0</v>
      </c>
      <c r="V43" s="152">
        <f>COUNTIFS('2026 Time Off Request'!$A:$A,'Jan 2026'!$D43,'2026 Time Off Request'!$L:$L,'Jan 2026'!V$6)</f>
        <v>0</v>
      </c>
      <c r="W43" s="152">
        <f>COUNTIFS('2026 Time Off Request'!$A:$A,'Jan 2026'!$D43,'2026 Time Off Request'!$L:$L,'Jan 2026'!W$6)</f>
        <v>0</v>
      </c>
      <c r="X43" s="151">
        <f>COUNTIFS('2026 Time Off Request'!$A:$A,'Jan 2026'!$D43,'2026 Time Off Request'!$L:$L,'Jan 2026'!X$6)</f>
        <v>0</v>
      </c>
      <c r="Y43" s="153">
        <f>COUNTIFS('2026 Time Off Request'!$A:$A,'Jan 2026'!$D43,'2026 Time Off Request'!$L:$L,'Jan 2026'!Y$6)</f>
        <v>0</v>
      </c>
      <c r="Z43" s="153">
        <f>COUNTIFS('2026 Time Off Request'!$A:$A,'Jan 2026'!$D43,'2026 Time Off Request'!$L:$L,'Jan 2026'!Z$6)</f>
        <v>0</v>
      </c>
      <c r="AA43" s="151">
        <f>COUNTIFS('2026 Time Off Request'!$A:$A,'Jan 2026'!$D43,'2026 Time Off Request'!$L:$L,'Jan 2026'!AA$6)</f>
        <v>0</v>
      </c>
      <c r="AB43" s="151">
        <f>COUNTIFS('2026 Time Off Request'!$A:$A,'Jan 2026'!$D43,'2026 Time Off Request'!$L:$L,'Jan 2026'!AB$6)</f>
        <v>0</v>
      </c>
      <c r="AC43" s="152">
        <f>COUNTIFS('2026 Time Off Request'!$A:$A,'Jan 2026'!$D43,'2026 Time Off Request'!$L:$L,'Jan 2026'!AC$6)</f>
        <v>0</v>
      </c>
      <c r="AD43" s="152">
        <f>COUNTIFS('2026 Time Off Request'!$A:$A,'Jan 2026'!$D43,'2026 Time Off Request'!$L:$L,'Jan 2026'!AD$6)</f>
        <v>0</v>
      </c>
      <c r="AE43" s="153">
        <f>COUNTIFS('2026 Time Off Request'!$A:$A,'Jan 2026'!$D43,'2026 Time Off Request'!$L:$L,'Jan 2026'!AE$6)</f>
        <v>0</v>
      </c>
      <c r="AF43" s="153">
        <f>COUNTIFS('2026 Time Off Request'!$A:$A,'Jan 2026'!$D43,'2026 Time Off Request'!$L:$L,'Jan 2026'!AF$6)</f>
        <v>0</v>
      </c>
      <c r="AG43" s="153">
        <f>COUNTIFS('2026 Time Off Request'!$A:$A,'Jan 2026'!$D43,'2026 Time Off Request'!$L:$L,'Jan 2026'!AG$6)</f>
        <v>0</v>
      </c>
      <c r="AH43" s="151">
        <f>COUNTIFS('2026 Time Off Request'!$A:$A,'Jan 2026'!$D43,'2026 Time Off Request'!$L:$L,'Jan 2026'!AH$6)</f>
        <v>0</v>
      </c>
      <c r="AI43" s="151">
        <f>COUNTIFS('2026 Time Off Request'!$A:$A,'Jan 2026'!$D43,'2026 Time Off Request'!$L:$L,'Jan 2026'!AI$6)</f>
        <v>0</v>
      </c>
      <c r="AJ43" s="154">
        <f>COUNTIFS('2026 Time Off Request'!$A:$A,'Jan 2026'!$D43,'2026 Time Off Request'!$L:$L,'Jan 2026'!AJ$6)</f>
        <v>0</v>
      </c>
    </row>
    <row r="44" spans="1:36" ht="15.75">
      <c r="A44" s="8"/>
      <c r="B44" s="32"/>
      <c r="C44" s="26"/>
      <c r="D44" s="8"/>
      <c r="E44" s="11"/>
      <c r="K44"/>
      <c r="L44"/>
    </row>
    <row r="45" spans="1:36" ht="15.6">
      <c r="A45" s="8"/>
      <c r="B45" s="32"/>
      <c r="C45" s="26"/>
      <c r="D45" s="8"/>
      <c r="E45" s="11"/>
      <c r="K45"/>
      <c r="L45"/>
    </row>
    <row r="46" spans="1:36" ht="15.6">
      <c r="A46" s="8"/>
      <c r="B46" s="32"/>
      <c r="C46" s="26"/>
      <c r="D46" s="8"/>
      <c r="E46" s="11"/>
      <c r="K46"/>
      <c r="L46"/>
    </row>
    <row r="47" spans="1:36" ht="15.6">
      <c r="A47" s="8"/>
      <c r="B47" s="32"/>
      <c r="C47" s="27"/>
      <c r="D47" s="8"/>
      <c r="E47" s="11"/>
      <c r="K47"/>
      <c r="L47"/>
    </row>
    <row r="48" spans="1:36" ht="15.6">
      <c r="A48" s="8"/>
      <c r="B48" s="32"/>
      <c r="C48" s="26"/>
      <c r="D48" s="8"/>
      <c r="E48" s="8"/>
      <c r="K48"/>
      <c r="L48"/>
    </row>
    <row r="49" spans="1:12" ht="15.6">
      <c r="A49" s="8"/>
      <c r="B49" s="32"/>
      <c r="C49" s="26"/>
      <c r="D49" s="8"/>
      <c r="E49" s="8"/>
      <c r="K49"/>
      <c r="L49"/>
    </row>
    <row r="50" spans="1:12" ht="15.6">
      <c r="A50" s="8"/>
      <c r="B50" s="32"/>
      <c r="C50" s="26"/>
      <c r="D50" s="8"/>
      <c r="E50" s="8"/>
      <c r="K50"/>
      <c r="L50"/>
    </row>
    <row r="51" spans="1:12" ht="15.6">
      <c r="A51" s="8"/>
      <c r="B51" s="32"/>
      <c r="C51" s="26"/>
      <c r="D51" s="8"/>
      <c r="E51" s="8"/>
      <c r="K51"/>
      <c r="L51"/>
    </row>
    <row r="52" spans="1:12" ht="15.6">
      <c r="A52" s="8"/>
      <c r="B52" s="32"/>
      <c r="C52" s="26"/>
      <c r="D52" s="8"/>
      <c r="E52" s="8"/>
      <c r="K52"/>
      <c r="L52"/>
    </row>
    <row r="53" spans="1:12" ht="15.6">
      <c r="A53" s="8"/>
      <c r="B53" s="32"/>
      <c r="C53" s="26"/>
      <c r="D53" s="8"/>
      <c r="E53" s="8"/>
      <c r="K53"/>
      <c r="L53"/>
    </row>
    <row r="54" spans="1:12" ht="15.6">
      <c r="A54" s="8"/>
      <c r="B54" s="32"/>
      <c r="C54" s="26"/>
      <c r="D54" s="8"/>
      <c r="E54" s="8"/>
      <c r="K54"/>
      <c r="L54"/>
    </row>
    <row r="55" spans="1:12" ht="15.6">
      <c r="A55" s="8"/>
      <c r="B55" s="32"/>
      <c r="C55" s="26"/>
      <c r="D55" s="8"/>
      <c r="E55" s="8"/>
      <c r="K55"/>
      <c r="L55"/>
    </row>
    <row r="56" spans="1:12" ht="15.6">
      <c r="A56" s="8"/>
      <c r="B56" s="32"/>
      <c r="C56" s="26"/>
      <c r="D56" s="8"/>
      <c r="E56" s="8"/>
      <c r="K56"/>
      <c r="L56"/>
    </row>
    <row r="57" spans="1:12" ht="15.6">
      <c r="A57" s="8"/>
      <c r="B57" s="32"/>
      <c r="C57" s="26"/>
      <c r="D57" s="8"/>
      <c r="E57" s="8"/>
      <c r="K57"/>
      <c r="L57"/>
    </row>
    <row r="58" spans="1:12" ht="15"/>
  </sheetData>
  <mergeCells count="1">
    <mergeCell ref="B6:D6"/>
  </mergeCells>
  <conditionalFormatting sqref="F8:AJ43">
    <cfRule type="cellIs" dxfId="11" priority="1" operator="notEqual">
      <formula>0</formula>
    </cfRule>
  </conditionalFormatting>
  <dataValidations count="1">
    <dataValidation allowBlank="1" showInputMessage="1" showErrorMessage="1" sqref="A3:A57" xr:uid="{2CD03156-E2E6-4822-95AA-B6D0D4CC5EA4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D855-F647-4D12-86DA-48041CCB38E5}">
  <sheetPr>
    <tabColor rgb="FFC00000"/>
  </sheetPr>
  <dimension ref="A2:AL61"/>
  <sheetViews>
    <sheetView showGridLines="0" workbookViewId="0">
      <pane xSplit="4" ySplit="7" topLeftCell="E15" activePane="bottomRight" state="frozen"/>
      <selection pane="bottomRight" activeCell="C15" sqref="C15"/>
      <selection pane="bottomLeft"/>
      <selection pane="topRight"/>
    </sheetView>
  </sheetViews>
  <sheetFormatPr defaultColWidth="8.85546875" defaultRowHeight="14.45"/>
  <cols>
    <col min="1" max="1" width="3.28515625" bestFit="1" customWidth="1"/>
    <col min="3" max="3" width="22.7109375" bestFit="1" customWidth="1"/>
    <col min="4" max="4" width="27.140625" customWidth="1"/>
    <col min="5" max="5" width="15" customWidth="1"/>
    <col min="6" max="6" width="17.140625" style="106" customWidth="1"/>
    <col min="7" max="11" width="17.42578125" bestFit="1" customWidth="1"/>
    <col min="12" max="13" width="17.42578125" style="48" bestFit="1" customWidth="1"/>
    <col min="14" max="14" width="17.42578125" bestFit="1" customWidth="1"/>
    <col min="15" max="18" width="18.42578125" bestFit="1" customWidth="1"/>
    <col min="19" max="20" width="18.42578125" style="48" bestFit="1" customWidth="1"/>
    <col min="21" max="21" width="18.42578125" style="111" bestFit="1" customWidth="1"/>
    <col min="22" max="25" width="18.42578125" bestFit="1" customWidth="1"/>
    <col min="26" max="27" width="18.42578125" style="48" bestFit="1" customWidth="1"/>
    <col min="28" max="32" width="18.42578125" bestFit="1" customWidth="1"/>
    <col min="33" max="33" width="18.42578125" style="48" bestFit="1" customWidth="1"/>
  </cols>
  <sheetData>
    <row r="2" spans="1:38" s="80" customFormat="1" ht="18.75" customHeight="1">
      <c r="D2" s="96" t="s">
        <v>95</v>
      </c>
      <c r="F2" s="107">
        <f>COUNTA($D$8:$D$52)</f>
        <v>38</v>
      </c>
      <c r="G2" s="80">
        <f t="shared" ref="G2:AG2" si="0">COUNTA($D$8:$D$52)</f>
        <v>38</v>
      </c>
      <c r="H2" s="80">
        <f t="shared" si="0"/>
        <v>38</v>
      </c>
      <c r="I2" s="80">
        <f t="shared" si="0"/>
        <v>38</v>
      </c>
      <c r="J2" s="80">
        <f t="shared" si="0"/>
        <v>38</v>
      </c>
      <c r="K2" s="80">
        <f t="shared" si="0"/>
        <v>38</v>
      </c>
      <c r="L2" s="46">
        <f t="shared" si="0"/>
        <v>38</v>
      </c>
      <c r="M2" s="46">
        <f t="shared" si="0"/>
        <v>38</v>
      </c>
      <c r="N2" s="80">
        <f t="shared" si="0"/>
        <v>38</v>
      </c>
      <c r="O2" s="80">
        <f t="shared" si="0"/>
        <v>38</v>
      </c>
      <c r="P2" s="80">
        <f t="shared" si="0"/>
        <v>38</v>
      </c>
      <c r="Q2" s="80">
        <f t="shared" si="0"/>
        <v>38</v>
      </c>
      <c r="R2" s="80">
        <f t="shared" si="0"/>
        <v>38</v>
      </c>
      <c r="S2" s="46">
        <f t="shared" si="0"/>
        <v>38</v>
      </c>
      <c r="T2" s="46">
        <f t="shared" si="0"/>
        <v>38</v>
      </c>
      <c r="U2" s="112">
        <f t="shared" si="0"/>
        <v>38</v>
      </c>
      <c r="V2" s="80">
        <f t="shared" si="0"/>
        <v>38</v>
      </c>
      <c r="W2" s="80">
        <f t="shared" si="0"/>
        <v>38</v>
      </c>
      <c r="X2" s="80">
        <f t="shared" si="0"/>
        <v>38</v>
      </c>
      <c r="Y2" s="80">
        <f t="shared" si="0"/>
        <v>38</v>
      </c>
      <c r="Z2" s="46">
        <f t="shared" si="0"/>
        <v>38</v>
      </c>
      <c r="AA2" s="46">
        <f t="shared" si="0"/>
        <v>38</v>
      </c>
      <c r="AB2" s="80">
        <f t="shared" si="0"/>
        <v>38</v>
      </c>
      <c r="AC2" s="80">
        <f t="shared" si="0"/>
        <v>38</v>
      </c>
      <c r="AD2" s="80">
        <f t="shared" si="0"/>
        <v>38</v>
      </c>
      <c r="AE2" s="80">
        <f t="shared" si="0"/>
        <v>38</v>
      </c>
      <c r="AF2" s="80">
        <f t="shared" si="0"/>
        <v>38</v>
      </c>
      <c r="AG2" s="46">
        <f t="shared" si="0"/>
        <v>38</v>
      </c>
    </row>
    <row r="3" spans="1:38" s="80" customFormat="1" ht="12">
      <c r="A3" s="96"/>
      <c r="C3" s="96"/>
      <c r="D3" s="96" t="s">
        <v>96</v>
      </c>
      <c r="E3" s="96"/>
      <c r="F3" s="107">
        <f>SUM(F8:F49)</f>
        <v>0</v>
      </c>
      <c r="G3" s="80">
        <f t="shared" ref="G3:AG3" si="1">SUM(G8:G49)</f>
        <v>0</v>
      </c>
      <c r="H3" s="80">
        <f t="shared" si="1"/>
        <v>0</v>
      </c>
      <c r="I3" s="80">
        <f t="shared" si="1"/>
        <v>0</v>
      </c>
      <c r="J3" s="80">
        <f t="shared" si="1"/>
        <v>0</v>
      </c>
      <c r="K3" s="80">
        <f t="shared" si="1"/>
        <v>0</v>
      </c>
      <c r="L3" s="46">
        <f t="shared" si="1"/>
        <v>0</v>
      </c>
      <c r="M3" s="46">
        <f>SUM(M8:M49)</f>
        <v>0</v>
      </c>
      <c r="N3" s="80">
        <f t="shared" si="1"/>
        <v>3</v>
      </c>
      <c r="O3" s="80">
        <f t="shared" si="1"/>
        <v>2</v>
      </c>
      <c r="P3" s="80">
        <f t="shared" si="1"/>
        <v>3</v>
      </c>
      <c r="Q3" s="80">
        <f t="shared" si="1"/>
        <v>2</v>
      </c>
      <c r="R3" s="80">
        <f>SUM(R8:R49)</f>
        <v>2</v>
      </c>
      <c r="S3" s="46">
        <f t="shared" si="1"/>
        <v>0</v>
      </c>
      <c r="T3" s="46">
        <f t="shared" si="1"/>
        <v>0</v>
      </c>
      <c r="U3" s="112">
        <f t="shared" si="1"/>
        <v>0</v>
      </c>
      <c r="V3" s="80">
        <f t="shared" si="1"/>
        <v>1</v>
      </c>
      <c r="W3" s="80">
        <f>SUM(W8:W49)</f>
        <v>3</v>
      </c>
      <c r="X3" s="80">
        <f t="shared" si="1"/>
        <v>0</v>
      </c>
      <c r="Y3" s="80">
        <f t="shared" si="1"/>
        <v>0</v>
      </c>
      <c r="Z3" s="46">
        <f t="shared" si="1"/>
        <v>0</v>
      </c>
      <c r="AA3" s="46">
        <f t="shared" si="1"/>
        <v>0</v>
      </c>
      <c r="AB3" s="80">
        <f t="shared" si="1"/>
        <v>1</v>
      </c>
      <c r="AC3" s="80">
        <f t="shared" si="1"/>
        <v>0</v>
      </c>
      <c r="AD3" s="80">
        <f>SUM(AD8:AD49)</f>
        <v>0</v>
      </c>
      <c r="AE3" s="80">
        <f t="shared" si="1"/>
        <v>0</v>
      </c>
      <c r="AF3" s="80">
        <f>SUM(AF8:AF49)</f>
        <v>0</v>
      </c>
      <c r="AG3" s="46">
        <f t="shared" si="1"/>
        <v>0</v>
      </c>
    </row>
    <row r="4" spans="1:38" s="80" customFormat="1" ht="12">
      <c r="A4" s="96"/>
      <c r="B4" s="97"/>
      <c r="C4" s="96"/>
      <c r="D4" s="96" t="s">
        <v>97</v>
      </c>
      <c r="E4" s="96"/>
      <c r="F4" s="108">
        <f>(COUNTA($D$8:$D$49)-F$3)/(COUNTA($D$8:$D$49))</f>
        <v>1</v>
      </c>
      <c r="G4" s="81">
        <f>(COUNTA($D$8:$D$49)-G$3)/(COUNTA($D$8:$D$49))</f>
        <v>1</v>
      </c>
      <c r="H4" s="81">
        <f>(COUNTA($D$8:$D$49)-H$3)/(COUNTA($D$8:$D$49))</f>
        <v>1</v>
      </c>
      <c r="I4" s="81">
        <f>(COUNTA($D$8:$D$49)-I$3)/(COUNTA($D$8:$D$49))</f>
        <v>1</v>
      </c>
      <c r="J4" s="81">
        <f>(COUNTA($D$8:$D$49)-J$3)/(COUNTA($D$8:$D$49))</f>
        <v>1</v>
      </c>
      <c r="K4" s="81">
        <f>(COUNTA($D$8:$D$49)-K$3)/(COUNTA($D$8:$D$49))</f>
        <v>1</v>
      </c>
      <c r="L4" s="47">
        <f>(COUNTA($D$8:$D$49)-L$3)/(COUNTA($D$8:$D$49))</f>
        <v>1</v>
      </c>
      <c r="M4" s="47">
        <f>(COUNTA($D$8:$D$49)-M$3)/(COUNTA($D$8:$D$49))</f>
        <v>1</v>
      </c>
      <c r="N4" s="81">
        <f>(COUNTA($D$8:$D$49)-N$3)/(COUNTA($D$8:$D$49))</f>
        <v>0.92105263157894735</v>
      </c>
      <c r="O4" s="81">
        <f>(COUNTA($D$8:$D$49)-O$3)/(COUNTA($D$8:$D$49))</f>
        <v>0.94736842105263153</v>
      </c>
      <c r="P4" s="81">
        <f>(COUNTA($D$8:$D$49)-P$3)/(COUNTA($D$8:$D$49))</f>
        <v>0.92105263157894735</v>
      </c>
      <c r="Q4" s="81">
        <f>(COUNTA($D$8:$D$49)-Q$3)/(COUNTA($D$8:$D$49))</f>
        <v>0.94736842105263153</v>
      </c>
      <c r="R4" s="81">
        <f>(COUNTA($D$8:$D$49)-R$3)/(COUNTA($D$8:$D$49))</f>
        <v>0.94736842105263153</v>
      </c>
      <c r="S4" s="47">
        <f>(COUNTA($D$8:$D$49)-S$3)/(COUNTA($D$8:$D$49))</f>
        <v>1</v>
      </c>
      <c r="T4" s="47">
        <f>(COUNTA($D$8:$D$49)-T$3)/(COUNTA($D$8:$D$49))</f>
        <v>1</v>
      </c>
      <c r="U4" s="113">
        <f>(COUNTA($D$8:$D$49)-U$3)/(COUNTA($D$8:$D$49))</f>
        <v>1</v>
      </c>
      <c r="V4" s="81">
        <f>(COUNTA($D$8:$D$49)-V$3)/(COUNTA($D$8:$D$49))</f>
        <v>0.97368421052631582</v>
      </c>
      <c r="W4" s="81">
        <f>(COUNTA($D$8:$D$49)-W$3)/(COUNTA($D$8:$D$49))</f>
        <v>0.92105263157894735</v>
      </c>
      <c r="X4" s="81">
        <f>(COUNTA($D$8:$D$49)-X$3)/(COUNTA($D$8:$D$49))</f>
        <v>1</v>
      </c>
      <c r="Y4" s="81">
        <f>(COUNTA($D$8:$D$49)-Y$3)/(COUNTA($D$8:$D$49))</f>
        <v>1</v>
      </c>
      <c r="Z4" s="47">
        <f>(COUNTA($D$8:$D$49)-Z$3)/(COUNTA($D$8:$D$49))</f>
        <v>1</v>
      </c>
      <c r="AA4" s="47">
        <f>(COUNTA($D$8:$D$49)-AA$3)/(COUNTA($D$8:$D$49))</f>
        <v>1</v>
      </c>
      <c r="AB4" s="81">
        <f>(COUNTA($D$8:$D$49)-AB$3)/(COUNTA($D$8:$D$49))</f>
        <v>0.97368421052631582</v>
      </c>
      <c r="AC4" s="81">
        <f>(COUNTA($D$8:$D$49)-AC$3)/(COUNTA($D$8:$D$49))</f>
        <v>1</v>
      </c>
      <c r="AD4" s="81">
        <f>(COUNTA($D$8:$D$49)-AD$3)/(COUNTA($D$8:$D$49))</f>
        <v>1</v>
      </c>
      <c r="AE4" s="81">
        <f>(COUNTA($D$8:$D$49)-AE$3)/(COUNTA($D$8:$D$49))</f>
        <v>1</v>
      </c>
      <c r="AF4" s="81">
        <f>(COUNTA($D$8:$D$49)-AF$3)/(COUNTA($D$8:$D$49))</f>
        <v>1</v>
      </c>
      <c r="AG4" s="47">
        <f>(COUNTA($D$8:$D$49)-AG$3)/(COUNTA($D$8:$D$49))</f>
        <v>1</v>
      </c>
    </row>
    <row r="5" spans="1:38" s="80" customFormat="1" ht="8.25" customHeight="1">
      <c r="A5" s="96"/>
      <c r="B5" s="97"/>
      <c r="C5" s="96"/>
      <c r="D5" s="96"/>
      <c r="E5" s="96"/>
      <c r="F5" s="108"/>
      <c r="G5" s="81"/>
      <c r="H5" s="81"/>
      <c r="I5" s="81"/>
      <c r="J5" s="81"/>
      <c r="K5" s="81"/>
      <c r="L5" s="47"/>
      <c r="M5" s="47"/>
      <c r="N5" s="81"/>
      <c r="O5" s="81"/>
      <c r="P5" s="81"/>
      <c r="Q5" s="81"/>
      <c r="R5" s="81"/>
      <c r="S5" s="47"/>
      <c r="T5" s="47"/>
      <c r="U5" s="113"/>
      <c r="V5" s="81"/>
      <c r="W5" s="81"/>
      <c r="X5" s="81"/>
      <c r="Y5" s="81"/>
      <c r="Z5" s="47"/>
      <c r="AA5" s="47"/>
      <c r="AB5" s="81"/>
      <c r="AC5" s="81"/>
      <c r="AD5" s="81"/>
      <c r="AE5" s="81"/>
      <c r="AF5" s="81"/>
      <c r="AG5" s="47"/>
    </row>
    <row r="6" spans="1:38" s="100" customFormat="1" ht="34.5" customHeight="1">
      <c r="A6" s="98"/>
      <c r="B6" s="246" t="s">
        <v>0</v>
      </c>
      <c r="C6" s="247"/>
      <c r="D6" s="248"/>
      <c r="E6" s="16" t="s">
        <v>98</v>
      </c>
      <c r="F6" s="109">
        <v>46054</v>
      </c>
      <c r="G6" s="95">
        <v>46055</v>
      </c>
      <c r="H6" s="95">
        <v>46056</v>
      </c>
      <c r="I6" s="95">
        <v>46057</v>
      </c>
      <c r="J6" s="95">
        <v>46058</v>
      </c>
      <c r="K6" s="95">
        <v>46059</v>
      </c>
      <c r="L6" s="109">
        <v>46060</v>
      </c>
      <c r="M6" s="109">
        <v>46061</v>
      </c>
      <c r="N6" s="95">
        <v>46062</v>
      </c>
      <c r="O6" s="95">
        <v>46063</v>
      </c>
      <c r="P6" s="95">
        <v>46064</v>
      </c>
      <c r="Q6" s="95">
        <v>46065</v>
      </c>
      <c r="R6" s="95">
        <v>46066</v>
      </c>
      <c r="S6" s="109">
        <v>46067</v>
      </c>
      <c r="T6" s="109">
        <v>46068</v>
      </c>
      <c r="U6" s="114">
        <v>46069</v>
      </c>
      <c r="V6" s="95">
        <v>46070</v>
      </c>
      <c r="W6" s="95">
        <v>46071</v>
      </c>
      <c r="X6" s="95">
        <v>46072</v>
      </c>
      <c r="Y6" s="95">
        <v>46073</v>
      </c>
      <c r="Z6" s="109">
        <v>46074</v>
      </c>
      <c r="AA6" s="109">
        <v>46075</v>
      </c>
      <c r="AB6" s="95">
        <v>46076</v>
      </c>
      <c r="AC6" s="95">
        <v>46077</v>
      </c>
      <c r="AD6" s="95">
        <v>46078</v>
      </c>
      <c r="AE6" s="95">
        <v>46079</v>
      </c>
      <c r="AF6" s="95">
        <v>46080</v>
      </c>
      <c r="AG6" s="110">
        <v>46081</v>
      </c>
      <c r="AH6" s="99"/>
      <c r="AI6" s="99"/>
      <c r="AJ6" s="99"/>
      <c r="AK6" s="99"/>
      <c r="AL6" s="99"/>
    </row>
    <row r="7" spans="1:38" ht="15.6" customHeight="1">
      <c r="A7" s="1"/>
      <c r="B7" s="28" t="s">
        <v>3</v>
      </c>
      <c r="C7" s="24" t="s">
        <v>4</v>
      </c>
      <c r="D7" s="1" t="s">
        <v>5</v>
      </c>
      <c r="E7" s="5" t="s">
        <v>99</v>
      </c>
      <c r="F7" s="216" t="s">
        <v>106</v>
      </c>
      <c r="G7" s="217" t="s">
        <v>100</v>
      </c>
      <c r="H7" s="218" t="s">
        <v>101</v>
      </c>
      <c r="I7" s="217" t="s">
        <v>102</v>
      </c>
      <c r="J7" s="218" t="s">
        <v>103</v>
      </c>
      <c r="K7" s="217" t="s">
        <v>104</v>
      </c>
      <c r="L7" s="216" t="s">
        <v>105</v>
      </c>
      <c r="M7" s="219" t="s">
        <v>106</v>
      </c>
      <c r="N7" s="218" t="s">
        <v>100</v>
      </c>
      <c r="O7" s="217" t="s">
        <v>101</v>
      </c>
      <c r="P7" s="218" t="s">
        <v>102</v>
      </c>
      <c r="Q7" s="217" t="s">
        <v>103</v>
      </c>
      <c r="R7" s="218" t="s">
        <v>104</v>
      </c>
      <c r="S7" s="219" t="s">
        <v>105</v>
      </c>
      <c r="T7" s="216" t="s">
        <v>106</v>
      </c>
      <c r="U7" s="220" t="s">
        <v>100</v>
      </c>
      <c r="V7" s="218" t="s">
        <v>101</v>
      </c>
      <c r="W7" s="217" t="s">
        <v>102</v>
      </c>
      <c r="X7" s="218" t="s">
        <v>103</v>
      </c>
      <c r="Y7" s="217" t="s">
        <v>104</v>
      </c>
      <c r="Z7" s="216" t="s">
        <v>105</v>
      </c>
      <c r="AA7" s="219" t="s">
        <v>106</v>
      </c>
      <c r="AB7" s="218" t="s">
        <v>100</v>
      </c>
      <c r="AC7" s="217" t="s">
        <v>101</v>
      </c>
      <c r="AD7" s="218" t="s">
        <v>102</v>
      </c>
      <c r="AE7" s="217" t="s">
        <v>103</v>
      </c>
      <c r="AF7" s="218" t="s">
        <v>104</v>
      </c>
      <c r="AG7" s="221" t="s">
        <v>105</v>
      </c>
    </row>
    <row r="8" spans="1:38" ht="15.6" customHeight="1">
      <c r="A8" s="2">
        <v>1</v>
      </c>
      <c r="B8" s="209" t="s">
        <v>25</v>
      </c>
      <c r="C8" s="210" t="s">
        <v>26</v>
      </c>
      <c r="D8" s="211" t="s">
        <v>27</v>
      </c>
      <c r="E8" s="212">
        <f t="shared" ref="E8:E45" si="2">SUM(F8:AG8)</f>
        <v>0</v>
      </c>
      <c r="F8" s="213">
        <f>COUNTIFS('2026 Time Off Request'!$A:$A,'Feb 2026'!$D8,'2026 Time Off Request'!$L:$L,'Feb 2026'!F$6)</f>
        <v>0</v>
      </c>
      <c r="G8" s="148">
        <f>COUNTIFS('2026 Time Off Request'!$A:$A,'Feb 2026'!$D8,'2026 Time Off Request'!$L:$L,'Feb 2026'!G$6)</f>
        <v>0</v>
      </c>
      <c r="H8" s="148">
        <f>COUNTIFS('2026 Time Off Request'!$A:$A,'Feb 2026'!$D8,'2026 Time Off Request'!$L:$L,'Feb 2026'!H$6)</f>
        <v>0</v>
      </c>
      <c r="I8" s="148">
        <f>COUNTIFS('2026 Time Off Request'!$A:$A,'Feb 2026'!$D8,'2026 Time Off Request'!$L:$L,'Feb 2026'!I$6)</f>
        <v>0</v>
      </c>
      <c r="J8" s="148">
        <f>COUNTIFS('2026 Time Off Request'!$A:$A,'Feb 2026'!$D8,'2026 Time Off Request'!$L:$L,'Feb 2026'!J$6)</f>
        <v>0</v>
      </c>
      <c r="K8" s="148">
        <f>COUNTIFS('2026 Time Off Request'!$A:$A,'Feb 2026'!$D8,'2026 Time Off Request'!$L:$L,'Feb 2026'!K$6)</f>
        <v>0</v>
      </c>
      <c r="L8" s="147">
        <f>COUNTIFS('2026 Time Off Request'!$A:$A,'Feb 2026'!$D8,'2026 Time Off Request'!$L:$L,'Feb 2026'!L$6)</f>
        <v>0</v>
      </c>
      <c r="M8" s="147">
        <f>COUNTIFS('2026 Time Off Request'!$A:$A,'Feb 2026'!$D8,'2026 Time Off Request'!$L:$L,'Feb 2026'!M$6)</f>
        <v>0</v>
      </c>
      <c r="N8" s="148">
        <f>COUNTIFS('2026 Time Off Request'!$A:$A,'Feb 2026'!$D8,'2026 Time Off Request'!$L:$L,'Feb 2026'!N$6)</f>
        <v>0</v>
      </c>
      <c r="O8" s="148">
        <f>COUNTIFS('2026 Time Off Request'!$A:$A,'Feb 2026'!$D8,'2026 Time Off Request'!$L:$L,'Feb 2026'!O$6)</f>
        <v>0</v>
      </c>
      <c r="P8" s="148">
        <f>COUNTIFS('2026 Time Off Request'!$A:$A,'Feb 2026'!$D8,'2026 Time Off Request'!$L:$L,'Feb 2026'!P$6)</f>
        <v>0</v>
      </c>
      <c r="Q8" s="148">
        <f>COUNTIFS('2026 Time Off Request'!$A:$A,'Feb 2026'!$D8,'2026 Time Off Request'!$L:$L,'Feb 2026'!Q$6)</f>
        <v>0</v>
      </c>
      <c r="R8" s="148">
        <f>COUNTIFS('2026 Time Off Request'!$A:$A,'Feb 2026'!$D8,'2026 Time Off Request'!$L:$L,'Feb 2026'!R$6)</f>
        <v>0</v>
      </c>
      <c r="S8" s="147">
        <f>COUNTIFS('2026 Time Off Request'!$A:$A,'Feb 2026'!$D8,'2026 Time Off Request'!$L:$L,'Feb 2026'!S$6)</f>
        <v>0</v>
      </c>
      <c r="T8" s="147">
        <f>COUNTIFS('2026 Time Off Request'!$A:$A,'Feb 2026'!$D8,'2026 Time Off Request'!$L:$L,'Feb 2026'!T$6)</f>
        <v>0</v>
      </c>
      <c r="U8" s="214">
        <f>COUNTIFS('2026 Time Off Request'!$A:$A,'Feb 2026'!$D8,'2026 Time Off Request'!$L:$L,'Feb 2026'!U$6)</f>
        <v>0</v>
      </c>
      <c r="V8" s="148">
        <f>COUNTIFS('2026 Time Off Request'!$A:$A,'Feb 2026'!$D8,'2026 Time Off Request'!$L:$L,'Feb 2026'!V$6)</f>
        <v>0</v>
      </c>
      <c r="W8" s="148">
        <f>COUNTIFS('2026 Time Off Request'!$A:$A,'Feb 2026'!$D8,'2026 Time Off Request'!$L:$L,'Feb 2026'!W$6)</f>
        <v>0</v>
      </c>
      <c r="X8" s="148">
        <f>COUNTIFS('2026 Time Off Request'!$A:$A,'Feb 2026'!$D8,'2026 Time Off Request'!$L:$L,'Feb 2026'!X$6)</f>
        <v>0</v>
      </c>
      <c r="Y8" s="148">
        <f>COUNTIFS('2026 Time Off Request'!$A:$A,'Feb 2026'!$D8,'2026 Time Off Request'!$L:$L,'Feb 2026'!Y$6)</f>
        <v>0</v>
      </c>
      <c r="Z8" s="147">
        <f>COUNTIFS('2026 Time Off Request'!$A:$A,'Feb 2026'!$D8,'2026 Time Off Request'!$L:$L,'Feb 2026'!Z$6)</f>
        <v>0</v>
      </c>
      <c r="AA8" s="147">
        <f>COUNTIFS('2026 Time Off Request'!$A:$A,'Feb 2026'!$D8,'2026 Time Off Request'!$L:$L,'Feb 2026'!AA$6)</f>
        <v>0</v>
      </c>
      <c r="AB8" s="148">
        <f>COUNTIFS('2026 Time Off Request'!$A:$A,'Feb 2026'!$D8,'2026 Time Off Request'!$L:$L,'Feb 2026'!AB$6)</f>
        <v>0</v>
      </c>
      <c r="AC8" s="148">
        <f>COUNTIFS('2026 Time Off Request'!$A:$A,'Feb 2026'!$D8,'2026 Time Off Request'!$L:$L,'Feb 2026'!AC$6)</f>
        <v>0</v>
      </c>
      <c r="AD8" s="148">
        <f>COUNTIFS('2026 Time Off Request'!$A:$A,'Feb 2026'!$D8,'2026 Time Off Request'!$L:$L,'Feb 2026'!AD$6)</f>
        <v>0</v>
      </c>
      <c r="AE8" s="148">
        <f>COUNTIFS('2026 Time Off Request'!$A:$A,'Feb 2026'!$D8,'2026 Time Off Request'!$L:$L,'Feb 2026'!AE$6)</f>
        <v>0</v>
      </c>
      <c r="AF8" s="148">
        <f>COUNTIFS('2026 Time Off Request'!$A:$A,'Feb 2026'!$D8,'2026 Time Off Request'!$L:$L,'Feb 2026'!AF$6)</f>
        <v>0</v>
      </c>
      <c r="AG8" s="147">
        <f>COUNTIFS('2026 Time Off Request'!$A:$A,'Feb 2026'!$D8,'2026 Time Off Request'!$L:$L,'Feb 2026'!AG$6)</f>
        <v>0</v>
      </c>
    </row>
    <row r="9" spans="1:38" ht="15.6" customHeight="1">
      <c r="A9" s="2">
        <v>2</v>
      </c>
      <c r="B9" s="209" t="s">
        <v>25</v>
      </c>
      <c r="C9" s="210" t="s">
        <v>28</v>
      </c>
      <c r="D9" s="215" t="s">
        <v>29</v>
      </c>
      <c r="E9" s="212">
        <f t="shared" si="2"/>
        <v>0</v>
      </c>
      <c r="F9" s="213">
        <f>COUNTIFS('2026 Time Off Request'!$A:$A,'Feb 2026'!$D9,'2026 Time Off Request'!$L:$L,'Feb 2026'!F$6)</f>
        <v>0</v>
      </c>
      <c r="G9" s="148">
        <f>COUNTIFS('2026 Time Off Request'!$A:$A,'Feb 2026'!$D9,'2026 Time Off Request'!$L:$L,'Feb 2026'!G$6)</f>
        <v>0</v>
      </c>
      <c r="H9" s="148">
        <f>COUNTIFS('2026 Time Off Request'!$A:$A,'Feb 2026'!$D9,'2026 Time Off Request'!$L:$L,'Feb 2026'!H$6)</f>
        <v>0</v>
      </c>
      <c r="I9" s="148">
        <f>COUNTIFS('2026 Time Off Request'!$A:$A,'Feb 2026'!$D9,'2026 Time Off Request'!$L:$L,'Feb 2026'!I$6)</f>
        <v>0</v>
      </c>
      <c r="J9" s="148">
        <f>COUNTIFS('2026 Time Off Request'!$A:$A,'Feb 2026'!$D9,'2026 Time Off Request'!$L:$L,'Feb 2026'!J$6)</f>
        <v>0</v>
      </c>
      <c r="K9" s="148">
        <f>COUNTIFS('2026 Time Off Request'!$A:$A,'Feb 2026'!$D9,'2026 Time Off Request'!$L:$L,'Feb 2026'!K$6)</f>
        <v>0</v>
      </c>
      <c r="L9" s="147">
        <f>COUNTIFS('2026 Time Off Request'!$A:$A,'Feb 2026'!$D9,'2026 Time Off Request'!$L:$L,'Feb 2026'!L$6)</f>
        <v>0</v>
      </c>
      <c r="M9" s="147">
        <f>COUNTIFS('2026 Time Off Request'!$A:$A,'Feb 2026'!$D9,'2026 Time Off Request'!$L:$L,'Feb 2026'!M$6)</f>
        <v>0</v>
      </c>
      <c r="N9" s="148">
        <f>COUNTIFS('2026 Time Off Request'!$A:$A,'Feb 2026'!$D9,'2026 Time Off Request'!$L:$L,'Feb 2026'!N$6)</f>
        <v>0</v>
      </c>
      <c r="O9" s="148">
        <f>COUNTIFS('2026 Time Off Request'!$A:$A,'Feb 2026'!$D9,'2026 Time Off Request'!$L:$L,'Feb 2026'!O$6)</f>
        <v>0</v>
      </c>
      <c r="P9" s="148">
        <f>COUNTIFS('2026 Time Off Request'!$A:$A,'Feb 2026'!$D9,'2026 Time Off Request'!$L:$L,'Feb 2026'!P$6)</f>
        <v>0</v>
      </c>
      <c r="Q9" s="148">
        <f>COUNTIFS('2026 Time Off Request'!$A:$A,'Feb 2026'!$D9,'2026 Time Off Request'!$L:$L,'Feb 2026'!Q$6)</f>
        <v>0</v>
      </c>
      <c r="R9" s="148">
        <f>COUNTIFS('2026 Time Off Request'!$A:$A,'Feb 2026'!$D9,'2026 Time Off Request'!$L:$L,'Feb 2026'!R$6)</f>
        <v>0</v>
      </c>
      <c r="S9" s="147">
        <f>COUNTIFS('2026 Time Off Request'!$A:$A,'Feb 2026'!$D9,'2026 Time Off Request'!$L:$L,'Feb 2026'!S$6)</f>
        <v>0</v>
      </c>
      <c r="T9" s="147">
        <f>COUNTIFS('2026 Time Off Request'!$A:$A,'Feb 2026'!$D9,'2026 Time Off Request'!$L:$L,'Feb 2026'!T$6)</f>
        <v>0</v>
      </c>
      <c r="U9" s="214">
        <f>COUNTIFS('2026 Time Off Request'!$A:$A,'Feb 2026'!$D9,'2026 Time Off Request'!$L:$L,'Feb 2026'!U$6)</f>
        <v>0</v>
      </c>
      <c r="V9" s="148">
        <f>COUNTIFS('2026 Time Off Request'!$A:$A,'Feb 2026'!$D9,'2026 Time Off Request'!$L:$L,'Feb 2026'!V$6)</f>
        <v>0</v>
      </c>
      <c r="W9" s="148">
        <f>COUNTIFS('2026 Time Off Request'!$A:$A,'Feb 2026'!$D9,'2026 Time Off Request'!$L:$L,'Feb 2026'!W$6)</f>
        <v>0</v>
      </c>
      <c r="X9" s="148">
        <f>COUNTIFS('2026 Time Off Request'!$A:$A,'Feb 2026'!$D9,'2026 Time Off Request'!$L:$L,'Feb 2026'!X$6)</f>
        <v>0</v>
      </c>
      <c r="Y9" s="148">
        <f>COUNTIFS('2026 Time Off Request'!$A:$A,'Feb 2026'!$D9,'2026 Time Off Request'!$L:$L,'Feb 2026'!Y$6)</f>
        <v>0</v>
      </c>
      <c r="Z9" s="147">
        <f>COUNTIFS('2026 Time Off Request'!$A:$A,'Feb 2026'!$D9,'2026 Time Off Request'!$L:$L,'Feb 2026'!Z$6)</f>
        <v>0</v>
      </c>
      <c r="AA9" s="147">
        <f>COUNTIFS('2026 Time Off Request'!$A:$A,'Feb 2026'!$D9,'2026 Time Off Request'!$L:$L,'Feb 2026'!AA$6)</f>
        <v>0</v>
      </c>
      <c r="AB9" s="148">
        <f>COUNTIFS('2026 Time Off Request'!$A:$A,'Feb 2026'!$D9,'2026 Time Off Request'!$L:$L,'Feb 2026'!AB$6)</f>
        <v>0</v>
      </c>
      <c r="AC9" s="148">
        <f>COUNTIFS('2026 Time Off Request'!$A:$A,'Feb 2026'!$D9,'2026 Time Off Request'!$L:$L,'Feb 2026'!AC$6)</f>
        <v>0</v>
      </c>
      <c r="AD9" s="148">
        <f>COUNTIFS('2026 Time Off Request'!$A:$A,'Feb 2026'!$D9,'2026 Time Off Request'!$L:$L,'Feb 2026'!AD$6)</f>
        <v>0</v>
      </c>
      <c r="AE9" s="148">
        <f>COUNTIFS('2026 Time Off Request'!$A:$A,'Feb 2026'!$D9,'2026 Time Off Request'!$L:$L,'Feb 2026'!AE$6)</f>
        <v>0</v>
      </c>
      <c r="AF9" s="148">
        <f>COUNTIFS('2026 Time Off Request'!$A:$A,'Feb 2026'!$D9,'2026 Time Off Request'!$L:$L,'Feb 2026'!AF$6)</f>
        <v>0</v>
      </c>
      <c r="AG9" s="147">
        <f>COUNTIFS('2026 Time Off Request'!$A:$A,'Feb 2026'!$D9,'2026 Time Off Request'!$L:$L,'Feb 2026'!AG$6)</f>
        <v>0</v>
      </c>
    </row>
    <row r="10" spans="1:38" ht="15.6" customHeight="1">
      <c r="A10" s="2">
        <v>3</v>
      </c>
      <c r="B10" s="209" t="s">
        <v>25</v>
      </c>
      <c r="C10" s="210" t="s">
        <v>30</v>
      </c>
      <c r="D10" s="215" t="s">
        <v>31</v>
      </c>
      <c r="E10" s="212">
        <f t="shared" si="2"/>
        <v>0</v>
      </c>
      <c r="F10" s="213">
        <f>COUNTIFS('2026 Time Off Request'!$A:$A,'Feb 2026'!$D10,'2026 Time Off Request'!$L:$L,'Feb 2026'!F$6)</f>
        <v>0</v>
      </c>
      <c r="G10" s="148">
        <f>COUNTIFS('2026 Time Off Request'!$A:$A,'Feb 2026'!$D10,'2026 Time Off Request'!$L:$L,'Feb 2026'!G$6)</f>
        <v>0</v>
      </c>
      <c r="H10" s="148">
        <f>COUNTIFS('2026 Time Off Request'!$A:$A,'Feb 2026'!$D10,'2026 Time Off Request'!$L:$L,'Feb 2026'!H$6)</f>
        <v>0</v>
      </c>
      <c r="I10" s="148">
        <f>COUNTIFS('2026 Time Off Request'!$A:$A,'Feb 2026'!$D10,'2026 Time Off Request'!$L:$L,'Feb 2026'!I$6)</f>
        <v>0</v>
      </c>
      <c r="J10" s="148">
        <f>COUNTIFS('2026 Time Off Request'!$A:$A,'Feb 2026'!$D10,'2026 Time Off Request'!$L:$L,'Feb 2026'!J$6)</f>
        <v>0</v>
      </c>
      <c r="K10" s="148">
        <f>COUNTIFS('2026 Time Off Request'!$A:$A,'Feb 2026'!$D10,'2026 Time Off Request'!$L:$L,'Feb 2026'!K$6)</f>
        <v>0</v>
      </c>
      <c r="L10" s="147">
        <f>COUNTIFS('2026 Time Off Request'!$A:$A,'Feb 2026'!$D10,'2026 Time Off Request'!$L:$L,'Feb 2026'!L$6)</f>
        <v>0</v>
      </c>
      <c r="M10" s="147">
        <f>COUNTIFS('2026 Time Off Request'!$A:$A,'Feb 2026'!$D10,'2026 Time Off Request'!$L:$L,'Feb 2026'!M$6)</f>
        <v>0</v>
      </c>
      <c r="N10" s="148">
        <f>COUNTIFS('2026 Time Off Request'!$A:$A,'Feb 2026'!$D10,'2026 Time Off Request'!$L:$L,'Feb 2026'!N$6)</f>
        <v>0</v>
      </c>
      <c r="O10" s="148">
        <f>COUNTIFS('2026 Time Off Request'!$A:$A,'Feb 2026'!$D10,'2026 Time Off Request'!$L:$L,'Feb 2026'!O$6)</f>
        <v>0</v>
      </c>
      <c r="P10" s="148">
        <f>COUNTIFS('2026 Time Off Request'!$A:$A,'Feb 2026'!$D10,'2026 Time Off Request'!$L:$L,'Feb 2026'!P$6)</f>
        <v>0</v>
      </c>
      <c r="Q10" s="148">
        <f>COUNTIFS('2026 Time Off Request'!$A:$A,'Feb 2026'!$D10,'2026 Time Off Request'!$L:$L,'Feb 2026'!Q$6)</f>
        <v>0</v>
      </c>
      <c r="R10" s="148">
        <f>COUNTIFS('2026 Time Off Request'!$A:$A,'Feb 2026'!$D10,'2026 Time Off Request'!$L:$L,'Feb 2026'!R$6)</f>
        <v>0</v>
      </c>
      <c r="S10" s="147">
        <f>COUNTIFS('2026 Time Off Request'!$A:$A,'Feb 2026'!$D10,'2026 Time Off Request'!$L:$L,'Feb 2026'!S$6)</f>
        <v>0</v>
      </c>
      <c r="T10" s="147">
        <f>COUNTIFS('2026 Time Off Request'!$A:$A,'Feb 2026'!$D10,'2026 Time Off Request'!$L:$L,'Feb 2026'!T$6)</f>
        <v>0</v>
      </c>
      <c r="U10" s="214">
        <f>COUNTIFS('2026 Time Off Request'!$A:$A,'Feb 2026'!$D10,'2026 Time Off Request'!$L:$L,'Feb 2026'!U$6)</f>
        <v>0</v>
      </c>
      <c r="V10" s="148">
        <f>COUNTIFS('2026 Time Off Request'!$A:$A,'Feb 2026'!$D10,'2026 Time Off Request'!$L:$L,'Feb 2026'!V$6)</f>
        <v>0</v>
      </c>
      <c r="W10" s="148">
        <f>COUNTIFS('2026 Time Off Request'!$A:$A,'Feb 2026'!$D10,'2026 Time Off Request'!$L:$L,'Feb 2026'!W$6)</f>
        <v>0</v>
      </c>
      <c r="X10" s="148">
        <f>COUNTIFS('2026 Time Off Request'!$A:$A,'Feb 2026'!$D10,'2026 Time Off Request'!$L:$L,'Feb 2026'!X$6)</f>
        <v>0</v>
      </c>
      <c r="Y10" s="148">
        <f>COUNTIFS('2026 Time Off Request'!$A:$A,'Feb 2026'!$D10,'2026 Time Off Request'!$L:$L,'Feb 2026'!Y$6)</f>
        <v>0</v>
      </c>
      <c r="Z10" s="147">
        <f>COUNTIFS('2026 Time Off Request'!$A:$A,'Feb 2026'!$D10,'2026 Time Off Request'!$L:$L,'Feb 2026'!Z$6)</f>
        <v>0</v>
      </c>
      <c r="AA10" s="147">
        <f>COUNTIFS('2026 Time Off Request'!$A:$A,'Feb 2026'!$D10,'2026 Time Off Request'!$L:$L,'Feb 2026'!AA$6)</f>
        <v>0</v>
      </c>
      <c r="AB10" s="148">
        <f>COUNTIFS('2026 Time Off Request'!$A:$A,'Feb 2026'!$D10,'2026 Time Off Request'!$L:$L,'Feb 2026'!AB$6)</f>
        <v>0</v>
      </c>
      <c r="AC10" s="148">
        <f>COUNTIFS('2026 Time Off Request'!$A:$A,'Feb 2026'!$D10,'2026 Time Off Request'!$L:$L,'Feb 2026'!AC$6)</f>
        <v>0</v>
      </c>
      <c r="AD10" s="148">
        <f>COUNTIFS('2026 Time Off Request'!$A:$A,'Feb 2026'!$D10,'2026 Time Off Request'!$L:$L,'Feb 2026'!AD$6)</f>
        <v>0</v>
      </c>
      <c r="AE10" s="148">
        <f>COUNTIFS('2026 Time Off Request'!$A:$A,'Feb 2026'!$D10,'2026 Time Off Request'!$L:$L,'Feb 2026'!AE$6)</f>
        <v>0</v>
      </c>
      <c r="AF10" s="148">
        <f>COUNTIFS('2026 Time Off Request'!$A:$A,'Feb 2026'!$D10,'2026 Time Off Request'!$L:$L,'Feb 2026'!AF$6)</f>
        <v>0</v>
      </c>
      <c r="AG10" s="147">
        <f>COUNTIFS('2026 Time Off Request'!$A:$A,'Feb 2026'!$D10,'2026 Time Off Request'!$L:$L,'Feb 2026'!AG$6)</f>
        <v>0</v>
      </c>
    </row>
    <row r="11" spans="1:38" ht="15.6" customHeight="1">
      <c r="A11" s="2">
        <v>4</v>
      </c>
      <c r="B11" s="209" t="s">
        <v>25</v>
      </c>
      <c r="C11" s="210" t="s">
        <v>32</v>
      </c>
      <c r="D11" s="215" t="s">
        <v>33</v>
      </c>
      <c r="E11" s="212">
        <f t="shared" si="2"/>
        <v>0</v>
      </c>
      <c r="F11" s="213">
        <f>COUNTIFS('2026 Time Off Request'!$A:$A,'Feb 2026'!$D11,'2026 Time Off Request'!$L:$L,'Feb 2026'!F$6)</f>
        <v>0</v>
      </c>
      <c r="G11" s="148">
        <f>COUNTIFS('2026 Time Off Request'!$A:$A,'Feb 2026'!$D11,'2026 Time Off Request'!$L:$L,'Feb 2026'!G$6)</f>
        <v>0</v>
      </c>
      <c r="H11" s="148">
        <f>COUNTIFS('2026 Time Off Request'!$A:$A,'Feb 2026'!$D11,'2026 Time Off Request'!$L:$L,'Feb 2026'!H$6)</f>
        <v>0</v>
      </c>
      <c r="I11" s="148">
        <f>COUNTIFS('2026 Time Off Request'!$A:$A,'Feb 2026'!$D11,'2026 Time Off Request'!$L:$L,'Feb 2026'!I$6)</f>
        <v>0</v>
      </c>
      <c r="J11" s="148">
        <f>COUNTIFS('2026 Time Off Request'!$A:$A,'Feb 2026'!$D11,'2026 Time Off Request'!$L:$L,'Feb 2026'!J$6)</f>
        <v>0</v>
      </c>
      <c r="K11" s="148">
        <f>COUNTIFS('2026 Time Off Request'!$A:$A,'Feb 2026'!$D11,'2026 Time Off Request'!$L:$L,'Feb 2026'!K$6)</f>
        <v>0</v>
      </c>
      <c r="L11" s="147">
        <f>COUNTIFS('2026 Time Off Request'!$A:$A,'Feb 2026'!$D11,'2026 Time Off Request'!$L:$L,'Feb 2026'!L$6)</f>
        <v>0</v>
      </c>
      <c r="M11" s="147">
        <f>COUNTIFS('2026 Time Off Request'!$A:$A,'Feb 2026'!$D11,'2026 Time Off Request'!$L:$L,'Feb 2026'!M$6)</f>
        <v>0</v>
      </c>
      <c r="N11" s="148">
        <f>COUNTIFS('2026 Time Off Request'!$A:$A,'Feb 2026'!$D11,'2026 Time Off Request'!$L:$L,'Feb 2026'!N$6)</f>
        <v>0</v>
      </c>
      <c r="O11" s="148">
        <f>COUNTIFS('2026 Time Off Request'!$A:$A,'Feb 2026'!$D11,'2026 Time Off Request'!$L:$L,'Feb 2026'!O$6)</f>
        <v>0</v>
      </c>
      <c r="P11" s="148">
        <f>COUNTIFS('2026 Time Off Request'!$A:$A,'Feb 2026'!$D11,'2026 Time Off Request'!$L:$L,'Feb 2026'!P$6)</f>
        <v>0</v>
      </c>
      <c r="Q11" s="148">
        <f>COUNTIFS('2026 Time Off Request'!$A:$A,'Feb 2026'!$D11,'2026 Time Off Request'!$L:$L,'Feb 2026'!Q$6)</f>
        <v>0</v>
      </c>
      <c r="R11" s="148">
        <f>COUNTIFS('2026 Time Off Request'!$A:$A,'Feb 2026'!$D11,'2026 Time Off Request'!$L:$L,'Feb 2026'!R$6)</f>
        <v>0</v>
      </c>
      <c r="S11" s="147">
        <f>COUNTIFS('2026 Time Off Request'!$A:$A,'Feb 2026'!$D11,'2026 Time Off Request'!$L:$L,'Feb 2026'!S$6)</f>
        <v>0</v>
      </c>
      <c r="T11" s="147">
        <f>COUNTIFS('2026 Time Off Request'!$A:$A,'Feb 2026'!$D11,'2026 Time Off Request'!$L:$L,'Feb 2026'!T$6)</f>
        <v>0</v>
      </c>
      <c r="U11" s="214">
        <f>COUNTIFS('2026 Time Off Request'!$A:$A,'Feb 2026'!$D11,'2026 Time Off Request'!$L:$L,'Feb 2026'!U$6)</f>
        <v>0</v>
      </c>
      <c r="V11" s="148">
        <f>COUNTIFS('2026 Time Off Request'!$A:$A,'Feb 2026'!$D11,'2026 Time Off Request'!$L:$L,'Feb 2026'!V$6)</f>
        <v>0</v>
      </c>
      <c r="W11" s="148">
        <f>COUNTIFS('2026 Time Off Request'!$A:$A,'Feb 2026'!$D11,'2026 Time Off Request'!$L:$L,'Feb 2026'!W$6)</f>
        <v>0</v>
      </c>
      <c r="X11" s="148">
        <f>COUNTIFS('2026 Time Off Request'!$A:$A,'Feb 2026'!$D11,'2026 Time Off Request'!$L:$L,'Feb 2026'!X$6)</f>
        <v>0</v>
      </c>
      <c r="Y11" s="148">
        <f>COUNTIFS('2026 Time Off Request'!$A:$A,'Feb 2026'!$D11,'2026 Time Off Request'!$L:$L,'Feb 2026'!Y$6)</f>
        <v>0</v>
      </c>
      <c r="Z11" s="147">
        <f>COUNTIFS('2026 Time Off Request'!$A:$A,'Feb 2026'!$D11,'2026 Time Off Request'!$L:$L,'Feb 2026'!Z$6)</f>
        <v>0</v>
      </c>
      <c r="AA11" s="147">
        <f>COUNTIFS('2026 Time Off Request'!$A:$A,'Feb 2026'!$D11,'2026 Time Off Request'!$L:$L,'Feb 2026'!AA$6)</f>
        <v>0</v>
      </c>
      <c r="AB11" s="148">
        <f>COUNTIFS('2026 Time Off Request'!$A:$A,'Feb 2026'!$D11,'2026 Time Off Request'!$L:$L,'Feb 2026'!AB$6)</f>
        <v>0</v>
      </c>
      <c r="AC11" s="148">
        <f>COUNTIFS('2026 Time Off Request'!$A:$A,'Feb 2026'!$D11,'2026 Time Off Request'!$L:$L,'Feb 2026'!AC$6)</f>
        <v>0</v>
      </c>
      <c r="AD11" s="148">
        <f>COUNTIFS('2026 Time Off Request'!$A:$A,'Feb 2026'!$D11,'2026 Time Off Request'!$L:$L,'Feb 2026'!AD$6)</f>
        <v>0</v>
      </c>
      <c r="AE11" s="148">
        <f>COUNTIFS('2026 Time Off Request'!$A:$A,'Feb 2026'!$D11,'2026 Time Off Request'!$L:$L,'Feb 2026'!AE$6)</f>
        <v>0</v>
      </c>
      <c r="AF11" s="148">
        <f>COUNTIFS('2026 Time Off Request'!$A:$A,'Feb 2026'!$D11,'2026 Time Off Request'!$L:$L,'Feb 2026'!AF$6)</f>
        <v>0</v>
      </c>
      <c r="AG11" s="147">
        <f>COUNTIFS('2026 Time Off Request'!$A:$A,'Feb 2026'!$D11,'2026 Time Off Request'!$L:$L,'Feb 2026'!AG$6)</f>
        <v>0</v>
      </c>
    </row>
    <row r="12" spans="1:38" ht="15.6" customHeight="1">
      <c r="A12" s="2">
        <v>5</v>
      </c>
      <c r="B12" s="209" t="s">
        <v>25</v>
      </c>
      <c r="C12" s="210" t="s">
        <v>34</v>
      </c>
      <c r="D12" s="215" t="s">
        <v>35</v>
      </c>
      <c r="E12" s="212">
        <f t="shared" si="2"/>
        <v>0</v>
      </c>
      <c r="F12" s="213">
        <f>COUNTIFS('2026 Time Off Request'!$A:$A,'Feb 2026'!$D12,'2026 Time Off Request'!$L:$L,'Feb 2026'!F$6)</f>
        <v>0</v>
      </c>
      <c r="G12" s="148">
        <f>COUNTIFS('2026 Time Off Request'!$A:$A,'Feb 2026'!$D12,'2026 Time Off Request'!$L:$L,'Feb 2026'!G$6)</f>
        <v>0</v>
      </c>
      <c r="H12" s="148">
        <f>COUNTIFS('2026 Time Off Request'!$A:$A,'Feb 2026'!$D12,'2026 Time Off Request'!$L:$L,'Feb 2026'!H$6)</f>
        <v>0</v>
      </c>
      <c r="I12" s="148">
        <f>COUNTIFS('2026 Time Off Request'!$A:$A,'Feb 2026'!$D12,'2026 Time Off Request'!$L:$L,'Feb 2026'!I$6)</f>
        <v>0</v>
      </c>
      <c r="J12" s="148">
        <f>COUNTIFS('2026 Time Off Request'!$A:$A,'Feb 2026'!$D12,'2026 Time Off Request'!$L:$L,'Feb 2026'!J$6)</f>
        <v>0</v>
      </c>
      <c r="K12" s="148">
        <f>COUNTIFS('2026 Time Off Request'!$A:$A,'Feb 2026'!$D12,'2026 Time Off Request'!$L:$L,'Feb 2026'!K$6)</f>
        <v>0</v>
      </c>
      <c r="L12" s="147">
        <f>COUNTIFS('2026 Time Off Request'!$A:$A,'Feb 2026'!$D12,'2026 Time Off Request'!$L:$L,'Feb 2026'!L$6)</f>
        <v>0</v>
      </c>
      <c r="M12" s="147">
        <f>COUNTIFS('2026 Time Off Request'!$A:$A,'Feb 2026'!$D12,'2026 Time Off Request'!$L:$L,'Feb 2026'!M$6)</f>
        <v>0</v>
      </c>
      <c r="N12" s="148">
        <f>COUNTIFS('2026 Time Off Request'!$A:$A,'Feb 2026'!$D12,'2026 Time Off Request'!$L:$L,'Feb 2026'!N$6)</f>
        <v>0</v>
      </c>
      <c r="O12" s="148">
        <f>COUNTIFS('2026 Time Off Request'!$A:$A,'Feb 2026'!$D12,'2026 Time Off Request'!$L:$L,'Feb 2026'!O$6)</f>
        <v>0</v>
      </c>
      <c r="P12" s="148">
        <f>COUNTIFS('2026 Time Off Request'!$A:$A,'Feb 2026'!$D12,'2026 Time Off Request'!$L:$L,'Feb 2026'!P$6)</f>
        <v>0</v>
      </c>
      <c r="Q12" s="148">
        <f>COUNTIFS('2026 Time Off Request'!$A:$A,'Feb 2026'!$D12,'2026 Time Off Request'!$L:$L,'Feb 2026'!Q$6)</f>
        <v>0</v>
      </c>
      <c r="R12" s="148">
        <f>COUNTIFS('2026 Time Off Request'!$A:$A,'Feb 2026'!$D12,'2026 Time Off Request'!$L:$L,'Feb 2026'!R$6)</f>
        <v>0</v>
      </c>
      <c r="S12" s="147">
        <f>COUNTIFS('2026 Time Off Request'!$A:$A,'Feb 2026'!$D12,'2026 Time Off Request'!$L:$L,'Feb 2026'!S$6)</f>
        <v>0</v>
      </c>
      <c r="T12" s="147">
        <f>COUNTIFS('2026 Time Off Request'!$A:$A,'Feb 2026'!$D12,'2026 Time Off Request'!$L:$L,'Feb 2026'!T$6)</f>
        <v>0</v>
      </c>
      <c r="U12" s="214">
        <f>COUNTIFS('2026 Time Off Request'!$A:$A,'Feb 2026'!$D12,'2026 Time Off Request'!$L:$L,'Feb 2026'!U$6)</f>
        <v>0</v>
      </c>
      <c r="V12" s="148">
        <f>COUNTIFS('2026 Time Off Request'!$A:$A,'Feb 2026'!$D12,'2026 Time Off Request'!$L:$L,'Feb 2026'!V$6)</f>
        <v>0</v>
      </c>
      <c r="W12" s="148">
        <f>COUNTIFS('2026 Time Off Request'!$A:$A,'Feb 2026'!$D12,'2026 Time Off Request'!$L:$L,'Feb 2026'!W$6)</f>
        <v>0</v>
      </c>
      <c r="X12" s="148">
        <f>COUNTIFS('2026 Time Off Request'!$A:$A,'Feb 2026'!$D12,'2026 Time Off Request'!$L:$L,'Feb 2026'!X$6)</f>
        <v>0</v>
      </c>
      <c r="Y12" s="148">
        <f>COUNTIFS('2026 Time Off Request'!$A:$A,'Feb 2026'!$D12,'2026 Time Off Request'!$L:$L,'Feb 2026'!Y$6)</f>
        <v>0</v>
      </c>
      <c r="Z12" s="147">
        <f>COUNTIFS('2026 Time Off Request'!$A:$A,'Feb 2026'!$D12,'2026 Time Off Request'!$L:$L,'Feb 2026'!Z$6)</f>
        <v>0</v>
      </c>
      <c r="AA12" s="147">
        <f>COUNTIFS('2026 Time Off Request'!$A:$A,'Feb 2026'!$D12,'2026 Time Off Request'!$L:$L,'Feb 2026'!AA$6)</f>
        <v>0</v>
      </c>
      <c r="AB12" s="148">
        <f>COUNTIFS('2026 Time Off Request'!$A:$A,'Feb 2026'!$D12,'2026 Time Off Request'!$L:$L,'Feb 2026'!AB$6)</f>
        <v>0</v>
      </c>
      <c r="AC12" s="148">
        <f>COUNTIFS('2026 Time Off Request'!$A:$A,'Feb 2026'!$D12,'2026 Time Off Request'!$L:$L,'Feb 2026'!AC$6)</f>
        <v>0</v>
      </c>
      <c r="AD12" s="148">
        <f>COUNTIFS('2026 Time Off Request'!$A:$A,'Feb 2026'!$D12,'2026 Time Off Request'!$L:$L,'Feb 2026'!AD$6)</f>
        <v>0</v>
      </c>
      <c r="AE12" s="148">
        <f>COUNTIFS('2026 Time Off Request'!$A:$A,'Feb 2026'!$D12,'2026 Time Off Request'!$L:$L,'Feb 2026'!AE$6)</f>
        <v>0</v>
      </c>
      <c r="AF12" s="148">
        <f>COUNTIFS('2026 Time Off Request'!$A:$A,'Feb 2026'!$D12,'2026 Time Off Request'!$L:$L,'Feb 2026'!AF$6)</f>
        <v>0</v>
      </c>
      <c r="AG12" s="147">
        <f>COUNTIFS('2026 Time Off Request'!$A:$A,'Feb 2026'!$D12,'2026 Time Off Request'!$L:$L,'Feb 2026'!AG$6)</f>
        <v>0</v>
      </c>
    </row>
    <row r="13" spans="1:38" ht="15.6" customHeight="1">
      <c r="A13" s="2">
        <v>6</v>
      </c>
      <c r="B13" s="209" t="s">
        <v>36</v>
      </c>
      <c r="C13" s="210" t="s">
        <v>37</v>
      </c>
      <c r="D13" s="215" t="s">
        <v>38</v>
      </c>
      <c r="E13" s="212">
        <f t="shared" si="2"/>
        <v>0</v>
      </c>
      <c r="F13" s="213">
        <f>COUNTIFS('2026 Time Off Request'!$A:$A,'Feb 2026'!$D13,'2026 Time Off Request'!$L:$L,'Feb 2026'!F$6)</f>
        <v>0</v>
      </c>
      <c r="G13" s="148">
        <f>COUNTIFS('2026 Time Off Request'!$A:$A,'Feb 2026'!$D13,'2026 Time Off Request'!$L:$L,'Feb 2026'!G$6)</f>
        <v>0</v>
      </c>
      <c r="H13" s="148">
        <f>COUNTIFS('2026 Time Off Request'!$A:$A,'Feb 2026'!$D13,'2026 Time Off Request'!$L:$L,'Feb 2026'!H$6)</f>
        <v>0</v>
      </c>
      <c r="I13" s="148">
        <f>COUNTIFS('2026 Time Off Request'!$A:$A,'Feb 2026'!$D13,'2026 Time Off Request'!$L:$L,'Feb 2026'!I$6)</f>
        <v>0</v>
      </c>
      <c r="J13" s="148">
        <f>COUNTIFS('2026 Time Off Request'!$A:$A,'Feb 2026'!$D13,'2026 Time Off Request'!$L:$L,'Feb 2026'!J$6)</f>
        <v>0</v>
      </c>
      <c r="K13" s="148">
        <f>COUNTIFS('2026 Time Off Request'!$A:$A,'Feb 2026'!$D13,'2026 Time Off Request'!$L:$L,'Feb 2026'!K$6)</f>
        <v>0</v>
      </c>
      <c r="L13" s="147">
        <f>COUNTIFS('2026 Time Off Request'!$A:$A,'Feb 2026'!$D13,'2026 Time Off Request'!$L:$L,'Feb 2026'!L$6)</f>
        <v>0</v>
      </c>
      <c r="M13" s="147">
        <f>COUNTIFS('2026 Time Off Request'!$A:$A,'Feb 2026'!$D13,'2026 Time Off Request'!$L:$L,'Feb 2026'!M$6)</f>
        <v>0</v>
      </c>
      <c r="N13" s="148">
        <f>COUNTIFS('2026 Time Off Request'!$A:$A,'Feb 2026'!$D13,'2026 Time Off Request'!$L:$L,'Feb 2026'!N$6)</f>
        <v>0</v>
      </c>
      <c r="O13" s="148">
        <f>COUNTIFS('2026 Time Off Request'!$A:$A,'Feb 2026'!$D13,'2026 Time Off Request'!$L:$L,'Feb 2026'!O$6)</f>
        <v>0</v>
      </c>
      <c r="P13" s="148">
        <f>COUNTIFS('2026 Time Off Request'!$A:$A,'Feb 2026'!$D13,'2026 Time Off Request'!$L:$L,'Feb 2026'!P$6)</f>
        <v>0</v>
      </c>
      <c r="Q13" s="148">
        <f>COUNTIFS('2026 Time Off Request'!$A:$A,'Feb 2026'!$D13,'2026 Time Off Request'!$L:$L,'Feb 2026'!Q$6)</f>
        <v>0</v>
      </c>
      <c r="R13" s="148">
        <f>COUNTIFS('2026 Time Off Request'!$A:$A,'Feb 2026'!$D13,'2026 Time Off Request'!$L:$L,'Feb 2026'!R$6)</f>
        <v>0</v>
      </c>
      <c r="S13" s="147">
        <f>COUNTIFS('2026 Time Off Request'!$A:$A,'Feb 2026'!$D13,'2026 Time Off Request'!$L:$L,'Feb 2026'!S$6)</f>
        <v>0</v>
      </c>
      <c r="T13" s="147">
        <f>COUNTIFS('2026 Time Off Request'!$A:$A,'Feb 2026'!$D13,'2026 Time Off Request'!$L:$L,'Feb 2026'!T$6)</f>
        <v>0</v>
      </c>
      <c r="U13" s="214">
        <f>COUNTIFS('2026 Time Off Request'!$A:$A,'Feb 2026'!$D13,'2026 Time Off Request'!$L:$L,'Feb 2026'!U$6)</f>
        <v>0</v>
      </c>
      <c r="V13" s="148">
        <f>COUNTIFS('2026 Time Off Request'!$A:$A,'Feb 2026'!$D13,'2026 Time Off Request'!$L:$L,'Feb 2026'!V$6)</f>
        <v>0</v>
      </c>
      <c r="W13" s="148">
        <f>COUNTIFS('2026 Time Off Request'!$A:$A,'Feb 2026'!$D13,'2026 Time Off Request'!$L:$L,'Feb 2026'!W$6)</f>
        <v>0</v>
      </c>
      <c r="X13" s="148">
        <f>COUNTIFS('2026 Time Off Request'!$A:$A,'Feb 2026'!$D13,'2026 Time Off Request'!$L:$L,'Feb 2026'!X$6)</f>
        <v>0</v>
      </c>
      <c r="Y13" s="148">
        <f>COUNTIFS('2026 Time Off Request'!$A:$A,'Feb 2026'!$D13,'2026 Time Off Request'!$L:$L,'Feb 2026'!Y$6)</f>
        <v>0</v>
      </c>
      <c r="Z13" s="147">
        <f>COUNTIFS('2026 Time Off Request'!$A:$A,'Feb 2026'!$D13,'2026 Time Off Request'!$L:$L,'Feb 2026'!Z$6)</f>
        <v>0</v>
      </c>
      <c r="AA13" s="147">
        <f>COUNTIFS('2026 Time Off Request'!$A:$A,'Feb 2026'!$D13,'2026 Time Off Request'!$L:$L,'Feb 2026'!AA$6)</f>
        <v>0</v>
      </c>
      <c r="AB13" s="148">
        <f>COUNTIFS('2026 Time Off Request'!$A:$A,'Feb 2026'!$D13,'2026 Time Off Request'!$L:$L,'Feb 2026'!AB$6)</f>
        <v>0</v>
      </c>
      <c r="AC13" s="148">
        <f>COUNTIFS('2026 Time Off Request'!$A:$A,'Feb 2026'!$D13,'2026 Time Off Request'!$L:$L,'Feb 2026'!AC$6)</f>
        <v>0</v>
      </c>
      <c r="AD13" s="148">
        <f>COUNTIFS('2026 Time Off Request'!$A:$A,'Feb 2026'!$D13,'2026 Time Off Request'!$L:$L,'Feb 2026'!AD$6)</f>
        <v>0</v>
      </c>
      <c r="AE13" s="148">
        <f>COUNTIFS('2026 Time Off Request'!$A:$A,'Feb 2026'!$D13,'2026 Time Off Request'!$L:$L,'Feb 2026'!AE$6)</f>
        <v>0</v>
      </c>
      <c r="AF13" s="148">
        <f>COUNTIFS('2026 Time Off Request'!$A:$A,'Feb 2026'!$D13,'2026 Time Off Request'!$L:$L,'Feb 2026'!AF$6)</f>
        <v>0</v>
      </c>
      <c r="AG13" s="147">
        <f>COUNTIFS('2026 Time Off Request'!$A:$A,'Feb 2026'!$D13,'2026 Time Off Request'!$L:$L,'Feb 2026'!AG$6)</f>
        <v>0</v>
      </c>
    </row>
    <row r="14" spans="1:38" ht="15.6" customHeight="1">
      <c r="A14" s="2">
        <v>7</v>
      </c>
      <c r="B14" s="209" t="s">
        <v>36</v>
      </c>
      <c r="C14" s="210" t="s">
        <v>37</v>
      </c>
      <c r="D14" s="215" t="s">
        <v>39</v>
      </c>
      <c r="E14" s="212">
        <f t="shared" si="2"/>
        <v>0</v>
      </c>
      <c r="F14" s="213">
        <f>COUNTIFS('2026 Time Off Request'!$A:$A,'Feb 2026'!$D14,'2026 Time Off Request'!$L:$L,'Feb 2026'!F$6)</f>
        <v>0</v>
      </c>
      <c r="G14" s="148">
        <f>COUNTIFS('2026 Time Off Request'!$A:$A,'Feb 2026'!$D14,'2026 Time Off Request'!$L:$L,'Feb 2026'!G$6)</f>
        <v>0</v>
      </c>
      <c r="H14" s="148">
        <f>COUNTIFS('2026 Time Off Request'!$A:$A,'Feb 2026'!$D14,'2026 Time Off Request'!$L:$L,'Feb 2026'!H$6)</f>
        <v>0</v>
      </c>
      <c r="I14" s="148">
        <f>COUNTIFS('2026 Time Off Request'!$A:$A,'Feb 2026'!$D14,'2026 Time Off Request'!$L:$L,'Feb 2026'!I$6)</f>
        <v>0</v>
      </c>
      <c r="J14" s="148">
        <f>COUNTIFS('2026 Time Off Request'!$A:$A,'Feb 2026'!$D14,'2026 Time Off Request'!$L:$L,'Feb 2026'!J$6)</f>
        <v>0</v>
      </c>
      <c r="K14" s="148">
        <f>COUNTIFS('2026 Time Off Request'!$A:$A,'Feb 2026'!$D14,'2026 Time Off Request'!$L:$L,'Feb 2026'!K$6)</f>
        <v>0</v>
      </c>
      <c r="L14" s="147">
        <f>COUNTIFS('2026 Time Off Request'!$A:$A,'Feb 2026'!$D14,'2026 Time Off Request'!$L:$L,'Feb 2026'!L$6)</f>
        <v>0</v>
      </c>
      <c r="M14" s="147">
        <f>COUNTIFS('2026 Time Off Request'!$A:$A,'Feb 2026'!$D14,'2026 Time Off Request'!$L:$L,'Feb 2026'!M$6)</f>
        <v>0</v>
      </c>
      <c r="N14" s="148">
        <f>COUNTIFS('2026 Time Off Request'!$A:$A,'Feb 2026'!$D14,'2026 Time Off Request'!$L:$L,'Feb 2026'!N$6)</f>
        <v>0</v>
      </c>
      <c r="O14" s="148">
        <f>COUNTIFS('2026 Time Off Request'!$A:$A,'Feb 2026'!$D14,'2026 Time Off Request'!$L:$L,'Feb 2026'!O$6)</f>
        <v>0</v>
      </c>
      <c r="P14" s="148">
        <f>COUNTIFS('2026 Time Off Request'!$A:$A,'Feb 2026'!$D14,'2026 Time Off Request'!$L:$L,'Feb 2026'!P$6)</f>
        <v>0</v>
      </c>
      <c r="Q14" s="148">
        <f>COUNTIFS('2026 Time Off Request'!$A:$A,'Feb 2026'!$D14,'2026 Time Off Request'!$L:$L,'Feb 2026'!Q$6)</f>
        <v>0</v>
      </c>
      <c r="R14" s="148">
        <f>COUNTIFS('2026 Time Off Request'!$A:$A,'Feb 2026'!$D14,'2026 Time Off Request'!$L:$L,'Feb 2026'!R$6)</f>
        <v>0</v>
      </c>
      <c r="S14" s="147">
        <f>COUNTIFS('2026 Time Off Request'!$A:$A,'Feb 2026'!$D14,'2026 Time Off Request'!$L:$L,'Feb 2026'!S$6)</f>
        <v>0</v>
      </c>
      <c r="T14" s="147">
        <f>COUNTIFS('2026 Time Off Request'!$A:$A,'Feb 2026'!$D14,'2026 Time Off Request'!$L:$L,'Feb 2026'!T$6)</f>
        <v>0</v>
      </c>
      <c r="U14" s="214">
        <f>COUNTIFS('2026 Time Off Request'!$A:$A,'Feb 2026'!$D14,'2026 Time Off Request'!$L:$L,'Feb 2026'!U$6)</f>
        <v>0</v>
      </c>
      <c r="V14" s="148">
        <f>COUNTIFS('2026 Time Off Request'!$A:$A,'Feb 2026'!$D14,'2026 Time Off Request'!$L:$L,'Feb 2026'!V$6)</f>
        <v>0</v>
      </c>
      <c r="W14" s="148">
        <f>COUNTIFS('2026 Time Off Request'!$A:$A,'Feb 2026'!$D14,'2026 Time Off Request'!$L:$L,'Feb 2026'!W$6)</f>
        <v>0</v>
      </c>
      <c r="X14" s="148">
        <f>COUNTIFS('2026 Time Off Request'!$A:$A,'Feb 2026'!$D14,'2026 Time Off Request'!$L:$L,'Feb 2026'!X$6)</f>
        <v>0</v>
      </c>
      <c r="Y14" s="148">
        <f>COUNTIFS('2026 Time Off Request'!$A:$A,'Feb 2026'!$D14,'2026 Time Off Request'!$L:$L,'Feb 2026'!Y$6)</f>
        <v>0</v>
      </c>
      <c r="Z14" s="147">
        <f>COUNTIFS('2026 Time Off Request'!$A:$A,'Feb 2026'!$D14,'2026 Time Off Request'!$L:$L,'Feb 2026'!Z$6)</f>
        <v>0</v>
      </c>
      <c r="AA14" s="147">
        <f>COUNTIFS('2026 Time Off Request'!$A:$A,'Feb 2026'!$D14,'2026 Time Off Request'!$L:$L,'Feb 2026'!AA$6)</f>
        <v>0</v>
      </c>
      <c r="AB14" s="148">
        <f>COUNTIFS('2026 Time Off Request'!$A:$A,'Feb 2026'!$D14,'2026 Time Off Request'!$L:$L,'Feb 2026'!AB$6)</f>
        <v>0</v>
      </c>
      <c r="AC14" s="148">
        <f>COUNTIFS('2026 Time Off Request'!$A:$A,'Feb 2026'!$D14,'2026 Time Off Request'!$L:$L,'Feb 2026'!AC$6)</f>
        <v>0</v>
      </c>
      <c r="AD14" s="148">
        <f>COUNTIFS('2026 Time Off Request'!$A:$A,'Feb 2026'!$D14,'2026 Time Off Request'!$L:$L,'Feb 2026'!AD$6)</f>
        <v>0</v>
      </c>
      <c r="AE14" s="148">
        <f>COUNTIFS('2026 Time Off Request'!$A:$A,'Feb 2026'!$D14,'2026 Time Off Request'!$L:$L,'Feb 2026'!AE$6)</f>
        <v>0</v>
      </c>
      <c r="AF14" s="148">
        <f>COUNTIFS('2026 Time Off Request'!$A:$A,'Feb 2026'!$D14,'2026 Time Off Request'!$L:$L,'Feb 2026'!AF$6)</f>
        <v>0</v>
      </c>
      <c r="AG14" s="147">
        <f>COUNTIFS('2026 Time Off Request'!$A:$A,'Feb 2026'!$D14,'2026 Time Off Request'!$L:$L,'Feb 2026'!AG$6)</f>
        <v>0</v>
      </c>
    </row>
    <row r="15" spans="1:38" ht="15.6" customHeight="1">
      <c r="A15" s="2">
        <v>8</v>
      </c>
      <c r="B15" s="209" t="s">
        <v>36</v>
      </c>
      <c r="C15" s="210" t="s">
        <v>37</v>
      </c>
      <c r="D15" s="215" t="s">
        <v>40</v>
      </c>
      <c r="E15" s="212">
        <f t="shared" si="2"/>
        <v>6</v>
      </c>
      <c r="F15" s="213">
        <f>COUNTIFS('2026 Time Off Request'!$A:$A,'Feb 2026'!$D15,'2026 Time Off Request'!$L:$L,'Feb 2026'!F$6)</f>
        <v>0</v>
      </c>
      <c r="G15" s="148">
        <f>COUNTIFS('2026 Time Off Request'!$A:$A,'Feb 2026'!$D15,'2026 Time Off Request'!$L:$L,'Feb 2026'!G$6)</f>
        <v>0</v>
      </c>
      <c r="H15" s="148">
        <f>COUNTIFS('2026 Time Off Request'!$A:$A,'Feb 2026'!$D15,'2026 Time Off Request'!$L:$L,'Feb 2026'!H$6)</f>
        <v>0</v>
      </c>
      <c r="I15" s="148">
        <f>COUNTIFS('2026 Time Off Request'!$A:$A,'Feb 2026'!$D15,'2026 Time Off Request'!$L:$L,'Feb 2026'!I$6)</f>
        <v>0</v>
      </c>
      <c r="J15" s="148">
        <f>COUNTIFS('2026 Time Off Request'!$A:$A,'Feb 2026'!$D15,'2026 Time Off Request'!$L:$L,'Feb 2026'!J$6)</f>
        <v>0</v>
      </c>
      <c r="K15" s="148">
        <f>COUNTIFS('2026 Time Off Request'!$A:$A,'Feb 2026'!$D15,'2026 Time Off Request'!$L:$L,'Feb 2026'!K$6)</f>
        <v>0</v>
      </c>
      <c r="L15" s="147">
        <f>COUNTIFS('2026 Time Off Request'!$A:$A,'Feb 2026'!$D15,'2026 Time Off Request'!$L:$L,'Feb 2026'!L$6)</f>
        <v>0</v>
      </c>
      <c r="M15" s="147">
        <f>COUNTIFS('2026 Time Off Request'!$A:$A,'Feb 2026'!$D15,'2026 Time Off Request'!$L:$L,'Feb 2026'!M$6)</f>
        <v>0</v>
      </c>
      <c r="N15" s="148">
        <f>COUNTIFS('2026 Time Off Request'!$A:$A,'Feb 2026'!$D15,'2026 Time Off Request'!$L:$L,'Feb 2026'!N$6)</f>
        <v>1</v>
      </c>
      <c r="O15" s="148">
        <f>COUNTIFS('2026 Time Off Request'!$A:$A,'Feb 2026'!$D15,'2026 Time Off Request'!$L:$L,'Feb 2026'!O$6)</f>
        <v>1</v>
      </c>
      <c r="P15" s="148">
        <f>COUNTIFS('2026 Time Off Request'!$A:$A,'Feb 2026'!$D15,'2026 Time Off Request'!$L:$L,'Feb 2026'!P$6)</f>
        <v>1</v>
      </c>
      <c r="Q15" s="148">
        <f>COUNTIFS('2026 Time Off Request'!$A:$A,'Feb 2026'!$D15,'2026 Time Off Request'!$L:$L,'Feb 2026'!Q$6)</f>
        <v>1</v>
      </c>
      <c r="R15" s="148">
        <f>COUNTIFS('2026 Time Off Request'!$A:$A,'Feb 2026'!$D15,'2026 Time Off Request'!$L:$L,'Feb 2026'!R$6)</f>
        <v>0</v>
      </c>
      <c r="S15" s="147">
        <f>COUNTIFS('2026 Time Off Request'!$A:$A,'Feb 2026'!$D15,'2026 Time Off Request'!$L:$L,'Feb 2026'!S$6)</f>
        <v>0</v>
      </c>
      <c r="T15" s="147">
        <f>COUNTIFS('2026 Time Off Request'!$A:$A,'Feb 2026'!$D15,'2026 Time Off Request'!$L:$L,'Feb 2026'!T$6)</f>
        <v>0</v>
      </c>
      <c r="U15" s="214">
        <f>COUNTIFS('2026 Time Off Request'!$A:$A,'Feb 2026'!$D15,'2026 Time Off Request'!$L:$L,'Feb 2026'!U$6)</f>
        <v>0</v>
      </c>
      <c r="V15" s="148">
        <f>COUNTIFS('2026 Time Off Request'!$A:$A,'Feb 2026'!$D15,'2026 Time Off Request'!$L:$L,'Feb 2026'!V$6)</f>
        <v>1</v>
      </c>
      <c r="W15" s="148">
        <f>COUNTIFS('2026 Time Off Request'!$A:$A,'Feb 2026'!$D15,'2026 Time Off Request'!$L:$L,'Feb 2026'!W$6)</f>
        <v>1</v>
      </c>
      <c r="X15" s="148">
        <f>COUNTIFS('2026 Time Off Request'!$A:$A,'Feb 2026'!$D15,'2026 Time Off Request'!$L:$L,'Feb 2026'!X$6)</f>
        <v>0</v>
      </c>
      <c r="Y15" s="148">
        <f>COUNTIFS('2026 Time Off Request'!$A:$A,'Feb 2026'!$D15,'2026 Time Off Request'!$L:$L,'Feb 2026'!Y$6)</f>
        <v>0</v>
      </c>
      <c r="Z15" s="147">
        <f>COUNTIFS('2026 Time Off Request'!$A:$A,'Feb 2026'!$D15,'2026 Time Off Request'!$L:$L,'Feb 2026'!Z$6)</f>
        <v>0</v>
      </c>
      <c r="AA15" s="147">
        <f>COUNTIFS('2026 Time Off Request'!$A:$A,'Feb 2026'!$D15,'2026 Time Off Request'!$L:$L,'Feb 2026'!AA$6)</f>
        <v>0</v>
      </c>
      <c r="AB15" s="148">
        <f>COUNTIFS('2026 Time Off Request'!$A:$A,'Feb 2026'!$D15,'2026 Time Off Request'!$L:$L,'Feb 2026'!AB$6)</f>
        <v>0</v>
      </c>
      <c r="AC15" s="148">
        <f>COUNTIFS('2026 Time Off Request'!$A:$A,'Feb 2026'!$D15,'2026 Time Off Request'!$L:$L,'Feb 2026'!AC$6)</f>
        <v>0</v>
      </c>
      <c r="AD15" s="148">
        <f>COUNTIFS('2026 Time Off Request'!$A:$A,'Feb 2026'!$D15,'2026 Time Off Request'!$L:$L,'Feb 2026'!AD$6)</f>
        <v>0</v>
      </c>
      <c r="AE15" s="148">
        <f>COUNTIFS('2026 Time Off Request'!$A:$A,'Feb 2026'!$D15,'2026 Time Off Request'!$L:$L,'Feb 2026'!AE$6)</f>
        <v>0</v>
      </c>
      <c r="AF15" s="148">
        <f>COUNTIFS('2026 Time Off Request'!$A:$A,'Feb 2026'!$D15,'2026 Time Off Request'!$L:$L,'Feb 2026'!AF$6)</f>
        <v>0</v>
      </c>
      <c r="AG15" s="147">
        <f>COUNTIFS('2026 Time Off Request'!$A:$A,'Feb 2026'!$D15,'2026 Time Off Request'!$L:$L,'Feb 2026'!AG$6)</f>
        <v>0</v>
      </c>
    </row>
    <row r="16" spans="1:38" ht="15.6" customHeight="1">
      <c r="A16" s="2">
        <v>9</v>
      </c>
      <c r="B16" s="209" t="s">
        <v>36</v>
      </c>
      <c r="C16" s="210" t="s">
        <v>37</v>
      </c>
      <c r="D16" s="215" t="s">
        <v>41</v>
      </c>
      <c r="E16" s="212">
        <f t="shared" si="2"/>
        <v>0</v>
      </c>
      <c r="F16" s="213">
        <f>COUNTIFS('2026 Time Off Request'!$A:$A,'Feb 2026'!$D16,'2026 Time Off Request'!$L:$L,'Feb 2026'!F$6)</f>
        <v>0</v>
      </c>
      <c r="G16" s="148">
        <f>COUNTIFS('2026 Time Off Request'!$A:$A,'Feb 2026'!$D16,'2026 Time Off Request'!$L:$L,'Feb 2026'!G$6)</f>
        <v>0</v>
      </c>
      <c r="H16" s="148">
        <f>COUNTIFS('2026 Time Off Request'!$A:$A,'Feb 2026'!$D16,'2026 Time Off Request'!$L:$L,'Feb 2026'!H$6)</f>
        <v>0</v>
      </c>
      <c r="I16" s="148">
        <f>COUNTIFS('2026 Time Off Request'!$A:$A,'Feb 2026'!$D16,'2026 Time Off Request'!$L:$L,'Feb 2026'!I$6)</f>
        <v>0</v>
      </c>
      <c r="J16" s="148">
        <f>COUNTIFS('2026 Time Off Request'!$A:$A,'Feb 2026'!$D16,'2026 Time Off Request'!$L:$L,'Feb 2026'!J$6)</f>
        <v>0</v>
      </c>
      <c r="K16" s="148">
        <f>COUNTIFS('2026 Time Off Request'!$A:$A,'Feb 2026'!$D16,'2026 Time Off Request'!$L:$L,'Feb 2026'!K$6)</f>
        <v>0</v>
      </c>
      <c r="L16" s="147">
        <f>COUNTIFS('2026 Time Off Request'!$A:$A,'Feb 2026'!$D16,'2026 Time Off Request'!$L:$L,'Feb 2026'!L$6)</f>
        <v>0</v>
      </c>
      <c r="M16" s="147">
        <f>COUNTIFS('2026 Time Off Request'!$A:$A,'Feb 2026'!$D16,'2026 Time Off Request'!$L:$L,'Feb 2026'!M$6)</f>
        <v>0</v>
      </c>
      <c r="N16" s="148">
        <f>COUNTIFS('2026 Time Off Request'!$A:$A,'Feb 2026'!$D16,'2026 Time Off Request'!$L:$L,'Feb 2026'!N$6)</f>
        <v>0</v>
      </c>
      <c r="O16" s="148">
        <f>COUNTIFS('2026 Time Off Request'!$A:$A,'Feb 2026'!$D16,'2026 Time Off Request'!$L:$L,'Feb 2026'!O$6)</f>
        <v>0</v>
      </c>
      <c r="P16" s="148">
        <f>COUNTIFS('2026 Time Off Request'!$A:$A,'Feb 2026'!$D16,'2026 Time Off Request'!$L:$L,'Feb 2026'!P$6)</f>
        <v>0</v>
      </c>
      <c r="Q16" s="148">
        <f>COUNTIFS('2026 Time Off Request'!$A:$A,'Feb 2026'!$D16,'2026 Time Off Request'!$L:$L,'Feb 2026'!Q$6)</f>
        <v>0</v>
      </c>
      <c r="R16" s="148">
        <f>COUNTIFS('2026 Time Off Request'!$A:$A,'Feb 2026'!$D16,'2026 Time Off Request'!$L:$L,'Feb 2026'!R$6)</f>
        <v>0</v>
      </c>
      <c r="S16" s="147">
        <f>COUNTIFS('2026 Time Off Request'!$A:$A,'Feb 2026'!$D16,'2026 Time Off Request'!$L:$L,'Feb 2026'!S$6)</f>
        <v>0</v>
      </c>
      <c r="T16" s="147">
        <f>COUNTIFS('2026 Time Off Request'!$A:$A,'Feb 2026'!$D16,'2026 Time Off Request'!$L:$L,'Feb 2026'!T$6)</f>
        <v>0</v>
      </c>
      <c r="U16" s="214">
        <f>COUNTIFS('2026 Time Off Request'!$A:$A,'Feb 2026'!$D16,'2026 Time Off Request'!$L:$L,'Feb 2026'!U$6)</f>
        <v>0</v>
      </c>
      <c r="V16" s="148">
        <f>COUNTIFS('2026 Time Off Request'!$A:$A,'Feb 2026'!$D16,'2026 Time Off Request'!$L:$L,'Feb 2026'!V$6)</f>
        <v>0</v>
      </c>
      <c r="W16" s="148">
        <f>COUNTIFS('2026 Time Off Request'!$A:$A,'Feb 2026'!$D16,'2026 Time Off Request'!$L:$L,'Feb 2026'!W$6)</f>
        <v>0</v>
      </c>
      <c r="X16" s="148">
        <f>COUNTIFS('2026 Time Off Request'!$A:$A,'Feb 2026'!$D16,'2026 Time Off Request'!$L:$L,'Feb 2026'!X$6)</f>
        <v>0</v>
      </c>
      <c r="Y16" s="148">
        <f>COUNTIFS('2026 Time Off Request'!$A:$A,'Feb 2026'!$D16,'2026 Time Off Request'!$L:$L,'Feb 2026'!Y$6)</f>
        <v>0</v>
      </c>
      <c r="Z16" s="147">
        <f>COUNTIFS('2026 Time Off Request'!$A:$A,'Feb 2026'!$D16,'2026 Time Off Request'!$L:$L,'Feb 2026'!Z$6)</f>
        <v>0</v>
      </c>
      <c r="AA16" s="147">
        <f>COUNTIFS('2026 Time Off Request'!$A:$A,'Feb 2026'!$D16,'2026 Time Off Request'!$L:$L,'Feb 2026'!AA$6)</f>
        <v>0</v>
      </c>
      <c r="AB16" s="148">
        <f>COUNTIFS('2026 Time Off Request'!$A:$A,'Feb 2026'!$D16,'2026 Time Off Request'!$L:$L,'Feb 2026'!AB$6)</f>
        <v>0</v>
      </c>
      <c r="AC16" s="148">
        <f>COUNTIFS('2026 Time Off Request'!$A:$A,'Feb 2026'!$D16,'2026 Time Off Request'!$L:$L,'Feb 2026'!AC$6)</f>
        <v>0</v>
      </c>
      <c r="AD16" s="148">
        <f>COUNTIFS('2026 Time Off Request'!$A:$A,'Feb 2026'!$D16,'2026 Time Off Request'!$L:$L,'Feb 2026'!AD$6)</f>
        <v>0</v>
      </c>
      <c r="AE16" s="148">
        <f>COUNTIFS('2026 Time Off Request'!$A:$A,'Feb 2026'!$D16,'2026 Time Off Request'!$L:$L,'Feb 2026'!AE$6)</f>
        <v>0</v>
      </c>
      <c r="AF16" s="148">
        <f>COUNTIFS('2026 Time Off Request'!$A:$A,'Feb 2026'!$D16,'2026 Time Off Request'!$L:$L,'Feb 2026'!AF$6)</f>
        <v>0</v>
      </c>
      <c r="AG16" s="147">
        <f>COUNTIFS('2026 Time Off Request'!$A:$A,'Feb 2026'!$D16,'2026 Time Off Request'!$L:$L,'Feb 2026'!AG$6)</f>
        <v>0</v>
      </c>
    </row>
    <row r="17" spans="1:33" ht="15.6" customHeight="1">
      <c r="A17" s="2">
        <v>10</v>
      </c>
      <c r="B17" s="209" t="s">
        <v>36</v>
      </c>
      <c r="C17" s="210" t="s">
        <v>37</v>
      </c>
      <c r="D17" s="215" t="s">
        <v>42</v>
      </c>
      <c r="E17" s="212">
        <f t="shared" si="2"/>
        <v>0</v>
      </c>
      <c r="F17" s="213">
        <f>COUNTIFS('2026 Time Off Request'!$A:$A,'Feb 2026'!$D17,'2026 Time Off Request'!$L:$L,'Feb 2026'!F$6)</f>
        <v>0</v>
      </c>
      <c r="G17" s="148">
        <f>COUNTIFS('2026 Time Off Request'!$A:$A,'Feb 2026'!$D17,'2026 Time Off Request'!$L:$L,'Feb 2026'!G$6)</f>
        <v>0</v>
      </c>
      <c r="H17" s="148">
        <f>COUNTIFS('2026 Time Off Request'!$A:$A,'Feb 2026'!$D17,'2026 Time Off Request'!$L:$L,'Feb 2026'!H$6)</f>
        <v>0</v>
      </c>
      <c r="I17" s="148">
        <f>COUNTIFS('2026 Time Off Request'!$A:$A,'Feb 2026'!$D17,'2026 Time Off Request'!$L:$L,'Feb 2026'!I$6)</f>
        <v>0</v>
      </c>
      <c r="J17" s="148">
        <f>COUNTIFS('2026 Time Off Request'!$A:$A,'Feb 2026'!$D17,'2026 Time Off Request'!$L:$L,'Feb 2026'!J$6)</f>
        <v>0</v>
      </c>
      <c r="K17" s="148">
        <f>COUNTIFS('2026 Time Off Request'!$A:$A,'Feb 2026'!$D17,'2026 Time Off Request'!$L:$L,'Feb 2026'!K$6)</f>
        <v>0</v>
      </c>
      <c r="L17" s="147">
        <f>COUNTIFS('2026 Time Off Request'!$A:$A,'Feb 2026'!$D17,'2026 Time Off Request'!$L:$L,'Feb 2026'!L$6)</f>
        <v>0</v>
      </c>
      <c r="M17" s="147">
        <f>COUNTIFS('2026 Time Off Request'!$A:$A,'Feb 2026'!$D17,'2026 Time Off Request'!$L:$L,'Feb 2026'!M$6)</f>
        <v>0</v>
      </c>
      <c r="N17" s="148">
        <f>COUNTIFS('2026 Time Off Request'!$A:$A,'Feb 2026'!$D17,'2026 Time Off Request'!$L:$L,'Feb 2026'!N$6)</f>
        <v>0</v>
      </c>
      <c r="O17" s="148">
        <f>COUNTIFS('2026 Time Off Request'!$A:$A,'Feb 2026'!$D17,'2026 Time Off Request'!$L:$L,'Feb 2026'!O$6)</f>
        <v>0</v>
      </c>
      <c r="P17" s="148">
        <f>COUNTIFS('2026 Time Off Request'!$A:$A,'Feb 2026'!$D17,'2026 Time Off Request'!$L:$L,'Feb 2026'!P$6)</f>
        <v>0</v>
      </c>
      <c r="Q17" s="148">
        <f>COUNTIFS('2026 Time Off Request'!$A:$A,'Feb 2026'!$D17,'2026 Time Off Request'!$L:$L,'Feb 2026'!Q$6)</f>
        <v>0</v>
      </c>
      <c r="R17" s="148">
        <f>COUNTIFS('2026 Time Off Request'!$A:$A,'Feb 2026'!$D17,'2026 Time Off Request'!$L:$L,'Feb 2026'!R$6)</f>
        <v>0</v>
      </c>
      <c r="S17" s="147">
        <f>COUNTIFS('2026 Time Off Request'!$A:$A,'Feb 2026'!$D17,'2026 Time Off Request'!$L:$L,'Feb 2026'!S$6)</f>
        <v>0</v>
      </c>
      <c r="T17" s="147">
        <f>COUNTIFS('2026 Time Off Request'!$A:$A,'Feb 2026'!$D17,'2026 Time Off Request'!$L:$L,'Feb 2026'!T$6)</f>
        <v>0</v>
      </c>
      <c r="U17" s="214">
        <f>COUNTIFS('2026 Time Off Request'!$A:$A,'Feb 2026'!$D17,'2026 Time Off Request'!$L:$L,'Feb 2026'!U$6)</f>
        <v>0</v>
      </c>
      <c r="V17" s="148">
        <f>COUNTIFS('2026 Time Off Request'!$A:$A,'Feb 2026'!$D17,'2026 Time Off Request'!$L:$L,'Feb 2026'!V$6)</f>
        <v>0</v>
      </c>
      <c r="W17" s="148">
        <f>COUNTIFS('2026 Time Off Request'!$A:$A,'Feb 2026'!$D17,'2026 Time Off Request'!$L:$L,'Feb 2026'!W$6)</f>
        <v>0</v>
      </c>
      <c r="X17" s="148">
        <f>COUNTIFS('2026 Time Off Request'!$A:$A,'Feb 2026'!$D17,'2026 Time Off Request'!$L:$L,'Feb 2026'!X$6)</f>
        <v>0</v>
      </c>
      <c r="Y17" s="148">
        <f>COUNTIFS('2026 Time Off Request'!$A:$A,'Feb 2026'!$D17,'2026 Time Off Request'!$L:$L,'Feb 2026'!Y$6)</f>
        <v>0</v>
      </c>
      <c r="Z17" s="147">
        <f>COUNTIFS('2026 Time Off Request'!$A:$A,'Feb 2026'!$D17,'2026 Time Off Request'!$L:$L,'Feb 2026'!Z$6)</f>
        <v>0</v>
      </c>
      <c r="AA17" s="147">
        <f>COUNTIFS('2026 Time Off Request'!$A:$A,'Feb 2026'!$D17,'2026 Time Off Request'!$L:$L,'Feb 2026'!AA$6)</f>
        <v>0</v>
      </c>
      <c r="AB17" s="148">
        <f>COUNTIFS('2026 Time Off Request'!$A:$A,'Feb 2026'!$D17,'2026 Time Off Request'!$L:$L,'Feb 2026'!AB$6)</f>
        <v>0</v>
      </c>
      <c r="AC17" s="148">
        <f>COUNTIFS('2026 Time Off Request'!$A:$A,'Feb 2026'!$D17,'2026 Time Off Request'!$L:$L,'Feb 2026'!AC$6)</f>
        <v>0</v>
      </c>
      <c r="AD17" s="148">
        <f>COUNTIFS('2026 Time Off Request'!$A:$A,'Feb 2026'!$D17,'2026 Time Off Request'!$L:$L,'Feb 2026'!AD$6)</f>
        <v>0</v>
      </c>
      <c r="AE17" s="148">
        <f>COUNTIFS('2026 Time Off Request'!$A:$A,'Feb 2026'!$D17,'2026 Time Off Request'!$L:$L,'Feb 2026'!AE$6)</f>
        <v>0</v>
      </c>
      <c r="AF17" s="148">
        <f>COUNTIFS('2026 Time Off Request'!$A:$A,'Feb 2026'!$D17,'2026 Time Off Request'!$L:$L,'Feb 2026'!AF$6)</f>
        <v>0</v>
      </c>
      <c r="AG17" s="147">
        <f>COUNTIFS('2026 Time Off Request'!$A:$A,'Feb 2026'!$D17,'2026 Time Off Request'!$L:$L,'Feb 2026'!AG$6)</f>
        <v>0</v>
      </c>
    </row>
    <row r="18" spans="1:33" ht="15.6" customHeight="1">
      <c r="A18" s="2">
        <v>11</v>
      </c>
      <c r="B18" s="209" t="s">
        <v>36</v>
      </c>
      <c r="C18" s="210" t="s">
        <v>37</v>
      </c>
      <c r="D18" s="215" t="s">
        <v>43</v>
      </c>
      <c r="E18" s="212">
        <f t="shared" si="2"/>
        <v>2</v>
      </c>
      <c r="F18" s="213">
        <f>COUNTIFS('2026 Time Off Request'!$A:$A,'Feb 2026'!$D18,'2026 Time Off Request'!$L:$L,'Feb 2026'!F$6)</f>
        <v>0</v>
      </c>
      <c r="G18" s="148">
        <f>COUNTIFS('2026 Time Off Request'!$A:$A,'Feb 2026'!$D18,'2026 Time Off Request'!$L:$L,'Feb 2026'!G$6)</f>
        <v>0</v>
      </c>
      <c r="H18" s="148">
        <f>COUNTIFS('2026 Time Off Request'!$A:$A,'Feb 2026'!$D18,'2026 Time Off Request'!$L:$L,'Feb 2026'!H$6)</f>
        <v>0</v>
      </c>
      <c r="I18" s="148">
        <f>COUNTIFS('2026 Time Off Request'!$A:$A,'Feb 2026'!$D18,'2026 Time Off Request'!$L:$L,'Feb 2026'!I$6)</f>
        <v>0</v>
      </c>
      <c r="J18" s="148">
        <f>COUNTIFS('2026 Time Off Request'!$A:$A,'Feb 2026'!$D18,'2026 Time Off Request'!$L:$L,'Feb 2026'!J$6)</f>
        <v>0</v>
      </c>
      <c r="K18" s="148">
        <f>COUNTIFS('2026 Time Off Request'!$A:$A,'Feb 2026'!$D18,'2026 Time Off Request'!$L:$L,'Feb 2026'!K$6)</f>
        <v>0</v>
      </c>
      <c r="L18" s="147">
        <f>COUNTIFS('2026 Time Off Request'!$A:$A,'Feb 2026'!$D18,'2026 Time Off Request'!$L:$L,'Feb 2026'!L$6)</f>
        <v>0</v>
      </c>
      <c r="M18" s="147">
        <f>COUNTIFS('2026 Time Off Request'!$A:$A,'Feb 2026'!$D18,'2026 Time Off Request'!$L:$L,'Feb 2026'!M$6)</f>
        <v>0</v>
      </c>
      <c r="N18" s="148">
        <f>COUNTIFS('2026 Time Off Request'!$A:$A,'Feb 2026'!$D18,'2026 Time Off Request'!$L:$L,'Feb 2026'!N$6)</f>
        <v>1</v>
      </c>
      <c r="O18" s="148">
        <f>COUNTIFS('2026 Time Off Request'!$A:$A,'Feb 2026'!$D18,'2026 Time Off Request'!$L:$L,'Feb 2026'!O$6)</f>
        <v>0</v>
      </c>
      <c r="P18" s="148">
        <f>COUNTIFS('2026 Time Off Request'!$A:$A,'Feb 2026'!$D18,'2026 Time Off Request'!$L:$L,'Feb 2026'!P$6)</f>
        <v>0</v>
      </c>
      <c r="Q18" s="148">
        <f>COUNTIFS('2026 Time Off Request'!$A:$A,'Feb 2026'!$D18,'2026 Time Off Request'!$L:$L,'Feb 2026'!Q$6)</f>
        <v>0</v>
      </c>
      <c r="R18" s="148">
        <f>COUNTIFS('2026 Time Off Request'!$A:$A,'Feb 2026'!$D18,'2026 Time Off Request'!$L:$L,'Feb 2026'!R$6)</f>
        <v>0</v>
      </c>
      <c r="S18" s="147">
        <f>COUNTIFS('2026 Time Off Request'!$A:$A,'Feb 2026'!$D18,'2026 Time Off Request'!$L:$L,'Feb 2026'!S$6)</f>
        <v>0</v>
      </c>
      <c r="T18" s="147">
        <f>COUNTIFS('2026 Time Off Request'!$A:$A,'Feb 2026'!$D18,'2026 Time Off Request'!$L:$L,'Feb 2026'!T$6)</f>
        <v>0</v>
      </c>
      <c r="U18" s="214">
        <f>COUNTIFS('2026 Time Off Request'!$A:$A,'Feb 2026'!$D18,'2026 Time Off Request'!$L:$L,'Feb 2026'!U$6)</f>
        <v>0</v>
      </c>
      <c r="V18" s="148">
        <f>COUNTIFS('2026 Time Off Request'!$A:$A,'Feb 2026'!$D18,'2026 Time Off Request'!$L:$L,'Feb 2026'!V$6)</f>
        <v>0</v>
      </c>
      <c r="W18" s="148">
        <f>COUNTIFS('2026 Time Off Request'!$A:$A,'Feb 2026'!$D18,'2026 Time Off Request'!$L:$L,'Feb 2026'!W$6)</f>
        <v>0</v>
      </c>
      <c r="X18" s="148">
        <f>COUNTIFS('2026 Time Off Request'!$A:$A,'Feb 2026'!$D18,'2026 Time Off Request'!$L:$L,'Feb 2026'!X$6)</f>
        <v>0</v>
      </c>
      <c r="Y18" s="148">
        <f>COUNTIFS('2026 Time Off Request'!$A:$A,'Feb 2026'!$D18,'2026 Time Off Request'!$L:$L,'Feb 2026'!Y$6)</f>
        <v>0</v>
      </c>
      <c r="Z18" s="147">
        <f>COUNTIFS('2026 Time Off Request'!$A:$A,'Feb 2026'!$D18,'2026 Time Off Request'!$L:$L,'Feb 2026'!Z$6)</f>
        <v>0</v>
      </c>
      <c r="AA18" s="147">
        <f>COUNTIFS('2026 Time Off Request'!$A:$A,'Feb 2026'!$D18,'2026 Time Off Request'!$L:$L,'Feb 2026'!AA$6)</f>
        <v>0</v>
      </c>
      <c r="AB18" s="148">
        <f>COUNTIFS('2026 Time Off Request'!$A:$A,'Feb 2026'!$D18,'2026 Time Off Request'!$L:$L,'Feb 2026'!AB$6)</f>
        <v>1</v>
      </c>
      <c r="AC18" s="148">
        <f>COUNTIFS('2026 Time Off Request'!$A:$A,'Feb 2026'!$D18,'2026 Time Off Request'!$L:$L,'Feb 2026'!AC$6)</f>
        <v>0</v>
      </c>
      <c r="AD18" s="148">
        <f>COUNTIFS('2026 Time Off Request'!$A:$A,'Feb 2026'!$D18,'2026 Time Off Request'!$L:$L,'Feb 2026'!AD$6)</f>
        <v>0</v>
      </c>
      <c r="AE18" s="148">
        <f>COUNTIFS('2026 Time Off Request'!$A:$A,'Feb 2026'!$D18,'2026 Time Off Request'!$L:$L,'Feb 2026'!AE$6)</f>
        <v>0</v>
      </c>
      <c r="AF18" s="148">
        <f>COUNTIFS('2026 Time Off Request'!$A:$A,'Feb 2026'!$D18,'2026 Time Off Request'!$L:$L,'Feb 2026'!AF$6)</f>
        <v>0</v>
      </c>
      <c r="AG18" s="147">
        <f>COUNTIFS('2026 Time Off Request'!$A:$A,'Feb 2026'!$D18,'2026 Time Off Request'!$L:$L,'Feb 2026'!AG$6)</f>
        <v>0</v>
      </c>
    </row>
    <row r="19" spans="1:33" ht="15.6" customHeight="1">
      <c r="A19" s="2">
        <v>12</v>
      </c>
      <c r="B19" s="209" t="s">
        <v>36</v>
      </c>
      <c r="C19" s="210" t="s">
        <v>37</v>
      </c>
      <c r="D19" s="215" t="s">
        <v>44</v>
      </c>
      <c r="E19" s="212">
        <f t="shared" si="2"/>
        <v>0</v>
      </c>
      <c r="F19" s="213">
        <f>COUNTIFS('2026 Time Off Request'!$A:$A,'Feb 2026'!$D19,'2026 Time Off Request'!$L:$L,'Feb 2026'!F$6)</f>
        <v>0</v>
      </c>
      <c r="G19" s="148">
        <f>COUNTIFS('2026 Time Off Request'!$A:$A,'Feb 2026'!$D19,'2026 Time Off Request'!$L:$L,'Feb 2026'!G$6)</f>
        <v>0</v>
      </c>
      <c r="H19" s="148">
        <f>COUNTIFS('2026 Time Off Request'!$A:$A,'Feb 2026'!$D19,'2026 Time Off Request'!$L:$L,'Feb 2026'!H$6)</f>
        <v>0</v>
      </c>
      <c r="I19" s="148">
        <f>COUNTIFS('2026 Time Off Request'!$A:$A,'Feb 2026'!$D19,'2026 Time Off Request'!$L:$L,'Feb 2026'!I$6)</f>
        <v>0</v>
      </c>
      <c r="J19" s="148">
        <f>COUNTIFS('2026 Time Off Request'!$A:$A,'Feb 2026'!$D19,'2026 Time Off Request'!$L:$L,'Feb 2026'!J$6)</f>
        <v>0</v>
      </c>
      <c r="K19" s="148">
        <f>COUNTIFS('2026 Time Off Request'!$A:$A,'Feb 2026'!$D19,'2026 Time Off Request'!$L:$L,'Feb 2026'!K$6)</f>
        <v>0</v>
      </c>
      <c r="L19" s="147">
        <f>COUNTIFS('2026 Time Off Request'!$A:$A,'Feb 2026'!$D19,'2026 Time Off Request'!$L:$L,'Feb 2026'!L$6)</f>
        <v>0</v>
      </c>
      <c r="M19" s="147">
        <f>COUNTIFS('2026 Time Off Request'!$A:$A,'Feb 2026'!$D19,'2026 Time Off Request'!$L:$L,'Feb 2026'!M$6)</f>
        <v>0</v>
      </c>
      <c r="N19" s="148">
        <f>COUNTIFS('2026 Time Off Request'!$A:$A,'Feb 2026'!$D19,'2026 Time Off Request'!$L:$L,'Feb 2026'!N$6)</f>
        <v>0</v>
      </c>
      <c r="O19" s="148">
        <f>COUNTIFS('2026 Time Off Request'!$A:$A,'Feb 2026'!$D19,'2026 Time Off Request'!$L:$L,'Feb 2026'!O$6)</f>
        <v>0</v>
      </c>
      <c r="P19" s="148">
        <f>COUNTIFS('2026 Time Off Request'!$A:$A,'Feb 2026'!$D19,'2026 Time Off Request'!$L:$L,'Feb 2026'!P$6)</f>
        <v>0</v>
      </c>
      <c r="Q19" s="148">
        <f>COUNTIFS('2026 Time Off Request'!$A:$A,'Feb 2026'!$D19,'2026 Time Off Request'!$L:$L,'Feb 2026'!Q$6)</f>
        <v>0</v>
      </c>
      <c r="R19" s="148">
        <f>COUNTIFS('2026 Time Off Request'!$A:$A,'Feb 2026'!$D19,'2026 Time Off Request'!$L:$L,'Feb 2026'!R$6)</f>
        <v>0</v>
      </c>
      <c r="S19" s="147">
        <f>COUNTIFS('2026 Time Off Request'!$A:$A,'Feb 2026'!$D19,'2026 Time Off Request'!$L:$L,'Feb 2026'!S$6)</f>
        <v>0</v>
      </c>
      <c r="T19" s="147">
        <f>COUNTIFS('2026 Time Off Request'!$A:$A,'Feb 2026'!$D19,'2026 Time Off Request'!$L:$L,'Feb 2026'!T$6)</f>
        <v>0</v>
      </c>
      <c r="U19" s="214">
        <f>COUNTIFS('2026 Time Off Request'!$A:$A,'Feb 2026'!$D19,'2026 Time Off Request'!$L:$L,'Feb 2026'!U$6)</f>
        <v>0</v>
      </c>
      <c r="V19" s="148">
        <f>COUNTIFS('2026 Time Off Request'!$A:$A,'Feb 2026'!$D19,'2026 Time Off Request'!$L:$L,'Feb 2026'!V$6)</f>
        <v>0</v>
      </c>
      <c r="W19" s="148">
        <f>COUNTIFS('2026 Time Off Request'!$A:$A,'Feb 2026'!$D19,'2026 Time Off Request'!$L:$L,'Feb 2026'!W$6)</f>
        <v>0</v>
      </c>
      <c r="X19" s="148">
        <f>COUNTIFS('2026 Time Off Request'!$A:$A,'Feb 2026'!$D19,'2026 Time Off Request'!$L:$L,'Feb 2026'!X$6)</f>
        <v>0</v>
      </c>
      <c r="Y19" s="148">
        <f>COUNTIFS('2026 Time Off Request'!$A:$A,'Feb 2026'!$D19,'2026 Time Off Request'!$L:$L,'Feb 2026'!Y$6)</f>
        <v>0</v>
      </c>
      <c r="Z19" s="147">
        <f>COUNTIFS('2026 Time Off Request'!$A:$A,'Feb 2026'!$D19,'2026 Time Off Request'!$L:$L,'Feb 2026'!Z$6)</f>
        <v>0</v>
      </c>
      <c r="AA19" s="147">
        <f>COUNTIFS('2026 Time Off Request'!$A:$A,'Feb 2026'!$D19,'2026 Time Off Request'!$L:$L,'Feb 2026'!AA$6)</f>
        <v>0</v>
      </c>
      <c r="AB19" s="148">
        <f>COUNTIFS('2026 Time Off Request'!$A:$A,'Feb 2026'!$D19,'2026 Time Off Request'!$L:$L,'Feb 2026'!AB$6)</f>
        <v>0</v>
      </c>
      <c r="AC19" s="148">
        <f>COUNTIFS('2026 Time Off Request'!$A:$A,'Feb 2026'!$D19,'2026 Time Off Request'!$L:$L,'Feb 2026'!AC$6)</f>
        <v>0</v>
      </c>
      <c r="AD19" s="148">
        <f>COUNTIFS('2026 Time Off Request'!$A:$A,'Feb 2026'!$D19,'2026 Time Off Request'!$L:$L,'Feb 2026'!AD$6)</f>
        <v>0</v>
      </c>
      <c r="AE19" s="148">
        <f>COUNTIFS('2026 Time Off Request'!$A:$A,'Feb 2026'!$D19,'2026 Time Off Request'!$L:$L,'Feb 2026'!AE$6)</f>
        <v>0</v>
      </c>
      <c r="AF19" s="148">
        <f>COUNTIFS('2026 Time Off Request'!$A:$A,'Feb 2026'!$D19,'2026 Time Off Request'!$L:$L,'Feb 2026'!AF$6)</f>
        <v>0</v>
      </c>
      <c r="AG19" s="147">
        <f>COUNTIFS('2026 Time Off Request'!$A:$A,'Feb 2026'!$D19,'2026 Time Off Request'!$L:$L,'Feb 2026'!AG$6)</f>
        <v>0</v>
      </c>
    </row>
    <row r="20" spans="1:33" ht="15.6" customHeight="1">
      <c r="A20" s="2">
        <v>13</v>
      </c>
      <c r="B20" s="209" t="s">
        <v>45</v>
      </c>
      <c r="C20" s="210" t="s">
        <v>37</v>
      </c>
      <c r="D20" s="215" t="s">
        <v>46</v>
      </c>
      <c r="E20" s="212">
        <f t="shared" si="2"/>
        <v>0</v>
      </c>
      <c r="F20" s="213">
        <f>COUNTIFS('2026 Time Off Request'!$A:$A,'Feb 2026'!$D20,'2026 Time Off Request'!$L:$L,'Feb 2026'!F$6)</f>
        <v>0</v>
      </c>
      <c r="G20" s="148">
        <f>COUNTIFS('2026 Time Off Request'!$A:$A,'Feb 2026'!$D20,'2026 Time Off Request'!$L:$L,'Feb 2026'!G$6)</f>
        <v>0</v>
      </c>
      <c r="H20" s="148">
        <f>COUNTIFS('2026 Time Off Request'!$A:$A,'Feb 2026'!$D20,'2026 Time Off Request'!$L:$L,'Feb 2026'!H$6)</f>
        <v>0</v>
      </c>
      <c r="I20" s="148">
        <f>COUNTIFS('2026 Time Off Request'!$A:$A,'Feb 2026'!$D20,'2026 Time Off Request'!$L:$L,'Feb 2026'!I$6)</f>
        <v>0</v>
      </c>
      <c r="J20" s="148">
        <f>COUNTIFS('2026 Time Off Request'!$A:$A,'Feb 2026'!$D20,'2026 Time Off Request'!$L:$L,'Feb 2026'!J$6)</f>
        <v>0</v>
      </c>
      <c r="K20" s="148">
        <f>COUNTIFS('2026 Time Off Request'!$A:$A,'Feb 2026'!$D20,'2026 Time Off Request'!$L:$L,'Feb 2026'!K$6)</f>
        <v>0</v>
      </c>
      <c r="L20" s="147">
        <f>COUNTIFS('2026 Time Off Request'!$A:$A,'Feb 2026'!$D20,'2026 Time Off Request'!$L:$L,'Feb 2026'!L$6)</f>
        <v>0</v>
      </c>
      <c r="M20" s="147">
        <f>COUNTIFS('2026 Time Off Request'!$A:$A,'Feb 2026'!$D20,'2026 Time Off Request'!$L:$L,'Feb 2026'!M$6)</f>
        <v>0</v>
      </c>
      <c r="N20" s="148">
        <f>COUNTIFS('2026 Time Off Request'!$A:$A,'Feb 2026'!$D20,'2026 Time Off Request'!$L:$L,'Feb 2026'!N$6)</f>
        <v>0</v>
      </c>
      <c r="O20" s="148">
        <f>COUNTIFS('2026 Time Off Request'!$A:$A,'Feb 2026'!$D20,'2026 Time Off Request'!$L:$L,'Feb 2026'!O$6)</f>
        <v>0</v>
      </c>
      <c r="P20" s="148">
        <f>COUNTIFS('2026 Time Off Request'!$A:$A,'Feb 2026'!$D20,'2026 Time Off Request'!$L:$L,'Feb 2026'!P$6)</f>
        <v>0</v>
      </c>
      <c r="Q20" s="148">
        <f>COUNTIFS('2026 Time Off Request'!$A:$A,'Feb 2026'!$D20,'2026 Time Off Request'!$L:$L,'Feb 2026'!Q$6)</f>
        <v>0</v>
      </c>
      <c r="R20" s="148">
        <f>COUNTIFS('2026 Time Off Request'!$A:$A,'Feb 2026'!$D20,'2026 Time Off Request'!$L:$L,'Feb 2026'!R$6)</f>
        <v>0</v>
      </c>
      <c r="S20" s="147">
        <f>COUNTIFS('2026 Time Off Request'!$A:$A,'Feb 2026'!$D20,'2026 Time Off Request'!$L:$L,'Feb 2026'!S$6)</f>
        <v>0</v>
      </c>
      <c r="T20" s="147">
        <f>COUNTIFS('2026 Time Off Request'!$A:$A,'Feb 2026'!$D20,'2026 Time Off Request'!$L:$L,'Feb 2026'!T$6)</f>
        <v>0</v>
      </c>
      <c r="U20" s="214">
        <f>COUNTIFS('2026 Time Off Request'!$A:$A,'Feb 2026'!$D20,'2026 Time Off Request'!$L:$L,'Feb 2026'!U$6)</f>
        <v>0</v>
      </c>
      <c r="V20" s="148">
        <f>COUNTIFS('2026 Time Off Request'!$A:$A,'Feb 2026'!$D20,'2026 Time Off Request'!$L:$L,'Feb 2026'!V$6)</f>
        <v>0</v>
      </c>
      <c r="W20" s="148">
        <f>COUNTIFS('2026 Time Off Request'!$A:$A,'Feb 2026'!$D20,'2026 Time Off Request'!$L:$L,'Feb 2026'!W$6)</f>
        <v>0</v>
      </c>
      <c r="X20" s="148">
        <f>COUNTIFS('2026 Time Off Request'!$A:$A,'Feb 2026'!$D20,'2026 Time Off Request'!$L:$L,'Feb 2026'!X$6)</f>
        <v>0</v>
      </c>
      <c r="Y20" s="148">
        <f>COUNTIFS('2026 Time Off Request'!$A:$A,'Feb 2026'!$D20,'2026 Time Off Request'!$L:$L,'Feb 2026'!Y$6)</f>
        <v>0</v>
      </c>
      <c r="Z20" s="147">
        <f>COUNTIFS('2026 Time Off Request'!$A:$A,'Feb 2026'!$D20,'2026 Time Off Request'!$L:$L,'Feb 2026'!Z$6)</f>
        <v>0</v>
      </c>
      <c r="AA20" s="147">
        <f>COUNTIFS('2026 Time Off Request'!$A:$A,'Feb 2026'!$D20,'2026 Time Off Request'!$L:$L,'Feb 2026'!AA$6)</f>
        <v>0</v>
      </c>
      <c r="AB20" s="148">
        <f>COUNTIFS('2026 Time Off Request'!$A:$A,'Feb 2026'!$D20,'2026 Time Off Request'!$L:$L,'Feb 2026'!AB$6)</f>
        <v>0</v>
      </c>
      <c r="AC20" s="148">
        <f>COUNTIFS('2026 Time Off Request'!$A:$A,'Feb 2026'!$D20,'2026 Time Off Request'!$L:$L,'Feb 2026'!AC$6)</f>
        <v>0</v>
      </c>
      <c r="AD20" s="148">
        <f>COUNTIFS('2026 Time Off Request'!$A:$A,'Feb 2026'!$D20,'2026 Time Off Request'!$L:$L,'Feb 2026'!AD$6)</f>
        <v>0</v>
      </c>
      <c r="AE20" s="148">
        <f>COUNTIFS('2026 Time Off Request'!$A:$A,'Feb 2026'!$D20,'2026 Time Off Request'!$L:$L,'Feb 2026'!AE$6)</f>
        <v>0</v>
      </c>
      <c r="AF20" s="148">
        <f>COUNTIFS('2026 Time Off Request'!$A:$A,'Feb 2026'!$D20,'2026 Time Off Request'!$L:$L,'Feb 2026'!AF$6)</f>
        <v>0</v>
      </c>
      <c r="AG20" s="147">
        <f>COUNTIFS('2026 Time Off Request'!$A:$A,'Feb 2026'!$D20,'2026 Time Off Request'!$L:$L,'Feb 2026'!AG$6)</f>
        <v>0</v>
      </c>
    </row>
    <row r="21" spans="1:33" ht="15.6" customHeight="1">
      <c r="A21" s="2">
        <v>14</v>
      </c>
      <c r="B21" s="209" t="s">
        <v>45</v>
      </c>
      <c r="C21" s="210" t="s">
        <v>47</v>
      </c>
      <c r="D21" s="215" t="s">
        <v>48</v>
      </c>
      <c r="E21" s="212">
        <f t="shared" si="2"/>
        <v>0</v>
      </c>
      <c r="F21" s="213">
        <f>COUNTIFS('2026 Time Off Request'!$A:$A,'Feb 2026'!$D21,'2026 Time Off Request'!$L:$L,'Feb 2026'!F$6)</f>
        <v>0</v>
      </c>
      <c r="G21" s="148">
        <f>COUNTIFS('2026 Time Off Request'!$A:$A,'Feb 2026'!$D21,'2026 Time Off Request'!$L:$L,'Feb 2026'!G$6)</f>
        <v>0</v>
      </c>
      <c r="H21" s="148">
        <f>COUNTIFS('2026 Time Off Request'!$A:$A,'Feb 2026'!$D21,'2026 Time Off Request'!$L:$L,'Feb 2026'!H$6)</f>
        <v>0</v>
      </c>
      <c r="I21" s="148">
        <f>COUNTIFS('2026 Time Off Request'!$A:$A,'Feb 2026'!$D21,'2026 Time Off Request'!$L:$L,'Feb 2026'!I$6)</f>
        <v>0</v>
      </c>
      <c r="J21" s="148">
        <f>COUNTIFS('2026 Time Off Request'!$A:$A,'Feb 2026'!$D21,'2026 Time Off Request'!$L:$L,'Feb 2026'!J$6)</f>
        <v>0</v>
      </c>
      <c r="K21" s="148">
        <f>COUNTIFS('2026 Time Off Request'!$A:$A,'Feb 2026'!$D21,'2026 Time Off Request'!$L:$L,'Feb 2026'!K$6)</f>
        <v>0</v>
      </c>
      <c r="L21" s="147">
        <f>COUNTIFS('2026 Time Off Request'!$A:$A,'Feb 2026'!$D21,'2026 Time Off Request'!$L:$L,'Feb 2026'!L$6)</f>
        <v>0</v>
      </c>
      <c r="M21" s="147">
        <f>COUNTIFS('2026 Time Off Request'!$A:$A,'Feb 2026'!$D21,'2026 Time Off Request'!$L:$L,'Feb 2026'!M$6)</f>
        <v>0</v>
      </c>
      <c r="N21" s="148">
        <f>COUNTIFS('2026 Time Off Request'!$A:$A,'Feb 2026'!$D21,'2026 Time Off Request'!$L:$L,'Feb 2026'!N$6)</f>
        <v>0</v>
      </c>
      <c r="O21" s="148">
        <f>COUNTIFS('2026 Time Off Request'!$A:$A,'Feb 2026'!$D21,'2026 Time Off Request'!$L:$L,'Feb 2026'!O$6)</f>
        <v>0</v>
      </c>
      <c r="P21" s="148">
        <f>COUNTIFS('2026 Time Off Request'!$A:$A,'Feb 2026'!$D21,'2026 Time Off Request'!$L:$L,'Feb 2026'!P$6)</f>
        <v>0</v>
      </c>
      <c r="Q21" s="148">
        <f>COUNTIFS('2026 Time Off Request'!$A:$A,'Feb 2026'!$D21,'2026 Time Off Request'!$L:$L,'Feb 2026'!Q$6)</f>
        <v>0</v>
      </c>
      <c r="R21" s="148">
        <f>COUNTIFS('2026 Time Off Request'!$A:$A,'Feb 2026'!$D21,'2026 Time Off Request'!$L:$L,'Feb 2026'!R$6)</f>
        <v>0</v>
      </c>
      <c r="S21" s="147">
        <f>COUNTIFS('2026 Time Off Request'!$A:$A,'Feb 2026'!$D21,'2026 Time Off Request'!$L:$L,'Feb 2026'!S$6)</f>
        <v>0</v>
      </c>
      <c r="T21" s="147">
        <f>COUNTIFS('2026 Time Off Request'!$A:$A,'Feb 2026'!$D21,'2026 Time Off Request'!$L:$L,'Feb 2026'!T$6)</f>
        <v>0</v>
      </c>
      <c r="U21" s="214">
        <f>COUNTIFS('2026 Time Off Request'!$A:$A,'Feb 2026'!$D21,'2026 Time Off Request'!$L:$L,'Feb 2026'!U$6)</f>
        <v>0</v>
      </c>
      <c r="V21" s="148">
        <f>COUNTIFS('2026 Time Off Request'!$A:$A,'Feb 2026'!$D21,'2026 Time Off Request'!$L:$L,'Feb 2026'!V$6)</f>
        <v>0</v>
      </c>
      <c r="W21" s="148">
        <f>COUNTIFS('2026 Time Off Request'!$A:$A,'Feb 2026'!$D21,'2026 Time Off Request'!$L:$L,'Feb 2026'!W$6)</f>
        <v>0</v>
      </c>
      <c r="X21" s="148">
        <f>COUNTIFS('2026 Time Off Request'!$A:$A,'Feb 2026'!$D21,'2026 Time Off Request'!$L:$L,'Feb 2026'!X$6)</f>
        <v>0</v>
      </c>
      <c r="Y21" s="148">
        <f>COUNTIFS('2026 Time Off Request'!$A:$A,'Feb 2026'!$D21,'2026 Time Off Request'!$L:$L,'Feb 2026'!Y$6)</f>
        <v>0</v>
      </c>
      <c r="Z21" s="147">
        <f>COUNTIFS('2026 Time Off Request'!$A:$A,'Feb 2026'!$D21,'2026 Time Off Request'!$L:$L,'Feb 2026'!Z$6)</f>
        <v>0</v>
      </c>
      <c r="AA21" s="147">
        <f>COUNTIFS('2026 Time Off Request'!$A:$A,'Feb 2026'!$D21,'2026 Time Off Request'!$L:$L,'Feb 2026'!AA$6)</f>
        <v>0</v>
      </c>
      <c r="AB21" s="148">
        <f>COUNTIFS('2026 Time Off Request'!$A:$A,'Feb 2026'!$D21,'2026 Time Off Request'!$L:$L,'Feb 2026'!AB$6)</f>
        <v>0</v>
      </c>
      <c r="AC21" s="148">
        <f>COUNTIFS('2026 Time Off Request'!$A:$A,'Feb 2026'!$D21,'2026 Time Off Request'!$L:$L,'Feb 2026'!AC$6)</f>
        <v>0</v>
      </c>
      <c r="AD21" s="148">
        <f>COUNTIFS('2026 Time Off Request'!$A:$A,'Feb 2026'!$D21,'2026 Time Off Request'!$L:$L,'Feb 2026'!AD$6)</f>
        <v>0</v>
      </c>
      <c r="AE21" s="148">
        <f>COUNTIFS('2026 Time Off Request'!$A:$A,'Feb 2026'!$D21,'2026 Time Off Request'!$L:$L,'Feb 2026'!AE$6)</f>
        <v>0</v>
      </c>
      <c r="AF21" s="148">
        <f>COUNTIFS('2026 Time Off Request'!$A:$A,'Feb 2026'!$D21,'2026 Time Off Request'!$L:$L,'Feb 2026'!AF$6)</f>
        <v>0</v>
      </c>
      <c r="AG21" s="147">
        <f>COUNTIFS('2026 Time Off Request'!$A:$A,'Feb 2026'!$D21,'2026 Time Off Request'!$L:$L,'Feb 2026'!AG$6)</f>
        <v>0</v>
      </c>
    </row>
    <row r="22" spans="1:33" ht="15.6" customHeight="1">
      <c r="A22" s="2">
        <v>15</v>
      </c>
      <c r="B22" s="209" t="s">
        <v>49</v>
      </c>
      <c r="C22" s="210" t="s">
        <v>50</v>
      </c>
      <c r="D22" s="215" t="s">
        <v>51</v>
      </c>
      <c r="E22" s="212">
        <f t="shared" si="2"/>
        <v>0</v>
      </c>
      <c r="F22" s="213">
        <f>COUNTIFS('2026 Time Off Request'!$A:$A,'Feb 2026'!$D22,'2026 Time Off Request'!$L:$L,'Feb 2026'!F$6)</f>
        <v>0</v>
      </c>
      <c r="G22" s="148">
        <f>COUNTIFS('2026 Time Off Request'!$A:$A,'Feb 2026'!$D22,'2026 Time Off Request'!$L:$L,'Feb 2026'!G$6)</f>
        <v>0</v>
      </c>
      <c r="H22" s="148">
        <f>COUNTIFS('2026 Time Off Request'!$A:$A,'Feb 2026'!$D22,'2026 Time Off Request'!$L:$L,'Feb 2026'!H$6)</f>
        <v>0</v>
      </c>
      <c r="I22" s="148">
        <f>COUNTIFS('2026 Time Off Request'!$A:$A,'Feb 2026'!$D22,'2026 Time Off Request'!$L:$L,'Feb 2026'!I$6)</f>
        <v>0</v>
      </c>
      <c r="J22" s="148">
        <f>COUNTIFS('2026 Time Off Request'!$A:$A,'Feb 2026'!$D22,'2026 Time Off Request'!$L:$L,'Feb 2026'!J$6)</f>
        <v>0</v>
      </c>
      <c r="K22" s="148">
        <f>COUNTIFS('2026 Time Off Request'!$A:$A,'Feb 2026'!$D22,'2026 Time Off Request'!$L:$L,'Feb 2026'!K$6)</f>
        <v>0</v>
      </c>
      <c r="L22" s="147">
        <f>COUNTIFS('2026 Time Off Request'!$A:$A,'Feb 2026'!$D22,'2026 Time Off Request'!$L:$L,'Feb 2026'!L$6)</f>
        <v>0</v>
      </c>
      <c r="M22" s="147">
        <f>COUNTIFS('2026 Time Off Request'!$A:$A,'Feb 2026'!$D22,'2026 Time Off Request'!$L:$L,'Feb 2026'!M$6)</f>
        <v>0</v>
      </c>
      <c r="N22" s="148">
        <f>COUNTIFS('2026 Time Off Request'!$A:$A,'Feb 2026'!$D22,'2026 Time Off Request'!$L:$L,'Feb 2026'!N$6)</f>
        <v>0</v>
      </c>
      <c r="O22" s="148">
        <f>COUNTIFS('2026 Time Off Request'!$A:$A,'Feb 2026'!$D22,'2026 Time Off Request'!$L:$L,'Feb 2026'!O$6)</f>
        <v>0</v>
      </c>
      <c r="P22" s="148">
        <f>COUNTIFS('2026 Time Off Request'!$A:$A,'Feb 2026'!$D22,'2026 Time Off Request'!$L:$L,'Feb 2026'!P$6)</f>
        <v>0</v>
      </c>
      <c r="Q22" s="148">
        <f>COUNTIFS('2026 Time Off Request'!$A:$A,'Feb 2026'!$D22,'2026 Time Off Request'!$L:$L,'Feb 2026'!Q$6)</f>
        <v>0</v>
      </c>
      <c r="R22" s="148">
        <f>COUNTIFS('2026 Time Off Request'!$A:$A,'Feb 2026'!$D22,'2026 Time Off Request'!$L:$L,'Feb 2026'!R$6)</f>
        <v>0</v>
      </c>
      <c r="S22" s="147">
        <f>COUNTIFS('2026 Time Off Request'!$A:$A,'Feb 2026'!$D22,'2026 Time Off Request'!$L:$L,'Feb 2026'!S$6)</f>
        <v>0</v>
      </c>
      <c r="T22" s="147">
        <f>COUNTIFS('2026 Time Off Request'!$A:$A,'Feb 2026'!$D22,'2026 Time Off Request'!$L:$L,'Feb 2026'!T$6)</f>
        <v>0</v>
      </c>
      <c r="U22" s="214">
        <f>COUNTIFS('2026 Time Off Request'!$A:$A,'Feb 2026'!$D22,'2026 Time Off Request'!$L:$L,'Feb 2026'!U$6)</f>
        <v>0</v>
      </c>
      <c r="V22" s="148">
        <f>COUNTIFS('2026 Time Off Request'!$A:$A,'Feb 2026'!$D22,'2026 Time Off Request'!$L:$L,'Feb 2026'!V$6)</f>
        <v>0</v>
      </c>
      <c r="W22" s="148">
        <f>COUNTIFS('2026 Time Off Request'!$A:$A,'Feb 2026'!$D22,'2026 Time Off Request'!$L:$L,'Feb 2026'!W$6)</f>
        <v>0</v>
      </c>
      <c r="X22" s="148">
        <f>COUNTIFS('2026 Time Off Request'!$A:$A,'Feb 2026'!$D22,'2026 Time Off Request'!$L:$L,'Feb 2026'!X$6)</f>
        <v>0</v>
      </c>
      <c r="Y22" s="148">
        <f>COUNTIFS('2026 Time Off Request'!$A:$A,'Feb 2026'!$D22,'2026 Time Off Request'!$L:$L,'Feb 2026'!Y$6)</f>
        <v>0</v>
      </c>
      <c r="Z22" s="147">
        <f>COUNTIFS('2026 Time Off Request'!$A:$A,'Feb 2026'!$D22,'2026 Time Off Request'!$L:$L,'Feb 2026'!Z$6)</f>
        <v>0</v>
      </c>
      <c r="AA22" s="147">
        <f>COUNTIFS('2026 Time Off Request'!$A:$A,'Feb 2026'!$D22,'2026 Time Off Request'!$L:$L,'Feb 2026'!AA$6)</f>
        <v>0</v>
      </c>
      <c r="AB22" s="148">
        <f>COUNTIFS('2026 Time Off Request'!$A:$A,'Feb 2026'!$D22,'2026 Time Off Request'!$L:$L,'Feb 2026'!AB$6)</f>
        <v>0</v>
      </c>
      <c r="AC22" s="148">
        <f>COUNTIFS('2026 Time Off Request'!$A:$A,'Feb 2026'!$D22,'2026 Time Off Request'!$L:$L,'Feb 2026'!AC$6)</f>
        <v>0</v>
      </c>
      <c r="AD22" s="148">
        <f>COUNTIFS('2026 Time Off Request'!$A:$A,'Feb 2026'!$D22,'2026 Time Off Request'!$L:$L,'Feb 2026'!AD$6)</f>
        <v>0</v>
      </c>
      <c r="AE22" s="148">
        <f>COUNTIFS('2026 Time Off Request'!$A:$A,'Feb 2026'!$D22,'2026 Time Off Request'!$L:$L,'Feb 2026'!AE$6)</f>
        <v>0</v>
      </c>
      <c r="AF22" s="148">
        <f>COUNTIFS('2026 Time Off Request'!$A:$A,'Feb 2026'!$D22,'2026 Time Off Request'!$L:$L,'Feb 2026'!AF$6)</f>
        <v>0</v>
      </c>
      <c r="AG22" s="147">
        <f>COUNTIFS('2026 Time Off Request'!$A:$A,'Feb 2026'!$D22,'2026 Time Off Request'!$L:$L,'Feb 2026'!AG$6)</f>
        <v>0</v>
      </c>
    </row>
    <row r="23" spans="1:33" ht="15.6" customHeight="1">
      <c r="A23" s="2">
        <v>16</v>
      </c>
      <c r="B23" s="209" t="s">
        <v>45</v>
      </c>
      <c r="C23" s="210" t="s">
        <v>52</v>
      </c>
      <c r="D23" s="215" t="s">
        <v>53</v>
      </c>
      <c r="E23" s="212">
        <f t="shared" si="2"/>
        <v>0</v>
      </c>
      <c r="F23" s="213">
        <f>COUNTIFS('2026 Time Off Request'!$A:$A,'Feb 2026'!$D23,'2026 Time Off Request'!$L:$L,'Feb 2026'!F$6)</f>
        <v>0</v>
      </c>
      <c r="G23" s="148">
        <f>COUNTIFS('2026 Time Off Request'!$A:$A,'Feb 2026'!$D23,'2026 Time Off Request'!$L:$L,'Feb 2026'!G$6)</f>
        <v>0</v>
      </c>
      <c r="H23" s="148">
        <f>COUNTIFS('2026 Time Off Request'!$A:$A,'Feb 2026'!$D23,'2026 Time Off Request'!$L:$L,'Feb 2026'!H$6)</f>
        <v>0</v>
      </c>
      <c r="I23" s="148">
        <f>COUNTIFS('2026 Time Off Request'!$A:$A,'Feb 2026'!$D23,'2026 Time Off Request'!$L:$L,'Feb 2026'!I$6)</f>
        <v>0</v>
      </c>
      <c r="J23" s="148">
        <f>COUNTIFS('2026 Time Off Request'!$A:$A,'Feb 2026'!$D23,'2026 Time Off Request'!$L:$L,'Feb 2026'!J$6)</f>
        <v>0</v>
      </c>
      <c r="K23" s="148">
        <f>COUNTIFS('2026 Time Off Request'!$A:$A,'Feb 2026'!$D23,'2026 Time Off Request'!$L:$L,'Feb 2026'!K$6)</f>
        <v>0</v>
      </c>
      <c r="L23" s="147">
        <f>COUNTIFS('2026 Time Off Request'!$A:$A,'Feb 2026'!$D23,'2026 Time Off Request'!$L:$L,'Feb 2026'!L$6)</f>
        <v>0</v>
      </c>
      <c r="M23" s="147">
        <f>COUNTIFS('2026 Time Off Request'!$A:$A,'Feb 2026'!$D23,'2026 Time Off Request'!$L:$L,'Feb 2026'!M$6)</f>
        <v>0</v>
      </c>
      <c r="N23" s="148">
        <f>COUNTIFS('2026 Time Off Request'!$A:$A,'Feb 2026'!$D23,'2026 Time Off Request'!$L:$L,'Feb 2026'!N$6)</f>
        <v>0</v>
      </c>
      <c r="O23" s="148">
        <f>COUNTIFS('2026 Time Off Request'!$A:$A,'Feb 2026'!$D23,'2026 Time Off Request'!$L:$L,'Feb 2026'!O$6)</f>
        <v>0</v>
      </c>
      <c r="P23" s="148">
        <f>COUNTIFS('2026 Time Off Request'!$A:$A,'Feb 2026'!$D23,'2026 Time Off Request'!$L:$L,'Feb 2026'!P$6)</f>
        <v>0</v>
      </c>
      <c r="Q23" s="148">
        <f>COUNTIFS('2026 Time Off Request'!$A:$A,'Feb 2026'!$D23,'2026 Time Off Request'!$L:$L,'Feb 2026'!Q$6)</f>
        <v>0</v>
      </c>
      <c r="R23" s="148">
        <f>COUNTIFS('2026 Time Off Request'!$A:$A,'Feb 2026'!$D23,'2026 Time Off Request'!$L:$L,'Feb 2026'!R$6)</f>
        <v>0</v>
      </c>
      <c r="S23" s="147">
        <f>COUNTIFS('2026 Time Off Request'!$A:$A,'Feb 2026'!$D23,'2026 Time Off Request'!$L:$L,'Feb 2026'!S$6)</f>
        <v>0</v>
      </c>
      <c r="T23" s="147">
        <f>COUNTIFS('2026 Time Off Request'!$A:$A,'Feb 2026'!$D23,'2026 Time Off Request'!$L:$L,'Feb 2026'!T$6)</f>
        <v>0</v>
      </c>
      <c r="U23" s="214">
        <f>COUNTIFS('2026 Time Off Request'!$A:$A,'Feb 2026'!$D23,'2026 Time Off Request'!$L:$L,'Feb 2026'!U$6)</f>
        <v>0</v>
      </c>
      <c r="V23" s="148">
        <f>COUNTIFS('2026 Time Off Request'!$A:$A,'Feb 2026'!$D23,'2026 Time Off Request'!$L:$L,'Feb 2026'!V$6)</f>
        <v>0</v>
      </c>
      <c r="W23" s="148">
        <f>COUNTIFS('2026 Time Off Request'!$A:$A,'Feb 2026'!$D23,'2026 Time Off Request'!$L:$L,'Feb 2026'!W$6)</f>
        <v>0</v>
      </c>
      <c r="X23" s="148">
        <f>COUNTIFS('2026 Time Off Request'!$A:$A,'Feb 2026'!$D23,'2026 Time Off Request'!$L:$L,'Feb 2026'!X$6)</f>
        <v>0</v>
      </c>
      <c r="Y23" s="148">
        <f>COUNTIFS('2026 Time Off Request'!$A:$A,'Feb 2026'!$D23,'2026 Time Off Request'!$L:$L,'Feb 2026'!Y$6)</f>
        <v>0</v>
      </c>
      <c r="Z23" s="147">
        <f>COUNTIFS('2026 Time Off Request'!$A:$A,'Feb 2026'!$D23,'2026 Time Off Request'!$L:$L,'Feb 2026'!Z$6)</f>
        <v>0</v>
      </c>
      <c r="AA23" s="147">
        <f>COUNTIFS('2026 Time Off Request'!$A:$A,'Feb 2026'!$D23,'2026 Time Off Request'!$L:$L,'Feb 2026'!AA$6)</f>
        <v>0</v>
      </c>
      <c r="AB23" s="148">
        <f>COUNTIFS('2026 Time Off Request'!$A:$A,'Feb 2026'!$D23,'2026 Time Off Request'!$L:$L,'Feb 2026'!AB$6)</f>
        <v>0</v>
      </c>
      <c r="AC23" s="148">
        <f>COUNTIFS('2026 Time Off Request'!$A:$A,'Feb 2026'!$D23,'2026 Time Off Request'!$L:$L,'Feb 2026'!AC$6)</f>
        <v>0</v>
      </c>
      <c r="AD23" s="148">
        <f>COUNTIFS('2026 Time Off Request'!$A:$A,'Feb 2026'!$D23,'2026 Time Off Request'!$L:$L,'Feb 2026'!AD$6)</f>
        <v>0</v>
      </c>
      <c r="AE23" s="148">
        <f>COUNTIFS('2026 Time Off Request'!$A:$A,'Feb 2026'!$D23,'2026 Time Off Request'!$L:$L,'Feb 2026'!AE$6)</f>
        <v>0</v>
      </c>
      <c r="AF23" s="148">
        <f>COUNTIFS('2026 Time Off Request'!$A:$A,'Feb 2026'!$D23,'2026 Time Off Request'!$L:$L,'Feb 2026'!AF$6)</f>
        <v>0</v>
      </c>
      <c r="AG23" s="147">
        <f>COUNTIFS('2026 Time Off Request'!$A:$A,'Feb 2026'!$D23,'2026 Time Off Request'!$L:$L,'Feb 2026'!AG$6)</f>
        <v>0</v>
      </c>
    </row>
    <row r="24" spans="1:33" ht="15.6" customHeight="1">
      <c r="A24" s="2">
        <v>17</v>
      </c>
      <c r="B24" s="209" t="s">
        <v>45</v>
      </c>
      <c r="C24" s="210" t="s">
        <v>52</v>
      </c>
      <c r="D24" s="215" t="s">
        <v>54</v>
      </c>
      <c r="E24" s="212">
        <f t="shared" ref="E24:E29" si="3">SUM(F24:AG24)</f>
        <v>0</v>
      </c>
      <c r="F24" s="213">
        <f>COUNTIFS('2026 Time Off Request'!$A:$A,'Feb 2026'!$D24,'2026 Time Off Request'!$L:$L,'Feb 2026'!F$6)</f>
        <v>0</v>
      </c>
      <c r="G24" s="148">
        <f>COUNTIFS('2026 Time Off Request'!$A:$A,'Feb 2026'!$D24,'2026 Time Off Request'!$L:$L,'Feb 2026'!G$6)</f>
        <v>0</v>
      </c>
      <c r="H24" s="148">
        <f>COUNTIFS('2026 Time Off Request'!$A:$A,'Feb 2026'!$D24,'2026 Time Off Request'!$L:$L,'Feb 2026'!H$6)</f>
        <v>0</v>
      </c>
      <c r="I24" s="148">
        <f>COUNTIFS('2026 Time Off Request'!$A:$A,'Feb 2026'!$D24,'2026 Time Off Request'!$L:$L,'Feb 2026'!I$6)</f>
        <v>0</v>
      </c>
      <c r="J24" s="148">
        <f>COUNTIFS('2026 Time Off Request'!$A:$A,'Feb 2026'!$D24,'2026 Time Off Request'!$L:$L,'Feb 2026'!J$6)</f>
        <v>0</v>
      </c>
      <c r="K24" s="148">
        <f>COUNTIFS('2026 Time Off Request'!$A:$A,'Feb 2026'!$D24,'2026 Time Off Request'!$L:$L,'Feb 2026'!K$6)</f>
        <v>0</v>
      </c>
      <c r="L24" s="147">
        <f>COUNTIFS('2026 Time Off Request'!$A:$A,'Feb 2026'!$D24,'2026 Time Off Request'!$L:$L,'Feb 2026'!L$6)</f>
        <v>0</v>
      </c>
      <c r="M24" s="147">
        <f>COUNTIFS('2026 Time Off Request'!$A:$A,'Feb 2026'!$D24,'2026 Time Off Request'!$L:$L,'Feb 2026'!M$6)</f>
        <v>0</v>
      </c>
      <c r="N24" s="148">
        <f>COUNTIFS('2026 Time Off Request'!$A:$A,'Feb 2026'!$D24,'2026 Time Off Request'!$L:$L,'Feb 2026'!N$6)</f>
        <v>0</v>
      </c>
      <c r="O24" s="148">
        <f>COUNTIFS('2026 Time Off Request'!$A:$A,'Feb 2026'!$D24,'2026 Time Off Request'!$L:$L,'Feb 2026'!O$6)</f>
        <v>0</v>
      </c>
      <c r="P24" s="148">
        <f>COUNTIFS('2026 Time Off Request'!$A:$A,'Feb 2026'!$D24,'2026 Time Off Request'!$L:$L,'Feb 2026'!P$6)</f>
        <v>0</v>
      </c>
      <c r="Q24" s="148">
        <f>COUNTIFS('2026 Time Off Request'!$A:$A,'Feb 2026'!$D24,'2026 Time Off Request'!$L:$L,'Feb 2026'!Q$6)</f>
        <v>0</v>
      </c>
      <c r="R24" s="148">
        <f>COUNTIFS('2026 Time Off Request'!$A:$A,'Feb 2026'!$D24,'2026 Time Off Request'!$L:$L,'Feb 2026'!R$6)</f>
        <v>0</v>
      </c>
      <c r="S24" s="147">
        <f>COUNTIFS('2026 Time Off Request'!$A:$A,'Feb 2026'!$D24,'2026 Time Off Request'!$L:$L,'Feb 2026'!S$6)</f>
        <v>0</v>
      </c>
      <c r="T24" s="147">
        <f>COUNTIFS('2026 Time Off Request'!$A:$A,'Feb 2026'!$D24,'2026 Time Off Request'!$L:$L,'Feb 2026'!T$6)</f>
        <v>0</v>
      </c>
      <c r="U24" s="214">
        <f>COUNTIFS('2026 Time Off Request'!$A:$A,'Feb 2026'!$D24,'2026 Time Off Request'!$L:$L,'Feb 2026'!U$6)</f>
        <v>0</v>
      </c>
      <c r="V24" s="148">
        <f>COUNTIFS('2026 Time Off Request'!$A:$A,'Feb 2026'!$D24,'2026 Time Off Request'!$L:$L,'Feb 2026'!V$6)</f>
        <v>0</v>
      </c>
      <c r="W24" s="148">
        <f>COUNTIFS('2026 Time Off Request'!$A:$A,'Feb 2026'!$D24,'2026 Time Off Request'!$L:$L,'Feb 2026'!W$6)</f>
        <v>0</v>
      </c>
      <c r="X24" s="148">
        <f>COUNTIFS('2026 Time Off Request'!$A:$A,'Feb 2026'!$D24,'2026 Time Off Request'!$L:$L,'Feb 2026'!X$6)</f>
        <v>0</v>
      </c>
      <c r="Y24" s="148">
        <f>COUNTIFS('2026 Time Off Request'!$A:$A,'Feb 2026'!$D24,'2026 Time Off Request'!$L:$L,'Feb 2026'!Y$6)</f>
        <v>0</v>
      </c>
      <c r="Z24" s="147">
        <f>COUNTIFS('2026 Time Off Request'!$A:$A,'Feb 2026'!$D24,'2026 Time Off Request'!$L:$L,'Feb 2026'!Z$6)</f>
        <v>0</v>
      </c>
      <c r="AA24" s="147">
        <f>COUNTIFS('2026 Time Off Request'!$A:$A,'Feb 2026'!$D24,'2026 Time Off Request'!$L:$L,'Feb 2026'!AA$6)</f>
        <v>0</v>
      </c>
      <c r="AB24" s="148">
        <f>COUNTIFS('2026 Time Off Request'!$A:$A,'Feb 2026'!$D24,'2026 Time Off Request'!$L:$L,'Feb 2026'!AB$6)</f>
        <v>0</v>
      </c>
      <c r="AC24" s="148">
        <f>COUNTIFS('2026 Time Off Request'!$A:$A,'Feb 2026'!$D24,'2026 Time Off Request'!$L:$L,'Feb 2026'!AC$6)</f>
        <v>0</v>
      </c>
      <c r="AD24" s="148">
        <f>COUNTIFS('2026 Time Off Request'!$A:$A,'Feb 2026'!$D24,'2026 Time Off Request'!$L:$L,'Feb 2026'!AD$6)</f>
        <v>0</v>
      </c>
      <c r="AE24" s="148">
        <f>COUNTIFS('2026 Time Off Request'!$A:$A,'Feb 2026'!$D24,'2026 Time Off Request'!$L:$L,'Feb 2026'!AE$6)</f>
        <v>0</v>
      </c>
      <c r="AF24" s="148">
        <f>COUNTIFS('2026 Time Off Request'!$A:$A,'Feb 2026'!$D24,'2026 Time Off Request'!$L:$L,'Feb 2026'!AF$6)</f>
        <v>0</v>
      </c>
      <c r="AG24" s="147">
        <f>COUNTIFS('2026 Time Off Request'!$A:$A,'Feb 2026'!$D24,'2026 Time Off Request'!$L:$L,'Feb 2026'!AG$6)</f>
        <v>0</v>
      </c>
    </row>
    <row r="25" spans="1:33" ht="15.6" customHeight="1">
      <c r="A25" s="2">
        <v>18</v>
      </c>
      <c r="B25" s="209" t="s">
        <v>45</v>
      </c>
      <c r="C25" s="210" t="s">
        <v>55</v>
      </c>
      <c r="D25" s="215" t="s">
        <v>56</v>
      </c>
      <c r="E25" s="212">
        <f t="shared" si="3"/>
        <v>2</v>
      </c>
      <c r="F25" s="213">
        <f>COUNTIFS('2026 Time Off Request'!$A:$A,'Feb 2026'!$D25,'2026 Time Off Request'!$L:$L,'Feb 2026'!F$6)</f>
        <v>0</v>
      </c>
      <c r="G25" s="148">
        <f>COUNTIFS('2026 Time Off Request'!$A:$A,'Feb 2026'!$D25,'2026 Time Off Request'!$L:$L,'Feb 2026'!G$6)</f>
        <v>0</v>
      </c>
      <c r="H25" s="148">
        <f>COUNTIFS('2026 Time Off Request'!$A:$A,'Feb 2026'!$D25,'2026 Time Off Request'!$L:$L,'Feb 2026'!H$6)</f>
        <v>0</v>
      </c>
      <c r="I25" s="148">
        <f>COUNTIFS('2026 Time Off Request'!$A:$A,'Feb 2026'!$D25,'2026 Time Off Request'!$L:$L,'Feb 2026'!I$6)</f>
        <v>0</v>
      </c>
      <c r="J25" s="148">
        <f>COUNTIFS('2026 Time Off Request'!$A:$A,'Feb 2026'!$D25,'2026 Time Off Request'!$L:$L,'Feb 2026'!J$6)</f>
        <v>0</v>
      </c>
      <c r="K25" s="148">
        <f>COUNTIFS('2026 Time Off Request'!$A:$A,'Feb 2026'!$D25,'2026 Time Off Request'!$L:$L,'Feb 2026'!K$6)</f>
        <v>0</v>
      </c>
      <c r="L25" s="147">
        <f>COUNTIFS('2026 Time Off Request'!$A:$A,'Feb 2026'!$D25,'2026 Time Off Request'!$L:$L,'Feb 2026'!L$6)</f>
        <v>0</v>
      </c>
      <c r="M25" s="147">
        <f>COUNTIFS('2026 Time Off Request'!$A:$A,'Feb 2026'!$D25,'2026 Time Off Request'!$L:$L,'Feb 2026'!M$6)</f>
        <v>0</v>
      </c>
      <c r="N25" s="148">
        <f>COUNTIFS('2026 Time Off Request'!$A:$A,'Feb 2026'!$D25,'2026 Time Off Request'!$L:$L,'Feb 2026'!N$6)</f>
        <v>0</v>
      </c>
      <c r="O25" s="148">
        <f>COUNTIFS('2026 Time Off Request'!$A:$A,'Feb 2026'!$D25,'2026 Time Off Request'!$L:$L,'Feb 2026'!O$6)</f>
        <v>0</v>
      </c>
      <c r="P25" s="148">
        <f>COUNTIFS('2026 Time Off Request'!$A:$A,'Feb 2026'!$D25,'2026 Time Off Request'!$L:$L,'Feb 2026'!P$6)</f>
        <v>1</v>
      </c>
      <c r="Q25" s="148">
        <f>COUNTIFS('2026 Time Off Request'!$A:$A,'Feb 2026'!$D25,'2026 Time Off Request'!$L:$L,'Feb 2026'!Q$6)</f>
        <v>0</v>
      </c>
      <c r="R25" s="148">
        <f>COUNTIFS('2026 Time Off Request'!$A:$A,'Feb 2026'!$D25,'2026 Time Off Request'!$L:$L,'Feb 2026'!R$6)</f>
        <v>0</v>
      </c>
      <c r="S25" s="147">
        <f>COUNTIFS('2026 Time Off Request'!$A:$A,'Feb 2026'!$D25,'2026 Time Off Request'!$L:$L,'Feb 2026'!S$6)</f>
        <v>0</v>
      </c>
      <c r="T25" s="147">
        <f>COUNTIFS('2026 Time Off Request'!$A:$A,'Feb 2026'!$D25,'2026 Time Off Request'!$L:$L,'Feb 2026'!T$6)</f>
        <v>0</v>
      </c>
      <c r="U25" s="214">
        <f>COUNTIFS('2026 Time Off Request'!$A:$A,'Feb 2026'!$D25,'2026 Time Off Request'!$L:$L,'Feb 2026'!U$6)</f>
        <v>0</v>
      </c>
      <c r="V25" s="148">
        <f>COUNTIFS('2026 Time Off Request'!$A:$A,'Feb 2026'!$D25,'2026 Time Off Request'!$L:$L,'Feb 2026'!V$6)</f>
        <v>0</v>
      </c>
      <c r="W25" s="148">
        <f>COUNTIFS('2026 Time Off Request'!$A:$A,'Feb 2026'!$D25,'2026 Time Off Request'!$L:$L,'Feb 2026'!W$6)</f>
        <v>1</v>
      </c>
      <c r="X25" s="148">
        <f>COUNTIFS('2026 Time Off Request'!$A:$A,'Feb 2026'!$D25,'2026 Time Off Request'!$L:$L,'Feb 2026'!X$6)</f>
        <v>0</v>
      </c>
      <c r="Y25" s="148">
        <f>COUNTIFS('2026 Time Off Request'!$A:$A,'Feb 2026'!$D25,'2026 Time Off Request'!$L:$L,'Feb 2026'!Y$6)</f>
        <v>0</v>
      </c>
      <c r="Z25" s="147">
        <f>COUNTIFS('2026 Time Off Request'!$A:$A,'Feb 2026'!$D25,'2026 Time Off Request'!$L:$L,'Feb 2026'!Z$6)</f>
        <v>0</v>
      </c>
      <c r="AA25" s="147">
        <f>COUNTIFS('2026 Time Off Request'!$A:$A,'Feb 2026'!$D25,'2026 Time Off Request'!$L:$L,'Feb 2026'!AA$6)</f>
        <v>0</v>
      </c>
      <c r="AB25" s="148">
        <f>COUNTIFS('2026 Time Off Request'!$A:$A,'Feb 2026'!$D25,'2026 Time Off Request'!$L:$L,'Feb 2026'!AB$6)</f>
        <v>0</v>
      </c>
      <c r="AC25" s="148">
        <f>COUNTIFS('2026 Time Off Request'!$A:$A,'Feb 2026'!$D25,'2026 Time Off Request'!$L:$L,'Feb 2026'!AC$6)</f>
        <v>0</v>
      </c>
      <c r="AD25" s="148">
        <f>COUNTIFS('2026 Time Off Request'!$A:$A,'Feb 2026'!$D25,'2026 Time Off Request'!$L:$L,'Feb 2026'!AD$6)</f>
        <v>0</v>
      </c>
      <c r="AE25" s="148">
        <f>COUNTIFS('2026 Time Off Request'!$A:$A,'Feb 2026'!$D25,'2026 Time Off Request'!$L:$L,'Feb 2026'!AE$6)</f>
        <v>0</v>
      </c>
      <c r="AF25" s="148">
        <f>COUNTIFS('2026 Time Off Request'!$A:$A,'Feb 2026'!$D25,'2026 Time Off Request'!$L:$L,'Feb 2026'!AF$6)</f>
        <v>0</v>
      </c>
      <c r="AG25" s="147">
        <f>COUNTIFS('2026 Time Off Request'!$A:$A,'Feb 2026'!$D25,'2026 Time Off Request'!$L:$L,'Feb 2026'!AG$6)</f>
        <v>0</v>
      </c>
    </row>
    <row r="26" spans="1:33" ht="15.6" customHeight="1">
      <c r="A26" s="2">
        <v>19</v>
      </c>
      <c r="B26" s="209" t="s">
        <v>45</v>
      </c>
      <c r="C26" s="210" t="s">
        <v>55</v>
      </c>
      <c r="D26" s="215" t="s">
        <v>57</v>
      </c>
      <c r="E26" s="212">
        <f t="shared" si="3"/>
        <v>0</v>
      </c>
      <c r="F26" s="213">
        <f>COUNTIFS('2026 Time Off Request'!$A:$A,'Feb 2026'!$D26,'2026 Time Off Request'!$L:$L,'Feb 2026'!F$6)</f>
        <v>0</v>
      </c>
      <c r="G26" s="148">
        <f>COUNTIFS('2026 Time Off Request'!$A:$A,'Feb 2026'!$D26,'2026 Time Off Request'!$L:$L,'Feb 2026'!G$6)</f>
        <v>0</v>
      </c>
      <c r="H26" s="148">
        <f>COUNTIFS('2026 Time Off Request'!$A:$A,'Feb 2026'!$D26,'2026 Time Off Request'!$L:$L,'Feb 2026'!H$6)</f>
        <v>0</v>
      </c>
      <c r="I26" s="148">
        <f>COUNTIFS('2026 Time Off Request'!$A:$A,'Feb 2026'!$D26,'2026 Time Off Request'!$L:$L,'Feb 2026'!I$6)</f>
        <v>0</v>
      </c>
      <c r="J26" s="148">
        <f>COUNTIFS('2026 Time Off Request'!$A:$A,'Feb 2026'!$D26,'2026 Time Off Request'!$L:$L,'Feb 2026'!J$6)</f>
        <v>0</v>
      </c>
      <c r="K26" s="148">
        <f>COUNTIFS('2026 Time Off Request'!$A:$A,'Feb 2026'!$D26,'2026 Time Off Request'!$L:$L,'Feb 2026'!K$6)</f>
        <v>0</v>
      </c>
      <c r="L26" s="147">
        <f>COUNTIFS('2026 Time Off Request'!$A:$A,'Feb 2026'!$D26,'2026 Time Off Request'!$L:$L,'Feb 2026'!L$6)</f>
        <v>0</v>
      </c>
      <c r="M26" s="147">
        <f>COUNTIFS('2026 Time Off Request'!$A:$A,'Feb 2026'!$D26,'2026 Time Off Request'!$L:$L,'Feb 2026'!M$6)</f>
        <v>0</v>
      </c>
      <c r="N26" s="148">
        <f>COUNTIFS('2026 Time Off Request'!$A:$A,'Feb 2026'!$D26,'2026 Time Off Request'!$L:$L,'Feb 2026'!N$6)</f>
        <v>0</v>
      </c>
      <c r="O26" s="148">
        <f>COUNTIFS('2026 Time Off Request'!$A:$A,'Feb 2026'!$D26,'2026 Time Off Request'!$L:$L,'Feb 2026'!O$6)</f>
        <v>0</v>
      </c>
      <c r="P26" s="148">
        <f>COUNTIFS('2026 Time Off Request'!$A:$A,'Feb 2026'!$D26,'2026 Time Off Request'!$L:$L,'Feb 2026'!P$6)</f>
        <v>0</v>
      </c>
      <c r="Q26" s="148">
        <f>COUNTIFS('2026 Time Off Request'!$A:$A,'Feb 2026'!$D26,'2026 Time Off Request'!$L:$L,'Feb 2026'!Q$6)</f>
        <v>0</v>
      </c>
      <c r="R26" s="148">
        <f>COUNTIFS('2026 Time Off Request'!$A:$A,'Feb 2026'!$D26,'2026 Time Off Request'!$L:$L,'Feb 2026'!R$6)</f>
        <v>0</v>
      </c>
      <c r="S26" s="147">
        <f>COUNTIFS('2026 Time Off Request'!$A:$A,'Feb 2026'!$D26,'2026 Time Off Request'!$L:$L,'Feb 2026'!S$6)</f>
        <v>0</v>
      </c>
      <c r="T26" s="147">
        <f>COUNTIFS('2026 Time Off Request'!$A:$A,'Feb 2026'!$D26,'2026 Time Off Request'!$L:$L,'Feb 2026'!T$6)</f>
        <v>0</v>
      </c>
      <c r="U26" s="214">
        <f>COUNTIFS('2026 Time Off Request'!$A:$A,'Feb 2026'!$D26,'2026 Time Off Request'!$L:$L,'Feb 2026'!U$6)</f>
        <v>0</v>
      </c>
      <c r="V26" s="148">
        <f>COUNTIFS('2026 Time Off Request'!$A:$A,'Feb 2026'!$D26,'2026 Time Off Request'!$L:$L,'Feb 2026'!V$6)</f>
        <v>0</v>
      </c>
      <c r="W26" s="148">
        <f>COUNTIFS('2026 Time Off Request'!$A:$A,'Feb 2026'!$D26,'2026 Time Off Request'!$L:$L,'Feb 2026'!W$6)</f>
        <v>0</v>
      </c>
      <c r="X26" s="148">
        <f>COUNTIFS('2026 Time Off Request'!$A:$A,'Feb 2026'!$D26,'2026 Time Off Request'!$L:$L,'Feb 2026'!X$6)</f>
        <v>0</v>
      </c>
      <c r="Y26" s="148">
        <f>COUNTIFS('2026 Time Off Request'!$A:$A,'Feb 2026'!$D26,'2026 Time Off Request'!$L:$L,'Feb 2026'!Y$6)</f>
        <v>0</v>
      </c>
      <c r="Z26" s="147">
        <f>COUNTIFS('2026 Time Off Request'!$A:$A,'Feb 2026'!$D26,'2026 Time Off Request'!$L:$L,'Feb 2026'!Z$6)</f>
        <v>0</v>
      </c>
      <c r="AA26" s="147">
        <f>COUNTIFS('2026 Time Off Request'!$A:$A,'Feb 2026'!$D26,'2026 Time Off Request'!$L:$L,'Feb 2026'!AA$6)</f>
        <v>0</v>
      </c>
      <c r="AB26" s="148">
        <f>COUNTIFS('2026 Time Off Request'!$A:$A,'Feb 2026'!$D26,'2026 Time Off Request'!$L:$L,'Feb 2026'!AB$6)</f>
        <v>0</v>
      </c>
      <c r="AC26" s="148">
        <f>COUNTIFS('2026 Time Off Request'!$A:$A,'Feb 2026'!$D26,'2026 Time Off Request'!$L:$L,'Feb 2026'!AC$6)</f>
        <v>0</v>
      </c>
      <c r="AD26" s="148">
        <f>COUNTIFS('2026 Time Off Request'!$A:$A,'Feb 2026'!$D26,'2026 Time Off Request'!$L:$L,'Feb 2026'!AD$6)</f>
        <v>0</v>
      </c>
      <c r="AE26" s="148">
        <f>COUNTIFS('2026 Time Off Request'!$A:$A,'Feb 2026'!$D26,'2026 Time Off Request'!$L:$L,'Feb 2026'!AE$6)</f>
        <v>0</v>
      </c>
      <c r="AF26" s="148">
        <f>COUNTIFS('2026 Time Off Request'!$A:$A,'Feb 2026'!$D26,'2026 Time Off Request'!$L:$L,'Feb 2026'!AF$6)</f>
        <v>0</v>
      </c>
      <c r="AG26" s="147">
        <f>COUNTIFS('2026 Time Off Request'!$A:$A,'Feb 2026'!$D26,'2026 Time Off Request'!$L:$L,'Feb 2026'!AG$6)</f>
        <v>0</v>
      </c>
    </row>
    <row r="27" spans="1:33" ht="15.6" customHeight="1">
      <c r="A27" s="2">
        <v>20</v>
      </c>
      <c r="B27" s="209" t="s">
        <v>45</v>
      </c>
      <c r="C27" s="210" t="s">
        <v>58</v>
      </c>
      <c r="D27" s="215" t="s">
        <v>59</v>
      </c>
      <c r="E27" s="212">
        <f t="shared" si="3"/>
        <v>0</v>
      </c>
      <c r="F27" s="213">
        <f>COUNTIFS('2026 Time Off Request'!$A:$A,'Feb 2026'!$D27,'2026 Time Off Request'!$L:$L,'Feb 2026'!F$6)</f>
        <v>0</v>
      </c>
      <c r="G27" s="148">
        <f>COUNTIFS('2026 Time Off Request'!$A:$A,'Feb 2026'!$D27,'2026 Time Off Request'!$L:$L,'Feb 2026'!G$6)</f>
        <v>0</v>
      </c>
      <c r="H27" s="148">
        <f>COUNTIFS('2026 Time Off Request'!$A:$A,'Feb 2026'!$D27,'2026 Time Off Request'!$L:$L,'Feb 2026'!H$6)</f>
        <v>0</v>
      </c>
      <c r="I27" s="148">
        <f>COUNTIFS('2026 Time Off Request'!$A:$A,'Feb 2026'!$D27,'2026 Time Off Request'!$L:$L,'Feb 2026'!I$6)</f>
        <v>0</v>
      </c>
      <c r="J27" s="148">
        <f>COUNTIFS('2026 Time Off Request'!$A:$A,'Feb 2026'!$D27,'2026 Time Off Request'!$L:$L,'Feb 2026'!J$6)</f>
        <v>0</v>
      </c>
      <c r="K27" s="148">
        <f>COUNTIFS('2026 Time Off Request'!$A:$A,'Feb 2026'!$D27,'2026 Time Off Request'!$L:$L,'Feb 2026'!K$6)</f>
        <v>0</v>
      </c>
      <c r="L27" s="147">
        <f>COUNTIFS('2026 Time Off Request'!$A:$A,'Feb 2026'!$D27,'2026 Time Off Request'!$L:$L,'Feb 2026'!L$6)</f>
        <v>0</v>
      </c>
      <c r="M27" s="147">
        <f>COUNTIFS('2026 Time Off Request'!$A:$A,'Feb 2026'!$D27,'2026 Time Off Request'!$L:$L,'Feb 2026'!M$6)</f>
        <v>0</v>
      </c>
      <c r="N27" s="148">
        <f>COUNTIFS('2026 Time Off Request'!$A:$A,'Feb 2026'!$D27,'2026 Time Off Request'!$L:$L,'Feb 2026'!N$6)</f>
        <v>0</v>
      </c>
      <c r="O27" s="148">
        <f>COUNTIFS('2026 Time Off Request'!$A:$A,'Feb 2026'!$D27,'2026 Time Off Request'!$L:$L,'Feb 2026'!O$6)</f>
        <v>0</v>
      </c>
      <c r="P27" s="148">
        <f>COUNTIFS('2026 Time Off Request'!$A:$A,'Feb 2026'!$D27,'2026 Time Off Request'!$L:$L,'Feb 2026'!P$6)</f>
        <v>0</v>
      </c>
      <c r="Q27" s="148">
        <f>COUNTIFS('2026 Time Off Request'!$A:$A,'Feb 2026'!$D27,'2026 Time Off Request'!$L:$L,'Feb 2026'!Q$6)</f>
        <v>0</v>
      </c>
      <c r="R27" s="148">
        <f>COUNTIFS('2026 Time Off Request'!$A:$A,'Feb 2026'!$D27,'2026 Time Off Request'!$L:$L,'Feb 2026'!R$6)</f>
        <v>0</v>
      </c>
      <c r="S27" s="147">
        <f>COUNTIFS('2026 Time Off Request'!$A:$A,'Feb 2026'!$D27,'2026 Time Off Request'!$L:$L,'Feb 2026'!S$6)</f>
        <v>0</v>
      </c>
      <c r="T27" s="147">
        <f>COUNTIFS('2026 Time Off Request'!$A:$A,'Feb 2026'!$D27,'2026 Time Off Request'!$L:$L,'Feb 2026'!T$6)</f>
        <v>0</v>
      </c>
      <c r="U27" s="214">
        <f>COUNTIFS('2026 Time Off Request'!$A:$A,'Feb 2026'!$D27,'2026 Time Off Request'!$L:$L,'Feb 2026'!U$6)</f>
        <v>0</v>
      </c>
      <c r="V27" s="148">
        <f>COUNTIFS('2026 Time Off Request'!$A:$A,'Feb 2026'!$D27,'2026 Time Off Request'!$L:$L,'Feb 2026'!V$6)</f>
        <v>0</v>
      </c>
      <c r="W27" s="148">
        <f>COUNTIFS('2026 Time Off Request'!$A:$A,'Feb 2026'!$D27,'2026 Time Off Request'!$L:$L,'Feb 2026'!W$6)</f>
        <v>0</v>
      </c>
      <c r="X27" s="148">
        <f>COUNTIFS('2026 Time Off Request'!$A:$A,'Feb 2026'!$D27,'2026 Time Off Request'!$L:$L,'Feb 2026'!X$6)</f>
        <v>0</v>
      </c>
      <c r="Y27" s="148">
        <f>COUNTIFS('2026 Time Off Request'!$A:$A,'Feb 2026'!$D27,'2026 Time Off Request'!$L:$L,'Feb 2026'!Y$6)</f>
        <v>0</v>
      </c>
      <c r="Z27" s="147">
        <f>COUNTIFS('2026 Time Off Request'!$A:$A,'Feb 2026'!$D27,'2026 Time Off Request'!$L:$L,'Feb 2026'!Z$6)</f>
        <v>0</v>
      </c>
      <c r="AA27" s="147">
        <f>COUNTIFS('2026 Time Off Request'!$A:$A,'Feb 2026'!$D27,'2026 Time Off Request'!$L:$L,'Feb 2026'!AA$6)</f>
        <v>0</v>
      </c>
      <c r="AB27" s="148">
        <f>COUNTIFS('2026 Time Off Request'!$A:$A,'Feb 2026'!$D27,'2026 Time Off Request'!$L:$L,'Feb 2026'!AB$6)</f>
        <v>0</v>
      </c>
      <c r="AC27" s="148">
        <f>COUNTIFS('2026 Time Off Request'!$A:$A,'Feb 2026'!$D27,'2026 Time Off Request'!$L:$L,'Feb 2026'!AC$6)</f>
        <v>0</v>
      </c>
      <c r="AD27" s="148">
        <f>COUNTIFS('2026 Time Off Request'!$A:$A,'Feb 2026'!$D27,'2026 Time Off Request'!$L:$L,'Feb 2026'!AD$6)</f>
        <v>0</v>
      </c>
      <c r="AE27" s="148">
        <f>COUNTIFS('2026 Time Off Request'!$A:$A,'Feb 2026'!$D27,'2026 Time Off Request'!$L:$L,'Feb 2026'!AE$6)</f>
        <v>0</v>
      </c>
      <c r="AF27" s="148">
        <f>COUNTIFS('2026 Time Off Request'!$A:$A,'Feb 2026'!$D27,'2026 Time Off Request'!$L:$L,'Feb 2026'!AF$6)</f>
        <v>0</v>
      </c>
      <c r="AG27" s="147">
        <f>COUNTIFS('2026 Time Off Request'!$A:$A,'Feb 2026'!$D27,'2026 Time Off Request'!$L:$L,'Feb 2026'!AG$6)</f>
        <v>0</v>
      </c>
    </row>
    <row r="28" spans="1:33" ht="15.6" customHeight="1">
      <c r="A28" s="2">
        <v>21</v>
      </c>
      <c r="B28" s="209" t="s">
        <v>45</v>
      </c>
      <c r="C28" s="210" t="s">
        <v>60</v>
      </c>
      <c r="D28" s="215" t="s">
        <v>61</v>
      </c>
      <c r="E28" s="212">
        <f t="shared" si="3"/>
        <v>0</v>
      </c>
      <c r="F28" s="213">
        <f>COUNTIFS('2026 Time Off Request'!$A:$A,'Feb 2026'!$D28,'2026 Time Off Request'!$L:$L,'Feb 2026'!F$6)</f>
        <v>0</v>
      </c>
      <c r="G28" s="148">
        <f>COUNTIFS('2026 Time Off Request'!$A:$A,'Feb 2026'!$D28,'2026 Time Off Request'!$L:$L,'Feb 2026'!G$6)</f>
        <v>0</v>
      </c>
      <c r="H28" s="148">
        <f>COUNTIFS('2026 Time Off Request'!$A:$A,'Feb 2026'!$D28,'2026 Time Off Request'!$L:$L,'Feb 2026'!H$6)</f>
        <v>0</v>
      </c>
      <c r="I28" s="148">
        <f>COUNTIFS('2026 Time Off Request'!$A:$A,'Feb 2026'!$D28,'2026 Time Off Request'!$L:$L,'Feb 2026'!I$6)</f>
        <v>0</v>
      </c>
      <c r="J28" s="148">
        <f>COUNTIFS('2026 Time Off Request'!$A:$A,'Feb 2026'!$D28,'2026 Time Off Request'!$L:$L,'Feb 2026'!J$6)</f>
        <v>0</v>
      </c>
      <c r="K28" s="148">
        <f>COUNTIFS('2026 Time Off Request'!$A:$A,'Feb 2026'!$D28,'2026 Time Off Request'!$L:$L,'Feb 2026'!K$6)</f>
        <v>0</v>
      </c>
      <c r="L28" s="147">
        <f>COUNTIFS('2026 Time Off Request'!$A:$A,'Feb 2026'!$D28,'2026 Time Off Request'!$L:$L,'Feb 2026'!L$6)</f>
        <v>0</v>
      </c>
      <c r="M28" s="147">
        <f>COUNTIFS('2026 Time Off Request'!$A:$A,'Feb 2026'!$D28,'2026 Time Off Request'!$L:$L,'Feb 2026'!M$6)</f>
        <v>0</v>
      </c>
      <c r="N28" s="148">
        <f>COUNTIFS('2026 Time Off Request'!$A:$A,'Feb 2026'!$D28,'2026 Time Off Request'!$L:$L,'Feb 2026'!N$6)</f>
        <v>0</v>
      </c>
      <c r="O28" s="148">
        <f>COUNTIFS('2026 Time Off Request'!$A:$A,'Feb 2026'!$D28,'2026 Time Off Request'!$L:$L,'Feb 2026'!O$6)</f>
        <v>0</v>
      </c>
      <c r="P28" s="148">
        <f>COUNTIFS('2026 Time Off Request'!$A:$A,'Feb 2026'!$D28,'2026 Time Off Request'!$L:$L,'Feb 2026'!P$6)</f>
        <v>0</v>
      </c>
      <c r="Q28" s="148">
        <f>COUNTIFS('2026 Time Off Request'!$A:$A,'Feb 2026'!$D28,'2026 Time Off Request'!$L:$L,'Feb 2026'!Q$6)</f>
        <v>0</v>
      </c>
      <c r="R28" s="148">
        <f>COUNTIFS('2026 Time Off Request'!$A:$A,'Feb 2026'!$D28,'2026 Time Off Request'!$L:$L,'Feb 2026'!R$6)</f>
        <v>0</v>
      </c>
      <c r="S28" s="147">
        <f>COUNTIFS('2026 Time Off Request'!$A:$A,'Feb 2026'!$D28,'2026 Time Off Request'!$L:$L,'Feb 2026'!S$6)</f>
        <v>0</v>
      </c>
      <c r="T28" s="147">
        <f>COUNTIFS('2026 Time Off Request'!$A:$A,'Feb 2026'!$D28,'2026 Time Off Request'!$L:$L,'Feb 2026'!T$6)</f>
        <v>0</v>
      </c>
      <c r="U28" s="214">
        <f>COUNTIFS('2026 Time Off Request'!$A:$A,'Feb 2026'!$D28,'2026 Time Off Request'!$L:$L,'Feb 2026'!U$6)</f>
        <v>0</v>
      </c>
      <c r="V28" s="148">
        <f>COUNTIFS('2026 Time Off Request'!$A:$A,'Feb 2026'!$D28,'2026 Time Off Request'!$L:$L,'Feb 2026'!V$6)</f>
        <v>0</v>
      </c>
      <c r="W28" s="148">
        <f>COUNTIFS('2026 Time Off Request'!$A:$A,'Feb 2026'!$D28,'2026 Time Off Request'!$L:$L,'Feb 2026'!W$6)</f>
        <v>0</v>
      </c>
      <c r="X28" s="148">
        <f>COUNTIFS('2026 Time Off Request'!$A:$A,'Feb 2026'!$D28,'2026 Time Off Request'!$L:$L,'Feb 2026'!X$6)</f>
        <v>0</v>
      </c>
      <c r="Y28" s="148">
        <f>COUNTIFS('2026 Time Off Request'!$A:$A,'Feb 2026'!$D28,'2026 Time Off Request'!$L:$L,'Feb 2026'!Y$6)</f>
        <v>0</v>
      </c>
      <c r="Z28" s="147">
        <f>COUNTIFS('2026 Time Off Request'!$A:$A,'Feb 2026'!$D28,'2026 Time Off Request'!$L:$L,'Feb 2026'!Z$6)</f>
        <v>0</v>
      </c>
      <c r="AA28" s="147">
        <f>COUNTIFS('2026 Time Off Request'!$A:$A,'Feb 2026'!$D28,'2026 Time Off Request'!$L:$L,'Feb 2026'!AA$6)</f>
        <v>0</v>
      </c>
      <c r="AB28" s="148">
        <f>COUNTIFS('2026 Time Off Request'!$A:$A,'Feb 2026'!$D28,'2026 Time Off Request'!$L:$L,'Feb 2026'!AB$6)</f>
        <v>0</v>
      </c>
      <c r="AC28" s="148">
        <f>COUNTIFS('2026 Time Off Request'!$A:$A,'Feb 2026'!$D28,'2026 Time Off Request'!$L:$L,'Feb 2026'!AC$6)</f>
        <v>0</v>
      </c>
      <c r="AD28" s="148">
        <f>COUNTIFS('2026 Time Off Request'!$A:$A,'Feb 2026'!$D28,'2026 Time Off Request'!$L:$L,'Feb 2026'!AD$6)</f>
        <v>0</v>
      </c>
      <c r="AE28" s="148">
        <f>COUNTIFS('2026 Time Off Request'!$A:$A,'Feb 2026'!$D28,'2026 Time Off Request'!$L:$L,'Feb 2026'!AE$6)</f>
        <v>0</v>
      </c>
      <c r="AF28" s="148">
        <f>COUNTIFS('2026 Time Off Request'!$A:$A,'Feb 2026'!$D28,'2026 Time Off Request'!$L:$L,'Feb 2026'!AF$6)</f>
        <v>0</v>
      </c>
      <c r="AG28" s="147">
        <f>COUNTIFS('2026 Time Off Request'!$A:$A,'Feb 2026'!$D28,'2026 Time Off Request'!$L:$L,'Feb 2026'!AG$6)</f>
        <v>0</v>
      </c>
    </row>
    <row r="29" spans="1:33" ht="15.6" customHeight="1">
      <c r="A29" s="2">
        <v>22</v>
      </c>
      <c r="B29" s="209" t="s">
        <v>45</v>
      </c>
      <c r="C29" s="210" t="s">
        <v>62</v>
      </c>
      <c r="D29" s="215" t="s">
        <v>63</v>
      </c>
      <c r="E29" s="212">
        <f t="shared" si="3"/>
        <v>0</v>
      </c>
      <c r="F29" s="213">
        <f>COUNTIFS('2026 Time Off Request'!$A:$A,'Feb 2026'!$D29,'2026 Time Off Request'!$L:$L,'Feb 2026'!F$6)</f>
        <v>0</v>
      </c>
      <c r="G29" s="148">
        <f>COUNTIFS('2026 Time Off Request'!$A:$A,'Feb 2026'!$D29,'2026 Time Off Request'!$L:$L,'Feb 2026'!G$6)</f>
        <v>0</v>
      </c>
      <c r="H29" s="148">
        <f>COUNTIFS('2026 Time Off Request'!$A:$A,'Feb 2026'!$D29,'2026 Time Off Request'!$L:$L,'Feb 2026'!H$6)</f>
        <v>0</v>
      </c>
      <c r="I29" s="148">
        <f>COUNTIFS('2026 Time Off Request'!$A:$A,'Feb 2026'!$D29,'2026 Time Off Request'!$L:$L,'Feb 2026'!I$6)</f>
        <v>0</v>
      </c>
      <c r="J29" s="148">
        <f>COUNTIFS('2026 Time Off Request'!$A:$A,'Feb 2026'!$D29,'2026 Time Off Request'!$L:$L,'Feb 2026'!J$6)</f>
        <v>0</v>
      </c>
      <c r="K29" s="148">
        <f>COUNTIFS('2026 Time Off Request'!$A:$A,'Feb 2026'!$D29,'2026 Time Off Request'!$L:$L,'Feb 2026'!K$6)</f>
        <v>0</v>
      </c>
      <c r="L29" s="147">
        <f>COUNTIFS('2026 Time Off Request'!$A:$A,'Feb 2026'!$D29,'2026 Time Off Request'!$L:$L,'Feb 2026'!L$6)</f>
        <v>0</v>
      </c>
      <c r="M29" s="147">
        <f>COUNTIFS('2026 Time Off Request'!$A:$A,'Feb 2026'!$D29,'2026 Time Off Request'!$L:$L,'Feb 2026'!M$6)</f>
        <v>0</v>
      </c>
      <c r="N29" s="148">
        <f>COUNTIFS('2026 Time Off Request'!$A:$A,'Feb 2026'!$D29,'2026 Time Off Request'!$L:$L,'Feb 2026'!N$6)</f>
        <v>0</v>
      </c>
      <c r="O29" s="148">
        <f>COUNTIFS('2026 Time Off Request'!$A:$A,'Feb 2026'!$D29,'2026 Time Off Request'!$L:$L,'Feb 2026'!O$6)</f>
        <v>0</v>
      </c>
      <c r="P29" s="148">
        <f>COUNTIFS('2026 Time Off Request'!$A:$A,'Feb 2026'!$D29,'2026 Time Off Request'!$L:$L,'Feb 2026'!P$6)</f>
        <v>0</v>
      </c>
      <c r="Q29" s="148">
        <f>COUNTIFS('2026 Time Off Request'!$A:$A,'Feb 2026'!$D29,'2026 Time Off Request'!$L:$L,'Feb 2026'!Q$6)</f>
        <v>0</v>
      </c>
      <c r="R29" s="148">
        <f>COUNTIFS('2026 Time Off Request'!$A:$A,'Feb 2026'!$D29,'2026 Time Off Request'!$L:$L,'Feb 2026'!R$6)</f>
        <v>0</v>
      </c>
      <c r="S29" s="147">
        <f>COUNTIFS('2026 Time Off Request'!$A:$A,'Feb 2026'!$D29,'2026 Time Off Request'!$L:$L,'Feb 2026'!S$6)</f>
        <v>0</v>
      </c>
      <c r="T29" s="147">
        <f>COUNTIFS('2026 Time Off Request'!$A:$A,'Feb 2026'!$D29,'2026 Time Off Request'!$L:$L,'Feb 2026'!T$6)</f>
        <v>0</v>
      </c>
      <c r="U29" s="214">
        <f>COUNTIFS('2026 Time Off Request'!$A:$A,'Feb 2026'!$D29,'2026 Time Off Request'!$L:$L,'Feb 2026'!U$6)</f>
        <v>0</v>
      </c>
      <c r="V29" s="148">
        <f>COUNTIFS('2026 Time Off Request'!$A:$A,'Feb 2026'!$D29,'2026 Time Off Request'!$L:$L,'Feb 2026'!V$6)</f>
        <v>0</v>
      </c>
      <c r="W29" s="148">
        <f>COUNTIFS('2026 Time Off Request'!$A:$A,'Feb 2026'!$D29,'2026 Time Off Request'!$L:$L,'Feb 2026'!W$6)</f>
        <v>0</v>
      </c>
      <c r="X29" s="148">
        <f>COUNTIFS('2026 Time Off Request'!$A:$A,'Feb 2026'!$D29,'2026 Time Off Request'!$L:$L,'Feb 2026'!X$6)</f>
        <v>0</v>
      </c>
      <c r="Y29" s="148">
        <f>COUNTIFS('2026 Time Off Request'!$A:$A,'Feb 2026'!$D29,'2026 Time Off Request'!$L:$L,'Feb 2026'!Y$6)</f>
        <v>0</v>
      </c>
      <c r="Z29" s="147">
        <f>COUNTIFS('2026 Time Off Request'!$A:$A,'Feb 2026'!$D29,'2026 Time Off Request'!$L:$L,'Feb 2026'!Z$6)</f>
        <v>0</v>
      </c>
      <c r="AA29" s="147">
        <f>COUNTIFS('2026 Time Off Request'!$A:$A,'Feb 2026'!$D29,'2026 Time Off Request'!$L:$L,'Feb 2026'!AA$6)</f>
        <v>0</v>
      </c>
      <c r="AB29" s="148">
        <f>COUNTIFS('2026 Time Off Request'!$A:$A,'Feb 2026'!$D29,'2026 Time Off Request'!$L:$L,'Feb 2026'!AB$6)</f>
        <v>0</v>
      </c>
      <c r="AC29" s="148">
        <f>COUNTIFS('2026 Time Off Request'!$A:$A,'Feb 2026'!$D29,'2026 Time Off Request'!$L:$L,'Feb 2026'!AC$6)</f>
        <v>0</v>
      </c>
      <c r="AD29" s="148">
        <f>COUNTIFS('2026 Time Off Request'!$A:$A,'Feb 2026'!$D29,'2026 Time Off Request'!$L:$L,'Feb 2026'!AD$6)</f>
        <v>0</v>
      </c>
      <c r="AE29" s="148">
        <f>COUNTIFS('2026 Time Off Request'!$A:$A,'Feb 2026'!$D29,'2026 Time Off Request'!$L:$L,'Feb 2026'!AE$6)</f>
        <v>0</v>
      </c>
      <c r="AF29" s="148">
        <f>COUNTIFS('2026 Time Off Request'!$A:$A,'Feb 2026'!$D29,'2026 Time Off Request'!$L:$L,'Feb 2026'!AF$6)</f>
        <v>0</v>
      </c>
      <c r="AG29" s="147">
        <f>COUNTIFS('2026 Time Off Request'!$A:$A,'Feb 2026'!$D29,'2026 Time Off Request'!$L:$L,'Feb 2026'!AG$6)</f>
        <v>0</v>
      </c>
    </row>
    <row r="30" spans="1:33" ht="15.6" customHeight="1">
      <c r="A30" s="2">
        <v>23</v>
      </c>
      <c r="B30" s="209" t="s">
        <v>49</v>
      </c>
      <c r="C30" s="210" t="s">
        <v>64</v>
      </c>
      <c r="D30" s="215" t="s">
        <v>65</v>
      </c>
      <c r="E30" s="212">
        <f t="shared" si="2"/>
        <v>0</v>
      </c>
      <c r="F30" s="213">
        <f>COUNTIFS('2026 Time Off Request'!$A:$A,'Feb 2026'!$D30,'2026 Time Off Request'!$L:$L,'Feb 2026'!F$6)</f>
        <v>0</v>
      </c>
      <c r="G30" s="148">
        <f>COUNTIFS('2026 Time Off Request'!$A:$A,'Feb 2026'!$D30,'2026 Time Off Request'!$L:$L,'Feb 2026'!G$6)</f>
        <v>0</v>
      </c>
      <c r="H30" s="148">
        <f>COUNTIFS('2026 Time Off Request'!$A:$A,'Feb 2026'!$D30,'2026 Time Off Request'!$L:$L,'Feb 2026'!H$6)</f>
        <v>0</v>
      </c>
      <c r="I30" s="148">
        <f>COUNTIFS('2026 Time Off Request'!$A:$A,'Feb 2026'!$D30,'2026 Time Off Request'!$L:$L,'Feb 2026'!I$6)</f>
        <v>0</v>
      </c>
      <c r="J30" s="148">
        <f>COUNTIFS('2026 Time Off Request'!$A:$A,'Feb 2026'!$D30,'2026 Time Off Request'!$L:$L,'Feb 2026'!J$6)</f>
        <v>0</v>
      </c>
      <c r="K30" s="148">
        <f>COUNTIFS('2026 Time Off Request'!$A:$A,'Feb 2026'!$D30,'2026 Time Off Request'!$L:$L,'Feb 2026'!K$6)</f>
        <v>0</v>
      </c>
      <c r="L30" s="147">
        <f>COUNTIFS('2026 Time Off Request'!$A:$A,'Feb 2026'!$D30,'2026 Time Off Request'!$L:$L,'Feb 2026'!L$6)</f>
        <v>0</v>
      </c>
      <c r="M30" s="147">
        <f>COUNTIFS('2026 Time Off Request'!$A:$A,'Feb 2026'!$D30,'2026 Time Off Request'!$L:$L,'Feb 2026'!M$6)</f>
        <v>0</v>
      </c>
      <c r="N30" s="148">
        <f>COUNTIFS('2026 Time Off Request'!$A:$A,'Feb 2026'!$D30,'2026 Time Off Request'!$L:$L,'Feb 2026'!N$6)</f>
        <v>0</v>
      </c>
      <c r="O30" s="148">
        <f>COUNTIFS('2026 Time Off Request'!$A:$A,'Feb 2026'!$D30,'2026 Time Off Request'!$L:$L,'Feb 2026'!O$6)</f>
        <v>0</v>
      </c>
      <c r="P30" s="148">
        <f>COUNTIFS('2026 Time Off Request'!$A:$A,'Feb 2026'!$D30,'2026 Time Off Request'!$L:$L,'Feb 2026'!P$6)</f>
        <v>0</v>
      </c>
      <c r="Q30" s="148">
        <f>COUNTIFS('2026 Time Off Request'!$A:$A,'Feb 2026'!$D30,'2026 Time Off Request'!$L:$L,'Feb 2026'!Q$6)</f>
        <v>0</v>
      </c>
      <c r="R30" s="148">
        <f>COUNTIFS('2026 Time Off Request'!$A:$A,'Feb 2026'!$D30,'2026 Time Off Request'!$L:$L,'Feb 2026'!R$6)</f>
        <v>0</v>
      </c>
      <c r="S30" s="147">
        <f>COUNTIFS('2026 Time Off Request'!$A:$A,'Feb 2026'!$D30,'2026 Time Off Request'!$L:$L,'Feb 2026'!S$6)</f>
        <v>0</v>
      </c>
      <c r="T30" s="147">
        <f>COUNTIFS('2026 Time Off Request'!$A:$A,'Feb 2026'!$D30,'2026 Time Off Request'!$L:$L,'Feb 2026'!T$6)</f>
        <v>0</v>
      </c>
      <c r="U30" s="214">
        <f>COUNTIFS('2026 Time Off Request'!$A:$A,'Feb 2026'!$D30,'2026 Time Off Request'!$L:$L,'Feb 2026'!U$6)</f>
        <v>0</v>
      </c>
      <c r="V30" s="148">
        <f>COUNTIFS('2026 Time Off Request'!$A:$A,'Feb 2026'!$D30,'2026 Time Off Request'!$L:$L,'Feb 2026'!V$6)</f>
        <v>0</v>
      </c>
      <c r="W30" s="148">
        <f>COUNTIFS('2026 Time Off Request'!$A:$A,'Feb 2026'!$D30,'2026 Time Off Request'!$L:$L,'Feb 2026'!W$6)</f>
        <v>0</v>
      </c>
      <c r="X30" s="148">
        <f>COUNTIFS('2026 Time Off Request'!$A:$A,'Feb 2026'!$D30,'2026 Time Off Request'!$L:$L,'Feb 2026'!X$6)</f>
        <v>0</v>
      </c>
      <c r="Y30" s="148">
        <f>COUNTIFS('2026 Time Off Request'!$A:$A,'Feb 2026'!$D30,'2026 Time Off Request'!$L:$L,'Feb 2026'!Y$6)</f>
        <v>0</v>
      </c>
      <c r="Z30" s="147">
        <f>COUNTIFS('2026 Time Off Request'!$A:$A,'Feb 2026'!$D30,'2026 Time Off Request'!$L:$L,'Feb 2026'!Z$6)</f>
        <v>0</v>
      </c>
      <c r="AA30" s="147">
        <f>COUNTIFS('2026 Time Off Request'!$A:$A,'Feb 2026'!$D30,'2026 Time Off Request'!$L:$L,'Feb 2026'!AA$6)</f>
        <v>0</v>
      </c>
      <c r="AB30" s="148">
        <f>COUNTIFS('2026 Time Off Request'!$A:$A,'Feb 2026'!$D30,'2026 Time Off Request'!$L:$L,'Feb 2026'!AB$6)</f>
        <v>0</v>
      </c>
      <c r="AC30" s="148">
        <f>COUNTIFS('2026 Time Off Request'!$A:$A,'Feb 2026'!$D30,'2026 Time Off Request'!$L:$L,'Feb 2026'!AC$6)</f>
        <v>0</v>
      </c>
      <c r="AD30" s="148">
        <f>COUNTIFS('2026 Time Off Request'!$A:$A,'Feb 2026'!$D30,'2026 Time Off Request'!$L:$L,'Feb 2026'!AD$6)</f>
        <v>0</v>
      </c>
      <c r="AE30" s="148">
        <f>COUNTIFS('2026 Time Off Request'!$A:$A,'Feb 2026'!$D30,'2026 Time Off Request'!$L:$L,'Feb 2026'!AE$6)</f>
        <v>0</v>
      </c>
      <c r="AF30" s="148">
        <f>COUNTIFS('2026 Time Off Request'!$A:$A,'Feb 2026'!$D30,'2026 Time Off Request'!$L:$L,'Feb 2026'!AF$6)</f>
        <v>0</v>
      </c>
      <c r="AG30" s="147">
        <f>COUNTIFS('2026 Time Off Request'!$A:$A,'Feb 2026'!$D30,'2026 Time Off Request'!$L:$L,'Feb 2026'!AG$6)</f>
        <v>0</v>
      </c>
    </row>
    <row r="31" spans="1:33" ht="15.6" customHeight="1">
      <c r="A31" s="2">
        <v>24</v>
      </c>
      <c r="B31" s="209" t="s">
        <v>49</v>
      </c>
      <c r="C31" s="210" t="s">
        <v>66</v>
      </c>
      <c r="D31" s="215" t="s">
        <v>67</v>
      </c>
      <c r="E31" s="212">
        <f t="shared" si="2"/>
        <v>1</v>
      </c>
      <c r="F31" s="213">
        <f>COUNTIFS('2026 Time Off Request'!$A:$A,'Feb 2026'!$D31,'2026 Time Off Request'!$L:$L,'Feb 2026'!F$6)</f>
        <v>0</v>
      </c>
      <c r="G31" s="148">
        <f>COUNTIFS('2026 Time Off Request'!$A:$A,'Feb 2026'!$D31,'2026 Time Off Request'!$L:$L,'Feb 2026'!G$6)</f>
        <v>0</v>
      </c>
      <c r="H31" s="148">
        <f>COUNTIFS('2026 Time Off Request'!$A:$A,'Feb 2026'!$D31,'2026 Time Off Request'!$L:$L,'Feb 2026'!H$6)</f>
        <v>0</v>
      </c>
      <c r="I31" s="148">
        <f>COUNTIFS('2026 Time Off Request'!$A:$A,'Feb 2026'!$D31,'2026 Time Off Request'!$L:$L,'Feb 2026'!I$6)</f>
        <v>0</v>
      </c>
      <c r="J31" s="148">
        <f>COUNTIFS('2026 Time Off Request'!$A:$A,'Feb 2026'!$D31,'2026 Time Off Request'!$L:$L,'Feb 2026'!J$6)</f>
        <v>0</v>
      </c>
      <c r="K31" s="148">
        <f>COUNTIFS('2026 Time Off Request'!$A:$A,'Feb 2026'!$D31,'2026 Time Off Request'!$L:$L,'Feb 2026'!K$6)</f>
        <v>0</v>
      </c>
      <c r="L31" s="147">
        <f>COUNTIFS('2026 Time Off Request'!$A:$A,'Feb 2026'!$D31,'2026 Time Off Request'!$L:$L,'Feb 2026'!L$6)</f>
        <v>0</v>
      </c>
      <c r="M31" s="147">
        <f>COUNTIFS('2026 Time Off Request'!$A:$A,'Feb 2026'!$D31,'2026 Time Off Request'!$L:$L,'Feb 2026'!M$6)</f>
        <v>0</v>
      </c>
      <c r="N31" s="148">
        <f>COUNTIFS('2026 Time Off Request'!$A:$A,'Feb 2026'!$D31,'2026 Time Off Request'!$L:$L,'Feb 2026'!N$6)</f>
        <v>0</v>
      </c>
      <c r="O31" s="148">
        <f>COUNTIFS('2026 Time Off Request'!$A:$A,'Feb 2026'!$D31,'2026 Time Off Request'!$L:$L,'Feb 2026'!O$6)</f>
        <v>0</v>
      </c>
      <c r="P31" s="148">
        <f>COUNTIFS('2026 Time Off Request'!$A:$A,'Feb 2026'!$D31,'2026 Time Off Request'!$L:$L,'Feb 2026'!P$6)</f>
        <v>0</v>
      </c>
      <c r="Q31" s="148">
        <f>COUNTIFS('2026 Time Off Request'!$A:$A,'Feb 2026'!$D31,'2026 Time Off Request'!$L:$L,'Feb 2026'!Q$6)</f>
        <v>0</v>
      </c>
      <c r="R31" s="148">
        <f>COUNTIFS('2026 Time Off Request'!$A:$A,'Feb 2026'!$D31,'2026 Time Off Request'!$L:$L,'Feb 2026'!R$6)</f>
        <v>0</v>
      </c>
      <c r="S31" s="147">
        <f>COUNTIFS('2026 Time Off Request'!$A:$A,'Feb 2026'!$D31,'2026 Time Off Request'!$L:$L,'Feb 2026'!S$6)</f>
        <v>0</v>
      </c>
      <c r="T31" s="147">
        <f>COUNTIFS('2026 Time Off Request'!$A:$A,'Feb 2026'!$D31,'2026 Time Off Request'!$L:$L,'Feb 2026'!T$6)</f>
        <v>0</v>
      </c>
      <c r="U31" s="214">
        <f>COUNTIFS('2026 Time Off Request'!$A:$A,'Feb 2026'!$D31,'2026 Time Off Request'!$L:$L,'Feb 2026'!U$6)</f>
        <v>0</v>
      </c>
      <c r="V31" s="148">
        <f>COUNTIFS('2026 Time Off Request'!$A:$A,'Feb 2026'!$D31,'2026 Time Off Request'!$L:$L,'Feb 2026'!V$6)</f>
        <v>0</v>
      </c>
      <c r="W31" s="148">
        <f>COUNTIFS('2026 Time Off Request'!$A:$A,'Feb 2026'!$D31,'2026 Time Off Request'!$L:$L,'Feb 2026'!W$6)</f>
        <v>1</v>
      </c>
      <c r="X31" s="148">
        <f>COUNTIFS('2026 Time Off Request'!$A:$A,'Feb 2026'!$D31,'2026 Time Off Request'!$L:$L,'Feb 2026'!X$6)</f>
        <v>0</v>
      </c>
      <c r="Y31" s="148">
        <f>COUNTIFS('2026 Time Off Request'!$A:$A,'Feb 2026'!$D31,'2026 Time Off Request'!$L:$L,'Feb 2026'!Y$6)</f>
        <v>0</v>
      </c>
      <c r="Z31" s="147">
        <f>COUNTIFS('2026 Time Off Request'!$A:$A,'Feb 2026'!$D31,'2026 Time Off Request'!$L:$L,'Feb 2026'!Z$6)</f>
        <v>0</v>
      </c>
      <c r="AA31" s="147">
        <f>COUNTIFS('2026 Time Off Request'!$A:$A,'Feb 2026'!$D31,'2026 Time Off Request'!$L:$L,'Feb 2026'!AA$6)</f>
        <v>0</v>
      </c>
      <c r="AB31" s="148">
        <f>COUNTIFS('2026 Time Off Request'!$A:$A,'Feb 2026'!$D31,'2026 Time Off Request'!$L:$L,'Feb 2026'!AB$6)</f>
        <v>0</v>
      </c>
      <c r="AC31" s="148">
        <f>COUNTIFS('2026 Time Off Request'!$A:$A,'Feb 2026'!$D31,'2026 Time Off Request'!$L:$L,'Feb 2026'!AC$6)</f>
        <v>0</v>
      </c>
      <c r="AD31" s="148">
        <f>COUNTIFS('2026 Time Off Request'!$A:$A,'Feb 2026'!$D31,'2026 Time Off Request'!$L:$L,'Feb 2026'!AD$6)</f>
        <v>0</v>
      </c>
      <c r="AE31" s="148">
        <f>COUNTIFS('2026 Time Off Request'!$A:$A,'Feb 2026'!$D31,'2026 Time Off Request'!$L:$L,'Feb 2026'!AE$6)</f>
        <v>0</v>
      </c>
      <c r="AF31" s="148">
        <f>COUNTIFS('2026 Time Off Request'!$A:$A,'Feb 2026'!$D31,'2026 Time Off Request'!$L:$L,'Feb 2026'!AF$6)</f>
        <v>0</v>
      </c>
      <c r="AG31" s="147">
        <f>COUNTIFS('2026 Time Off Request'!$A:$A,'Feb 2026'!$D31,'2026 Time Off Request'!$L:$L,'Feb 2026'!AG$6)</f>
        <v>0</v>
      </c>
    </row>
    <row r="32" spans="1:33" ht="15.6" customHeight="1">
      <c r="A32" s="2">
        <v>25</v>
      </c>
      <c r="B32" s="209" t="s">
        <v>45</v>
      </c>
      <c r="C32" s="210" t="s">
        <v>68</v>
      </c>
      <c r="D32" s="215" t="s">
        <v>69</v>
      </c>
      <c r="E32" s="212">
        <f t="shared" si="2"/>
        <v>0</v>
      </c>
      <c r="F32" s="213">
        <f>COUNTIFS('2026 Time Off Request'!$A:$A,'Feb 2026'!$D32,'2026 Time Off Request'!$L:$L,'Feb 2026'!F$6)</f>
        <v>0</v>
      </c>
      <c r="G32" s="148">
        <f>COUNTIFS('2026 Time Off Request'!$A:$A,'Feb 2026'!$D32,'2026 Time Off Request'!$L:$L,'Feb 2026'!G$6)</f>
        <v>0</v>
      </c>
      <c r="H32" s="148">
        <f>COUNTIFS('2026 Time Off Request'!$A:$A,'Feb 2026'!$D32,'2026 Time Off Request'!$L:$L,'Feb 2026'!H$6)</f>
        <v>0</v>
      </c>
      <c r="I32" s="148">
        <f>COUNTIFS('2026 Time Off Request'!$A:$A,'Feb 2026'!$D32,'2026 Time Off Request'!$L:$L,'Feb 2026'!I$6)</f>
        <v>0</v>
      </c>
      <c r="J32" s="148">
        <f>COUNTIFS('2026 Time Off Request'!$A:$A,'Feb 2026'!$D32,'2026 Time Off Request'!$L:$L,'Feb 2026'!J$6)</f>
        <v>0</v>
      </c>
      <c r="K32" s="148">
        <f>COUNTIFS('2026 Time Off Request'!$A:$A,'Feb 2026'!$D32,'2026 Time Off Request'!$L:$L,'Feb 2026'!K$6)</f>
        <v>0</v>
      </c>
      <c r="L32" s="147">
        <f>COUNTIFS('2026 Time Off Request'!$A:$A,'Feb 2026'!$D32,'2026 Time Off Request'!$L:$L,'Feb 2026'!L$6)</f>
        <v>0</v>
      </c>
      <c r="M32" s="147">
        <f>COUNTIFS('2026 Time Off Request'!$A:$A,'Feb 2026'!$D32,'2026 Time Off Request'!$L:$L,'Feb 2026'!M$6)</f>
        <v>0</v>
      </c>
      <c r="N32" s="148">
        <f>COUNTIFS('2026 Time Off Request'!$A:$A,'Feb 2026'!$D32,'2026 Time Off Request'!$L:$L,'Feb 2026'!N$6)</f>
        <v>0</v>
      </c>
      <c r="O32" s="148">
        <f>COUNTIFS('2026 Time Off Request'!$A:$A,'Feb 2026'!$D32,'2026 Time Off Request'!$L:$L,'Feb 2026'!O$6)</f>
        <v>0</v>
      </c>
      <c r="P32" s="148">
        <f>COUNTIFS('2026 Time Off Request'!$A:$A,'Feb 2026'!$D32,'2026 Time Off Request'!$L:$L,'Feb 2026'!P$6)</f>
        <v>0</v>
      </c>
      <c r="Q32" s="148">
        <f>COUNTIFS('2026 Time Off Request'!$A:$A,'Feb 2026'!$D32,'2026 Time Off Request'!$L:$L,'Feb 2026'!Q$6)</f>
        <v>0</v>
      </c>
      <c r="R32" s="148">
        <f>COUNTIFS('2026 Time Off Request'!$A:$A,'Feb 2026'!$D32,'2026 Time Off Request'!$L:$L,'Feb 2026'!R$6)</f>
        <v>0</v>
      </c>
      <c r="S32" s="147">
        <f>COUNTIFS('2026 Time Off Request'!$A:$A,'Feb 2026'!$D32,'2026 Time Off Request'!$L:$L,'Feb 2026'!S$6)</f>
        <v>0</v>
      </c>
      <c r="T32" s="147">
        <f>COUNTIFS('2026 Time Off Request'!$A:$A,'Feb 2026'!$D32,'2026 Time Off Request'!$L:$L,'Feb 2026'!T$6)</f>
        <v>0</v>
      </c>
      <c r="U32" s="214">
        <f>COUNTIFS('2026 Time Off Request'!$A:$A,'Feb 2026'!$D32,'2026 Time Off Request'!$L:$L,'Feb 2026'!U$6)</f>
        <v>0</v>
      </c>
      <c r="V32" s="148">
        <f>COUNTIFS('2026 Time Off Request'!$A:$A,'Feb 2026'!$D32,'2026 Time Off Request'!$L:$L,'Feb 2026'!V$6)</f>
        <v>0</v>
      </c>
      <c r="W32" s="148">
        <f>COUNTIFS('2026 Time Off Request'!$A:$A,'Feb 2026'!$D32,'2026 Time Off Request'!$L:$L,'Feb 2026'!W$6)</f>
        <v>0</v>
      </c>
      <c r="X32" s="148">
        <f>COUNTIFS('2026 Time Off Request'!$A:$A,'Feb 2026'!$D32,'2026 Time Off Request'!$L:$L,'Feb 2026'!X$6)</f>
        <v>0</v>
      </c>
      <c r="Y32" s="148">
        <f>COUNTIFS('2026 Time Off Request'!$A:$A,'Feb 2026'!$D32,'2026 Time Off Request'!$L:$L,'Feb 2026'!Y$6)</f>
        <v>0</v>
      </c>
      <c r="Z32" s="147">
        <f>COUNTIFS('2026 Time Off Request'!$A:$A,'Feb 2026'!$D32,'2026 Time Off Request'!$L:$L,'Feb 2026'!Z$6)</f>
        <v>0</v>
      </c>
      <c r="AA32" s="147">
        <f>COUNTIFS('2026 Time Off Request'!$A:$A,'Feb 2026'!$D32,'2026 Time Off Request'!$L:$L,'Feb 2026'!AA$6)</f>
        <v>0</v>
      </c>
      <c r="AB32" s="148">
        <f>COUNTIFS('2026 Time Off Request'!$A:$A,'Feb 2026'!$D32,'2026 Time Off Request'!$L:$L,'Feb 2026'!AB$6)</f>
        <v>0</v>
      </c>
      <c r="AC32" s="148">
        <f>COUNTIFS('2026 Time Off Request'!$A:$A,'Feb 2026'!$D32,'2026 Time Off Request'!$L:$L,'Feb 2026'!AC$6)</f>
        <v>0</v>
      </c>
      <c r="AD32" s="148">
        <f>COUNTIFS('2026 Time Off Request'!$A:$A,'Feb 2026'!$D32,'2026 Time Off Request'!$L:$L,'Feb 2026'!AD$6)</f>
        <v>0</v>
      </c>
      <c r="AE32" s="148">
        <f>COUNTIFS('2026 Time Off Request'!$A:$A,'Feb 2026'!$D32,'2026 Time Off Request'!$L:$L,'Feb 2026'!AE$6)</f>
        <v>0</v>
      </c>
      <c r="AF32" s="148">
        <f>COUNTIFS('2026 Time Off Request'!$A:$A,'Feb 2026'!$D32,'2026 Time Off Request'!$L:$L,'Feb 2026'!AF$6)</f>
        <v>0</v>
      </c>
      <c r="AG32" s="147">
        <f>COUNTIFS('2026 Time Off Request'!$A:$A,'Feb 2026'!$D32,'2026 Time Off Request'!$L:$L,'Feb 2026'!AG$6)</f>
        <v>0</v>
      </c>
    </row>
    <row r="33" spans="1:33" ht="15.6" customHeight="1">
      <c r="A33" s="2">
        <v>26</v>
      </c>
      <c r="B33" s="209" t="s">
        <v>45</v>
      </c>
      <c r="C33" s="210" t="s">
        <v>70</v>
      </c>
      <c r="D33" s="215" t="s">
        <v>71</v>
      </c>
      <c r="E33" s="212">
        <f t="shared" si="2"/>
        <v>0</v>
      </c>
      <c r="F33" s="213">
        <f>COUNTIFS('2026 Time Off Request'!$A:$A,'Feb 2026'!$D33,'2026 Time Off Request'!$L:$L,'Feb 2026'!F$6)</f>
        <v>0</v>
      </c>
      <c r="G33" s="148">
        <f>COUNTIFS('2026 Time Off Request'!$A:$A,'Feb 2026'!$D33,'2026 Time Off Request'!$L:$L,'Feb 2026'!G$6)</f>
        <v>0</v>
      </c>
      <c r="H33" s="148">
        <f>COUNTIFS('2026 Time Off Request'!$A:$A,'Feb 2026'!$D33,'2026 Time Off Request'!$L:$L,'Feb 2026'!H$6)</f>
        <v>0</v>
      </c>
      <c r="I33" s="148">
        <f>COUNTIFS('2026 Time Off Request'!$A:$A,'Feb 2026'!$D33,'2026 Time Off Request'!$L:$L,'Feb 2026'!I$6)</f>
        <v>0</v>
      </c>
      <c r="J33" s="148">
        <f>COUNTIFS('2026 Time Off Request'!$A:$A,'Feb 2026'!$D33,'2026 Time Off Request'!$L:$L,'Feb 2026'!J$6)</f>
        <v>0</v>
      </c>
      <c r="K33" s="148">
        <f>COUNTIFS('2026 Time Off Request'!$A:$A,'Feb 2026'!$D33,'2026 Time Off Request'!$L:$L,'Feb 2026'!K$6)</f>
        <v>0</v>
      </c>
      <c r="L33" s="147">
        <f>COUNTIFS('2026 Time Off Request'!$A:$A,'Feb 2026'!$D33,'2026 Time Off Request'!$L:$L,'Feb 2026'!L$6)</f>
        <v>0</v>
      </c>
      <c r="M33" s="147">
        <f>COUNTIFS('2026 Time Off Request'!$A:$A,'Feb 2026'!$D33,'2026 Time Off Request'!$L:$L,'Feb 2026'!M$6)</f>
        <v>0</v>
      </c>
      <c r="N33" s="148">
        <f>COUNTIFS('2026 Time Off Request'!$A:$A,'Feb 2026'!$D33,'2026 Time Off Request'!$L:$L,'Feb 2026'!N$6)</f>
        <v>0</v>
      </c>
      <c r="O33" s="148">
        <f>COUNTIFS('2026 Time Off Request'!$A:$A,'Feb 2026'!$D33,'2026 Time Off Request'!$L:$L,'Feb 2026'!O$6)</f>
        <v>0</v>
      </c>
      <c r="P33" s="148">
        <f>COUNTIFS('2026 Time Off Request'!$A:$A,'Feb 2026'!$D33,'2026 Time Off Request'!$L:$L,'Feb 2026'!P$6)</f>
        <v>0</v>
      </c>
      <c r="Q33" s="148">
        <f>COUNTIFS('2026 Time Off Request'!$A:$A,'Feb 2026'!$D33,'2026 Time Off Request'!$L:$L,'Feb 2026'!Q$6)</f>
        <v>0</v>
      </c>
      <c r="R33" s="148">
        <f>COUNTIFS('2026 Time Off Request'!$A:$A,'Feb 2026'!$D33,'2026 Time Off Request'!$L:$L,'Feb 2026'!R$6)</f>
        <v>0</v>
      </c>
      <c r="S33" s="147">
        <f>COUNTIFS('2026 Time Off Request'!$A:$A,'Feb 2026'!$D33,'2026 Time Off Request'!$L:$L,'Feb 2026'!S$6)</f>
        <v>0</v>
      </c>
      <c r="T33" s="147">
        <f>COUNTIFS('2026 Time Off Request'!$A:$A,'Feb 2026'!$D33,'2026 Time Off Request'!$L:$L,'Feb 2026'!T$6)</f>
        <v>0</v>
      </c>
      <c r="U33" s="214">
        <f>COUNTIFS('2026 Time Off Request'!$A:$A,'Feb 2026'!$D33,'2026 Time Off Request'!$L:$L,'Feb 2026'!U$6)</f>
        <v>0</v>
      </c>
      <c r="V33" s="148">
        <f>COUNTIFS('2026 Time Off Request'!$A:$A,'Feb 2026'!$D33,'2026 Time Off Request'!$L:$L,'Feb 2026'!V$6)</f>
        <v>0</v>
      </c>
      <c r="W33" s="148">
        <f>COUNTIFS('2026 Time Off Request'!$A:$A,'Feb 2026'!$D33,'2026 Time Off Request'!$L:$L,'Feb 2026'!W$6)</f>
        <v>0</v>
      </c>
      <c r="X33" s="148">
        <f>COUNTIFS('2026 Time Off Request'!$A:$A,'Feb 2026'!$D33,'2026 Time Off Request'!$L:$L,'Feb 2026'!X$6)</f>
        <v>0</v>
      </c>
      <c r="Y33" s="148">
        <f>COUNTIFS('2026 Time Off Request'!$A:$A,'Feb 2026'!$D33,'2026 Time Off Request'!$L:$L,'Feb 2026'!Y$6)</f>
        <v>0</v>
      </c>
      <c r="Z33" s="147">
        <f>COUNTIFS('2026 Time Off Request'!$A:$A,'Feb 2026'!$D33,'2026 Time Off Request'!$L:$L,'Feb 2026'!Z$6)</f>
        <v>0</v>
      </c>
      <c r="AA33" s="147">
        <f>COUNTIFS('2026 Time Off Request'!$A:$A,'Feb 2026'!$D33,'2026 Time Off Request'!$L:$L,'Feb 2026'!AA$6)</f>
        <v>0</v>
      </c>
      <c r="AB33" s="148">
        <f>COUNTIFS('2026 Time Off Request'!$A:$A,'Feb 2026'!$D33,'2026 Time Off Request'!$L:$L,'Feb 2026'!AB$6)</f>
        <v>0</v>
      </c>
      <c r="AC33" s="148">
        <f>COUNTIFS('2026 Time Off Request'!$A:$A,'Feb 2026'!$D33,'2026 Time Off Request'!$L:$L,'Feb 2026'!AC$6)</f>
        <v>0</v>
      </c>
      <c r="AD33" s="148">
        <f>COUNTIFS('2026 Time Off Request'!$A:$A,'Feb 2026'!$D33,'2026 Time Off Request'!$L:$L,'Feb 2026'!AD$6)</f>
        <v>0</v>
      </c>
      <c r="AE33" s="148">
        <f>COUNTIFS('2026 Time Off Request'!$A:$A,'Feb 2026'!$D33,'2026 Time Off Request'!$L:$L,'Feb 2026'!AE$6)</f>
        <v>0</v>
      </c>
      <c r="AF33" s="148">
        <f>COUNTIFS('2026 Time Off Request'!$A:$A,'Feb 2026'!$D33,'2026 Time Off Request'!$L:$L,'Feb 2026'!AF$6)</f>
        <v>0</v>
      </c>
      <c r="AG33" s="147">
        <f>COUNTIFS('2026 Time Off Request'!$A:$A,'Feb 2026'!$D33,'2026 Time Off Request'!$L:$L,'Feb 2026'!AG$6)</f>
        <v>0</v>
      </c>
    </row>
    <row r="34" spans="1:33" ht="15.6" customHeight="1">
      <c r="A34" s="2">
        <v>27</v>
      </c>
      <c r="B34" s="209" t="s">
        <v>45</v>
      </c>
      <c r="C34" s="210" t="s">
        <v>70</v>
      </c>
      <c r="D34" s="215" t="s">
        <v>72</v>
      </c>
      <c r="E34" s="212">
        <f t="shared" si="2"/>
        <v>1</v>
      </c>
      <c r="F34" s="213">
        <f>COUNTIFS('2026 Time Off Request'!$A:$A,'Feb 2026'!$D34,'2026 Time Off Request'!$L:$L,'Feb 2026'!F$6)</f>
        <v>0</v>
      </c>
      <c r="G34" s="148">
        <f>COUNTIFS('2026 Time Off Request'!$A:$A,'Feb 2026'!$D34,'2026 Time Off Request'!$L:$L,'Feb 2026'!G$6)</f>
        <v>0</v>
      </c>
      <c r="H34" s="148">
        <f>COUNTIFS('2026 Time Off Request'!$A:$A,'Feb 2026'!$D34,'2026 Time Off Request'!$L:$L,'Feb 2026'!H$6)</f>
        <v>0</v>
      </c>
      <c r="I34" s="148">
        <f>COUNTIFS('2026 Time Off Request'!$A:$A,'Feb 2026'!$D34,'2026 Time Off Request'!$L:$L,'Feb 2026'!I$6)</f>
        <v>0</v>
      </c>
      <c r="J34" s="148">
        <f>COUNTIFS('2026 Time Off Request'!$A:$A,'Feb 2026'!$D34,'2026 Time Off Request'!$L:$L,'Feb 2026'!J$6)</f>
        <v>0</v>
      </c>
      <c r="K34" s="148">
        <f>COUNTIFS('2026 Time Off Request'!$A:$A,'Feb 2026'!$D34,'2026 Time Off Request'!$L:$L,'Feb 2026'!K$6)</f>
        <v>0</v>
      </c>
      <c r="L34" s="147">
        <f>COUNTIFS('2026 Time Off Request'!$A:$A,'Feb 2026'!$D34,'2026 Time Off Request'!$L:$L,'Feb 2026'!L$6)</f>
        <v>0</v>
      </c>
      <c r="M34" s="147">
        <f>COUNTIFS('2026 Time Off Request'!$A:$A,'Feb 2026'!$D34,'2026 Time Off Request'!$L:$L,'Feb 2026'!M$6)</f>
        <v>0</v>
      </c>
      <c r="N34" s="148">
        <f>COUNTIFS('2026 Time Off Request'!$A:$A,'Feb 2026'!$D34,'2026 Time Off Request'!$L:$L,'Feb 2026'!N$6)</f>
        <v>0</v>
      </c>
      <c r="O34" s="148">
        <f>COUNTIFS('2026 Time Off Request'!$A:$A,'Feb 2026'!$D34,'2026 Time Off Request'!$L:$L,'Feb 2026'!O$6)</f>
        <v>0</v>
      </c>
      <c r="P34" s="148">
        <f>COUNTIFS('2026 Time Off Request'!$A:$A,'Feb 2026'!$D34,'2026 Time Off Request'!$L:$L,'Feb 2026'!P$6)</f>
        <v>0</v>
      </c>
      <c r="Q34" s="148">
        <f>COUNTIFS('2026 Time Off Request'!$A:$A,'Feb 2026'!$D34,'2026 Time Off Request'!$L:$L,'Feb 2026'!Q$6)</f>
        <v>0</v>
      </c>
      <c r="R34" s="148">
        <f>COUNTIFS('2026 Time Off Request'!$A:$A,'Feb 2026'!$D34,'2026 Time Off Request'!$L:$L,'Feb 2026'!R$6)</f>
        <v>1</v>
      </c>
      <c r="S34" s="147">
        <f>COUNTIFS('2026 Time Off Request'!$A:$A,'Feb 2026'!$D34,'2026 Time Off Request'!$L:$L,'Feb 2026'!S$6)</f>
        <v>0</v>
      </c>
      <c r="T34" s="147">
        <f>COUNTIFS('2026 Time Off Request'!$A:$A,'Feb 2026'!$D34,'2026 Time Off Request'!$L:$L,'Feb 2026'!T$6)</f>
        <v>0</v>
      </c>
      <c r="U34" s="214">
        <f>COUNTIFS('2026 Time Off Request'!$A:$A,'Feb 2026'!$D34,'2026 Time Off Request'!$L:$L,'Feb 2026'!U$6)</f>
        <v>0</v>
      </c>
      <c r="V34" s="148">
        <f>COUNTIFS('2026 Time Off Request'!$A:$A,'Feb 2026'!$D34,'2026 Time Off Request'!$L:$L,'Feb 2026'!V$6)</f>
        <v>0</v>
      </c>
      <c r="W34" s="148">
        <f>COUNTIFS('2026 Time Off Request'!$A:$A,'Feb 2026'!$D34,'2026 Time Off Request'!$L:$L,'Feb 2026'!W$6)</f>
        <v>0</v>
      </c>
      <c r="X34" s="148">
        <f>COUNTIFS('2026 Time Off Request'!$A:$A,'Feb 2026'!$D34,'2026 Time Off Request'!$L:$L,'Feb 2026'!X$6)</f>
        <v>0</v>
      </c>
      <c r="Y34" s="148">
        <f>COUNTIFS('2026 Time Off Request'!$A:$A,'Feb 2026'!$D34,'2026 Time Off Request'!$L:$L,'Feb 2026'!Y$6)</f>
        <v>0</v>
      </c>
      <c r="Z34" s="147">
        <f>COUNTIFS('2026 Time Off Request'!$A:$A,'Feb 2026'!$D34,'2026 Time Off Request'!$L:$L,'Feb 2026'!Z$6)</f>
        <v>0</v>
      </c>
      <c r="AA34" s="147">
        <f>COUNTIFS('2026 Time Off Request'!$A:$A,'Feb 2026'!$D34,'2026 Time Off Request'!$L:$L,'Feb 2026'!AA$6)</f>
        <v>0</v>
      </c>
      <c r="AB34" s="148">
        <f>COUNTIFS('2026 Time Off Request'!$A:$A,'Feb 2026'!$D34,'2026 Time Off Request'!$L:$L,'Feb 2026'!AB$6)</f>
        <v>0</v>
      </c>
      <c r="AC34" s="148">
        <f>COUNTIFS('2026 Time Off Request'!$A:$A,'Feb 2026'!$D34,'2026 Time Off Request'!$L:$L,'Feb 2026'!AC$6)</f>
        <v>0</v>
      </c>
      <c r="AD34" s="148">
        <f>COUNTIFS('2026 Time Off Request'!$A:$A,'Feb 2026'!$D34,'2026 Time Off Request'!$L:$L,'Feb 2026'!AD$6)</f>
        <v>0</v>
      </c>
      <c r="AE34" s="148">
        <f>COUNTIFS('2026 Time Off Request'!$A:$A,'Feb 2026'!$D34,'2026 Time Off Request'!$L:$L,'Feb 2026'!AE$6)</f>
        <v>0</v>
      </c>
      <c r="AF34" s="148">
        <f>COUNTIFS('2026 Time Off Request'!$A:$A,'Feb 2026'!$D34,'2026 Time Off Request'!$L:$L,'Feb 2026'!AF$6)</f>
        <v>0</v>
      </c>
      <c r="AG34" s="147">
        <f>COUNTIFS('2026 Time Off Request'!$A:$A,'Feb 2026'!$D34,'2026 Time Off Request'!$L:$L,'Feb 2026'!AG$6)</f>
        <v>0</v>
      </c>
    </row>
    <row r="35" spans="1:33" ht="15.6" customHeight="1">
      <c r="A35" s="2">
        <v>28</v>
      </c>
      <c r="B35" s="209" t="s">
        <v>45</v>
      </c>
      <c r="C35" s="210" t="s">
        <v>73</v>
      </c>
      <c r="D35" s="215" t="s">
        <v>74</v>
      </c>
      <c r="E35" s="212">
        <f t="shared" ref="E35" si="4">SUM(F35:AG35)</f>
        <v>0</v>
      </c>
      <c r="F35" s="213">
        <f>COUNTIFS('2026 Time Off Request'!$A:$A,'Feb 2026'!$D35,'2026 Time Off Request'!$L:$L,'Feb 2026'!F$6)</f>
        <v>0</v>
      </c>
      <c r="G35" s="148">
        <f>COUNTIFS('2026 Time Off Request'!$A:$A,'Feb 2026'!$D35,'2026 Time Off Request'!$L:$L,'Feb 2026'!G$6)</f>
        <v>0</v>
      </c>
      <c r="H35" s="148">
        <f>COUNTIFS('2026 Time Off Request'!$A:$A,'Feb 2026'!$D35,'2026 Time Off Request'!$L:$L,'Feb 2026'!H$6)</f>
        <v>0</v>
      </c>
      <c r="I35" s="148">
        <f>COUNTIFS('2026 Time Off Request'!$A:$A,'Feb 2026'!$D35,'2026 Time Off Request'!$L:$L,'Feb 2026'!I$6)</f>
        <v>0</v>
      </c>
      <c r="J35" s="148">
        <f>COUNTIFS('2026 Time Off Request'!$A:$A,'Feb 2026'!$D35,'2026 Time Off Request'!$L:$L,'Feb 2026'!J$6)</f>
        <v>0</v>
      </c>
      <c r="K35" s="148">
        <f>COUNTIFS('2026 Time Off Request'!$A:$A,'Feb 2026'!$D35,'2026 Time Off Request'!$L:$L,'Feb 2026'!K$6)</f>
        <v>0</v>
      </c>
      <c r="L35" s="147">
        <f>COUNTIFS('2026 Time Off Request'!$A:$A,'Feb 2026'!$D35,'2026 Time Off Request'!$L:$L,'Feb 2026'!L$6)</f>
        <v>0</v>
      </c>
      <c r="M35" s="147">
        <f>COUNTIFS('2026 Time Off Request'!$A:$A,'Feb 2026'!$D35,'2026 Time Off Request'!$L:$L,'Feb 2026'!M$6)</f>
        <v>0</v>
      </c>
      <c r="N35" s="148">
        <f>COUNTIFS('2026 Time Off Request'!$A:$A,'Feb 2026'!$D35,'2026 Time Off Request'!$L:$L,'Feb 2026'!N$6)</f>
        <v>0</v>
      </c>
      <c r="O35" s="148">
        <f>COUNTIFS('2026 Time Off Request'!$A:$A,'Feb 2026'!$D35,'2026 Time Off Request'!$L:$L,'Feb 2026'!O$6)</f>
        <v>0</v>
      </c>
      <c r="P35" s="148">
        <f>COUNTIFS('2026 Time Off Request'!$A:$A,'Feb 2026'!$D35,'2026 Time Off Request'!$L:$L,'Feb 2026'!P$6)</f>
        <v>0</v>
      </c>
      <c r="Q35" s="148">
        <f>COUNTIFS('2026 Time Off Request'!$A:$A,'Feb 2026'!$D35,'2026 Time Off Request'!$L:$L,'Feb 2026'!Q$6)</f>
        <v>0</v>
      </c>
      <c r="R35" s="148">
        <f>COUNTIFS('2026 Time Off Request'!$A:$A,'Feb 2026'!$D35,'2026 Time Off Request'!$L:$L,'Feb 2026'!R$6)</f>
        <v>0</v>
      </c>
      <c r="S35" s="147">
        <f>COUNTIFS('2026 Time Off Request'!$A:$A,'Feb 2026'!$D35,'2026 Time Off Request'!$L:$L,'Feb 2026'!S$6)</f>
        <v>0</v>
      </c>
      <c r="T35" s="147">
        <f>COUNTIFS('2026 Time Off Request'!$A:$A,'Feb 2026'!$D35,'2026 Time Off Request'!$L:$L,'Feb 2026'!T$6)</f>
        <v>0</v>
      </c>
      <c r="U35" s="214">
        <f>COUNTIFS('2026 Time Off Request'!$A:$A,'Feb 2026'!$D35,'2026 Time Off Request'!$L:$L,'Feb 2026'!U$6)</f>
        <v>0</v>
      </c>
      <c r="V35" s="148">
        <f>COUNTIFS('2026 Time Off Request'!$A:$A,'Feb 2026'!$D35,'2026 Time Off Request'!$L:$L,'Feb 2026'!V$6)</f>
        <v>0</v>
      </c>
      <c r="W35" s="148">
        <f>COUNTIFS('2026 Time Off Request'!$A:$A,'Feb 2026'!$D35,'2026 Time Off Request'!$L:$L,'Feb 2026'!W$6)</f>
        <v>0</v>
      </c>
      <c r="X35" s="148">
        <f>COUNTIFS('2026 Time Off Request'!$A:$A,'Feb 2026'!$D35,'2026 Time Off Request'!$L:$L,'Feb 2026'!X$6)</f>
        <v>0</v>
      </c>
      <c r="Y35" s="148">
        <f>COUNTIFS('2026 Time Off Request'!$A:$A,'Feb 2026'!$D35,'2026 Time Off Request'!$L:$L,'Feb 2026'!Y$6)</f>
        <v>0</v>
      </c>
      <c r="Z35" s="147">
        <f>COUNTIFS('2026 Time Off Request'!$A:$A,'Feb 2026'!$D35,'2026 Time Off Request'!$L:$L,'Feb 2026'!Z$6)</f>
        <v>0</v>
      </c>
      <c r="AA35" s="147">
        <f>COUNTIFS('2026 Time Off Request'!$A:$A,'Feb 2026'!$D35,'2026 Time Off Request'!$L:$L,'Feb 2026'!AA$6)</f>
        <v>0</v>
      </c>
      <c r="AB35" s="148">
        <f>COUNTIFS('2026 Time Off Request'!$A:$A,'Feb 2026'!$D35,'2026 Time Off Request'!$L:$L,'Feb 2026'!AB$6)</f>
        <v>0</v>
      </c>
      <c r="AC35" s="148">
        <f>COUNTIFS('2026 Time Off Request'!$A:$A,'Feb 2026'!$D35,'2026 Time Off Request'!$L:$L,'Feb 2026'!AC$6)</f>
        <v>0</v>
      </c>
      <c r="AD35" s="148">
        <f>COUNTIFS('2026 Time Off Request'!$A:$A,'Feb 2026'!$D35,'2026 Time Off Request'!$L:$L,'Feb 2026'!AD$6)</f>
        <v>0</v>
      </c>
      <c r="AE35" s="148">
        <f>COUNTIFS('2026 Time Off Request'!$A:$A,'Feb 2026'!$D35,'2026 Time Off Request'!$L:$L,'Feb 2026'!AE$6)</f>
        <v>0</v>
      </c>
      <c r="AF35" s="148">
        <f>COUNTIFS('2026 Time Off Request'!$A:$A,'Feb 2026'!$D35,'2026 Time Off Request'!$L:$L,'Feb 2026'!AF$6)</f>
        <v>0</v>
      </c>
      <c r="AG35" s="147">
        <f>COUNTIFS('2026 Time Off Request'!$A:$A,'Feb 2026'!$D35,'2026 Time Off Request'!$L:$L,'Feb 2026'!AG$6)</f>
        <v>0</v>
      </c>
    </row>
    <row r="36" spans="1:33" ht="15.6" customHeight="1">
      <c r="A36" s="2">
        <v>29</v>
      </c>
      <c r="B36" s="209" t="s">
        <v>49</v>
      </c>
      <c r="C36" s="210" t="s">
        <v>75</v>
      </c>
      <c r="D36" s="215" t="s">
        <v>76</v>
      </c>
      <c r="E36" s="212">
        <f t="shared" si="2"/>
        <v>5</v>
      </c>
      <c r="F36" s="213">
        <f>COUNTIFS('2026 Time Off Request'!$A:$A,'Feb 2026'!$D36,'2026 Time Off Request'!$L:$L,'Feb 2026'!F$6)</f>
        <v>0</v>
      </c>
      <c r="G36" s="148">
        <f>COUNTIFS('2026 Time Off Request'!$A:$A,'Feb 2026'!$D36,'2026 Time Off Request'!$L:$L,'Feb 2026'!G$6)</f>
        <v>0</v>
      </c>
      <c r="H36" s="148">
        <f>COUNTIFS('2026 Time Off Request'!$A:$A,'Feb 2026'!$D36,'2026 Time Off Request'!$L:$L,'Feb 2026'!H$6)</f>
        <v>0</v>
      </c>
      <c r="I36" s="148">
        <f>COUNTIFS('2026 Time Off Request'!$A:$A,'Feb 2026'!$D36,'2026 Time Off Request'!$L:$L,'Feb 2026'!I$6)</f>
        <v>0</v>
      </c>
      <c r="J36" s="148">
        <f>COUNTIFS('2026 Time Off Request'!$A:$A,'Feb 2026'!$D36,'2026 Time Off Request'!$L:$L,'Feb 2026'!J$6)</f>
        <v>0</v>
      </c>
      <c r="K36" s="148">
        <f>COUNTIFS('2026 Time Off Request'!$A:$A,'Feb 2026'!$D36,'2026 Time Off Request'!$L:$L,'Feb 2026'!K$6)</f>
        <v>0</v>
      </c>
      <c r="L36" s="147">
        <f>COUNTIFS('2026 Time Off Request'!$A:$A,'Feb 2026'!$D36,'2026 Time Off Request'!$L:$L,'Feb 2026'!L$6)</f>
        <v>0</v>
      </c>
      <c r="M36" s="147">
        <f>COUNTIFS('2026 Time Off Request'!$A:$A,'Feb 2026'!$D36,'2026 Time Off Request'!$L:$L,'Feb 2026'!M$6)</f>
        <v>0</v>
      </c>
      <c r="N36" s="148">
        <f>COUNTIFS('2026 Time Off Request'!$A:$A,'Feb 2026'!$D36,'2026 Time Off Request'!$L:$L,'Feb 2026'!N$6)</f>
        <v>1</v>
      </c>
      <c r="O36" s="148">
        <f>COUNTIFS('2026 Time Off Request'!$A:$A,'Feb 2026'!$D36,'2026 Time Off Request'!$L:$L,'Feb 2026'!O$6)</f>
        <v>1</v>
      </c>
      <c r="P36" s="148">
        <f>COUNTIFS('2026 Time Off Request'!$A:$A,'Feb 2026'!$D36,'2026 Time Off Request'!$L:$L,'Feb 2026'!P$6)</f>
        <v>1</v>
      </c>
      <c r="Q36" s="148">
        <f>COUNTIFS('2026 Time Off Request'!$A:$A,'Feb 2026'!$D36,'2026 Time Off Request'!$L:$L,'Feb 2026'!Q$6)</f>
        <v>1</v>
      </c>
      <c r="R36" s="148">
        <f>COUNTIFS('2026 Time Off Request'!$A:$A,'Feb 2026'!$D36,'2026 Time Off Request'!$L:$L,'Feb 2026'!R$6)</f>
        <v>1</v>
      </c>
      <c r="S36" s="147">
        <f>COUNTIFS('2026 Time Off Request'!$A:$A,'Feb 2026'!$D36,'2026 Time Off Request'!$L:$L,'Feb 2026'!S$6)</f>
        <v>0</v>
      </c>
      <c r="T36" s="147">
        <f>COUNTIFS('2026 Time Off Request'!$A:$A,'Feb 2026'!$D36,'2026 Time Off Request'!$L:$L,'Feb 2026'!T$6)</f>
        <v>0</v>
      </c>
      <c r="U36" s="214">
        <f>COUNTIFS('2026 Time Off Request'!$A:$A,'Feb 2026'!$D36,'2026 Time Off Request'!$L:$L,'Feb 2026'!U$6)</f>
        <v>0</v>
      </c>
      <c r="V36" s="148">
        <f>COUNTIFS('2026 Time Off Request'!$A:$A,'Feb 2026'!$D36,'2026 Time Off Request'!$L:$L,'Feb 2026'!V$6)</f>
        <v>0</v>
      </c>
      <c r="W36" s="148">
        <f>COUNTIFS('2026 Time Off Request'!$A:$A,'Feb 2026'!$D36,'2026 Time Off Request'!$L:$L,'Feb 2026'!W$6)</f>
        <v>0</v>
      </c>
      <c r="X36" s="148">
        <f>COUNTIFS('2026 Time Off Request'!$A:$A,'Feb 2026'!$D36,'2026 Time Off Request'!$L:$L,'Feb 2026'!X$6)</f>
        <v>0</v>
      </c>
      <c r="Y36" s="148">
        <f>COUNTIFS('2026 Time Off Request'!$A:$A,'Feb 2026'!$D36,'2026 Time Off Request'!$L:$L,'Feb 2026'!Y$6)</f>
        <v>0</v>
      </c>
      <c r="Z36" s="147">
        <f>COUNTIFS('2026 Time Off Request'!$A:$A,'Feb 2026'!$D36,'2026 Time Off Request'!$L:$L,'Feb 2026'!Z$6)</f>
        <v>0</v>
      </c>
      <c r="AA36" s="147">
        <f>COUNTIFS('2026 Time Off Request'!$A:$A,'Feb 2026'!$D36,'2026 Time Off Request'!$L:$L,'Feb 2026'!AA$6)</f>
        <v>0</v>
      </c>
      <c r="AB36" s="148">
        <f>COUNTIFS('2026 Time Off Request'!$A:$A,'Feb 2026'!$D36,'2026 Time Off Request'!$L:$L,'Feb 2026'!AB$6)</f>
        <v>0</v>
      </c>
      <c r="AC36" s="148">
        <f>COUNTIFS('2026 Time Off Request'!$A:$A,'Feb 2026'!$D36,'2026 Time Off Request'!$L:$L,'Feb 2026'!AC$6)</f>
        <v>0</v>
      </c>
      <c r="AD36" s="148">
        <f>COUNTIFS('2026 Time Off Request'!$A:$A,'Feb 2026'!$D36,'2026 Time Off Request'!$L:$L,'Feb 2026'!AD$6)</f>
        <v>0</v>
      </c>
      <c r="AE36" s="148">
        <f>COUNTIFS('2026 Time Off Request'!$A:$A,'Feb 2026'!$D36,'2026 Time Off Request'!$L:$L,'Feb 2026'!AE$6)</f>
        <v>0</v>
      </c>
      <c r="AF36" s="148">
        <f>COUNTIFS('2026 Time Off Request'!$A:$A,'Feb 2026'!$D36,'2026 Time Off Request'!$L:$L,'Feb 2026'!AF$6)</f>
        <v>0</v>
      </c>
      <c r="AG36" s="147">
        <f>COUNTIFS('2026 Time Off Request'!$A:$A,'Feb 2026'!$D36,'2026 Time Off Request'!$L:$L,'Feb 2026'!AG$6)</f>
        <v>0</v>
      </c>
    </row>
    <row r="37" spans="1:33" ht="15.6" customHeight="1">
      <c r="A37" s="2">
        <v>30</v>
      </c>
      <c r="B37" s="209" t="s">
        <v>45</v>
      </c>
      <c r="C37" s="210" t="s">
        <v>77</v>
      </c>
      <c r="D37" s="215" t="s">
        <v>78</v>
      </c>
      <c r="E37" s="212">
        <f t="shared" si="2"/>
        <v>0</v>
      </c>
      <c r="F37" s="213">
        <f>COUNTIFS('2026 Time Off Request'!$A:$A,'Feb 2026'!$D37,'2026 Time Off Request'!$L:$L,'Feb 2026'!F$6)</f>
        <v>0</v>
      </c>
      <c r="G37" s="148">
        <f>COUNTIFS('2026 Time Off Request'!$A:$A,'Feb 2026'!$D37,'2026 Time Off Request'!$L:$L,'Feb 2026'!G$6)</f>
        <v>0</v>
      </c>
      <c r="H37" s="148">
        <f>COUNTIFS('2026 Time Off Request'!$A:$A,'Feb 2026'!$D37,'2026 Time Off Request'!$L:$L,'Feb 2026'!H$6)</f>
        <v>0</v>
      </c>
      <c r="I37" s="148">
        <f>COUNTIFS('2026 Time Off Request'!$A:$A,'Feb 2026'!$D37,'2026 Time Off Request'!$L:$L,'Feb 2026'!I$6)</f>
        <v>0</v>
      </c>
      <c r="J37" s="148">
        <f>COUNTIFS('2026 Time Off Request'!$A:$A,'Feb 2026'!$D37,'2026 Time Off Request'!$L:$L,'Feb 2026'!J$6)</f>
        <v>0</v>
      </c>
      <c r="K37" s="148">
        <f>COUNTIFS('2026 Time Off Request'!$A:$A,'Feb 2026'!$D37,'2026 Time Off Request'!$L:$L,'Feb 2026'!K$6)</f>
        <v>0</v>
      </c>
      <c r="L37" s="147">
        <f>COUNTIFS('2026 Time Off Request'!$A:$A,'Feb 2026'!$D37,'2026 Time Off Request'!$L:$L,'Feb 2026'!L$6)</f>
        <v>0</v>
      </c>
      <c r="M37" s="147">
        <f>COUNTIFS('2026 Time Off Request'!$A:$A,'Feb 2026'!$D37,'2026 Time Off Request'!$L:$L,'Feb 2026'!M$6)</f>
        <v>0</v>
      </c>
      <c r="N37" s="148">
        <f>COUNTIFS('2026 Time Off Request'!$A:$A,'Feb 2026'!$D37,'2026 Time Off Request'!$L:$L,'Feb 2026'!N$6)</f>
        <v>0</v>
      </c>
      <c r="O37" s="148">
        <f>COUNTIFS('2026 Time Off Request'!$A:$A,'Feb 2026'!$D37,'2026 Time Off Request'!$L:$L,'Feb 2026'!O$6)</f>
        <v>0</v>
      </c>
      <c r="P37" s="148">
        <f>COUNTIFS('2026 Time Off Request'!$A:$A,'Feb 2026'!$D37,'2026 Time Off Request'!$L:$L,'Feb 2026'!P$6)</f>
        <v>0</v>
      </c>
      <c r="Q37" s="148">
        <f>COUNTIFS('2026 Time Off Request'!$A:$A,'Feb 2026'!$D37,'2026 Time Off Request'!$L:$L,'Feb 2026'!Q$6)</f>
        <v>0</v>
      </c>
      <c r="R37" s="148">
        <f>COUNTIFS('2026 Time Off Request'!$A:$A,'Feb 2026'!$D37,'2026 Time Off Request'!$L:$L,'Feb 2026'!R$6)</f>
        <v>0</v>
      </c>
      <c r="S37" s="147">
        <f>COUNTIFS('2026 Time Off Request'!$A:$A,'Feb 2026'!$D37,'2026 Time Off Request'!$L:$L,'Feb 2026'!S$6)</f>
        <v>0</v>
      </c>
      <c r="T37" s="147">
        <f>COUNTIFS('2026 Time Off Request'!$A:$A,'Feb 2026'!$D37,'2026 Time Off Request'!$L:$L,'Feb 2026'!T$6)</f>
        <v>0</v>
      </c>
      <c r="U37" s="214">
        <f>COUNTIFS('2026 Time Off Request'!$A:$A,'Feb 2026'!$D37,'2026 Time Off Request'!$L:$L,'Feb 2026'!U$6)</f>
        <v>0</v>
      </c>
      <c r="V37" s="148">
        <f>COUNTIFS('2026 Time Off Request'!$A:$A,'Feb 2026'!$D37,'2026 Time Off Request'!$L:$L,'Feb 2026'!V$6)</f>
        <v>0</v>
      </c>
      <c r="W37" s="148">
        <f>COUNTIFS('2026 Time Off Request'!$A:$A,'Feb 2026'!$D37,'2026 Time Off Request'!$L:$L,'Feb 2026'!W$6)</f>
        <v>0</v>
      </c>
      <c r="X37" s="148">
        <f>COUNTIFS('2026 Time Off Request'!$A:$A,'Feb 2026'!$D37,'2026 Time Off Request'!$L:$L,'Feb 2026'!X$6)</f>
        <v>0</v>
      </c>
      <c r="Y37" s="148">
        <f>COUNTIFS('2026 Time Off Request'!$A:$A,'Feb 2026'!$D37,'2026 Time Off Request'!$L:$L,'Feb 2026'!Y$6)</f>
        <v>0</v>
      </c>
      <c r="Z37" s="147">
        <f>COUNTIFS('2026 Time Off Request'!$A:$A,'Feb 2026'!$D37,'2026 Time Off Request'!$L:$L,'Feb 2026'!Z$6)</f>
        <v>0</v>
      </c>
      <c r="AA37" s="147">
        <f>COUNTIFS('2026 Time Off Request'!$A:$A,'Feb 2026'!$D37,'2026 Time Off Request'!$L:$L,'Feb 2026'!AA$6)</f>
        <v>0</v>
      </c>
      <c r="AB37" s="148">
        <f>COUNTIFS('2026 Time Off Request'!$A:$A,'Feb 2026'!$D37,'2026 Time Off Request'!$L:$L,'Feb 2026'!AB$6)</f>
        <v>0</v>
      </c>
      <c r="AC37" s="148">
        <f>COUNTIFS('2026 Time Off Request'!$A:$A,'Feb 2026'!$D37,'2026 Time Off Request'!$L:$L,'Feb 2026'!AC$6)</f>
        <v>0</v>
      </c>
      <c r="AD37" s="148">
        <f>COUNTIFS('2026 Time Off Request'!$A:$A,'Feb 2026'!$D37,'2026 Time Off Request'!$L:$L,'Feb 2026'!AD$6)</f>
        <v>0</v>
      </c>
      <c r="AE37" s="148">
        <f>COUNTIFS('2026 Time Off Request'!$A:$A,'Feb 2026'!$D37,'2026 Time Off Request'!$L:$L,'Feb 2026'!AE$6)</f>
        <v>0</v>
      </c>
      <c r="AF37" s="148">
        <f>COUNTIFS('2026 Time Off Request'!$A:$A,'Feb 2026'!$D37,'2026 Time Off Request'!$L:$L,'Feb 2026'!AF$6)</f>
        <v>0</v>
      </c>
      <c r="AG37" s="147">
        <f>COUNTIFS('2026 Time Off Request'!$A:$A,'Feb 2026'!$D37,'2026 Time Off Request'!$L:$L,'Feb 2026'!AG$6)</f>
        <v>0</v>
      </c>
    </row>
    <row r="38" spans="1:33" ht="15.6" customHeight="1">
      <c r="A38" s="2">
        <v>31</v>
      </c>
      <c r="B38" s="209" t="s">
        <v>45</v>
      </c>
      <c r="C38" s="210" t="s">
        <v>77</v>
      </c>
      <c r="D38" s="215" t="s">
        <v>79</v>
      </c>
      <c r="E38" s="212">
        <f t="shared" si="2"/>
        <v>0</v>
      </c>
      <c r="F38" s="213">
        <f>COUNTIFS('2026 Time Off Request'!$A:$A,'Feb 2026'!$D38,'2026 Time Off Request'!$L:$L,'Feb 2026'!F$6)</f>
        <v>0</v>
      </c>
      <c r="G38" s="148">
        <f>COUNTIFS('2026 Time Off Request'!$A:$A,'Feb 2026'!$D38,'2026 Time Off Request'!$L:$L,'Feb 2026'!G$6)</f>
        <v>0</v>
      </c>
      <c r="H38" s="148">
        <f>COUNTIFS('2026 Time Off Request'!$A:$A,'Feb 2026'!$D38,'2026 Time Off Request'!$L:$L,'Feb 2026'!H$6)</f>
        <v>0</v>
      </c>
      <c r="I38" s="148">
        <f>COUNTIFS('2026 Time Off Request'!$A:$A,'Feb 2026'!$D38,'2026 Time Off Request'!$L:$L,'Feb 2026'!I$6)</f>
        <v>0</v>
      </c>
      <c r="J38" s="148">
        <f>COUNTIFS('2026 Time Off Request'!$A:$A,'Feb 2026'!$D38,'2026 Time Off Request'!$L:$L,'Feb 2026'!J$6)</f>
        <v>0</v>
      </c>
      <c r="K38" s="148">
        <f>COUNTIFS('2026 Time Off Request'!$A:$A,'Feb 2026'!$D38,'2026 Time Off Request'!$L:$L,'Feb 2026'!K$6)</f>
        <v>0</v>
      </c>
      <c r="L38" s="147">
        <f>COUNTIFS('2026 Time Off Request'!$A:$A,'Feb 2026'!$D38,'2026 Time Off Request'!$L:$L,'Feb 2026'!L$6)</f>
        <v>0</v>
      </c>
      <c r="M38" s="147">
        <f>COUNTIFS('2026 Time Off Request'!$A:$A,'Feb 2026'!$D38,'2026 Time Off Request'!$L:$L,'Feb 2026'!M$6)</f>
        <v>0</v>
      </c>
      <c r="N38" s="148">
        <f>COUNTIFS('2026 Time Off Request'!$A:$A,'Feb 2026'!$D38,'2026 Time Off Request'!$L:$L,'Feb 2026'!N$6)</f>
        <v>0</v>
      </c>
      <c r="O38" s="148">
        <f>COUNTIFS('2026 Time Off Request'!$A:$A,'Feb 2026'!$D38,'2026 Time Off Request'!$L:$L,'Feb 2026'!O$6)</f>
        <v>0</v>
      </c>
      <c r="P38" s="148">
        <f>COUNTIFS('2026 Time Off Request'!$A:$A,'Feb 2026'!$D38,'2026 Time Off Request'!$L:$L,'Feb 2026'!P$6)</f>
        <v>0</v>
      </c>
      <c r="Q38" s="148">
        <f>COUNTIFS('2026 Time Off Request'!$A:$A,'Feb 2026'!$D38,'2026 Time Off Request'!$L:$L,'Feb 2026'!Q$6)</f>
        <v>0</v>
      </c>
      <c r="R38" s="148">
        <f>COUNTIFS('2026 Time Off Request'!$A:$A,'Feb 2026'!$D38,'2026 Time Off Request'!$L:$L,'Feb 2026'!R$6)</f>
        <v>0</v>
      </c>
      <c r="S38" s="147">
        <f>COUNTIFS('2026 Time Off Request'!$A:$A,'Feb 2026'!$D38,'2026 Time Off Request'!$L:$L,'Feb 2026'!S$6)</f>
        <v>0</v>
      </c>
      <c r="T38" s="147">
        <f>COUNTIFS('2026 Time Off Request'!$A:$A,'Feb 2026'!$D38,'2026 Time Off Request'!$L:$L,'Feb 2026'!T$6)</f>
        <v>0</v>
      </c>
      <c r="U38" s="214">
        <f>COUNTIFS('2026 Time Off Request'!$A:$A,'Feb 2026'!$D38,'2026 Time Off Request'!$L:$L,'Feb 2026'!U$6)</f>
        <v>0</v>
      </c>
      <c r="V38" s="148">
        <f>COUNTIFS('2026 Time Off Request'!$A:$A,'Feb 2026'!$D38,'2026 Time Off Request'!$L:$L,'Feb 2026'!V$6)</f>
        <v>0</v>
      </c>
      <c r="W38" s="148">
        <f>COUNTIFS('2026 Time Off Request'!$A:$A,'Feb 2026'!$D38,'2026 Time Off Request'!$L:$L,'Feb 2026'!W$6)</f>
        <v>0</v>
      </c>
      <c r="X38" s="148">
        <f>COUNTIFS('2026 Time Off Request'!$A:$A,'Feb 2026'!$D38,'2026 Time Off Request'!$L:$L,'Feb 2026'!X$6)</f>
        <v>0</v>
      </c>
      <c r="Y38" s="148">
        <f>COUNTIFS('2026 Time Off Request'!$A:$A,'Feb 2026'!$D38,'2026 Time Off Request'!$L:$L,'Feb 2026'!Y$6)</f>
        <v>0</v>
      </c>
      <c r="Z38" s="147">
        <f>COUNTIFS('2026 Time Off Request'!$A:$A,'Feb 2026'!$D38,'2026 Time Off Request'!$L:$L,'Feb 2026'!Z$6)</f>
        <v>0</v>
      </c>
      <c r="AA38" s="147">
        <f>COUNTIFS('2026 Time Off Request'!$A:$A,'Feb 2026'!$D38,'2026 Time Off Request'!$L:$L,'Feb 2026'!AA$6)</f>
        <v>0</v>
      </c>
      <c r="AB38" s="148">
        <f>COUNTIFS('2026 Time Off Request'!$A:$A,'Feb 2026'!$D38,'2026 Time Off Request'!$L:$L,'Feb 2026'!AB$6)</f>
        <v>0</v>
      </c>
      <c r="AC38" s="148">
        <f>COUNTIFS('2026 Time Off Request'!$A:$A,'Feb 2026'!$D38,'2026 Time Off Request'!$L:$L,'Feb 2026'!AC$6)</f>
        <v>0</v>
      </c>
      <c r="AD38" s="148">
        <f>COUNTIFS('2026 Time Off Request'!$A:$A,'Feb 2026'!$D38,'2026 Time Off Request'!$L:$L,'Feb 2026'!AD$6)</f>
        <v>0</v>
      </c>
      <c r="AE38" s="148">
        <f>COUNTIFS('2026 Time Off Request'!$A:$A,'Feb 2026'!$D38,'2026 Time Off Request'!$L:$L,'Feb 2026'!AE$6)</f>
        <v>0</v>
      </c>
      <c r="AF38" s="148">
        <f>COUNTIFS('2026 Time Off Request'!$A:$A,'Feb 2026'!$D38,'2026 Time Off Request'!$L:$L,'Feb 2026'!AF$6)</f>
        <v>0</v>
      </c>
      <c r="AG38" s="147">
        <f>COUNTIFS('2026 Time Off Request'!$A:$A,'Feb 2026'!$D38,'2026 Time Off Request'!$L:$L,'Feb 2026'!AG$6)</f>
        <v>0</v>
      </c>
    </row>
    <row r="39" spans="1:33" ht="15.6" customHeight="1">
      <c r="A39" s="2">
        <v>32</v>
      </c>
      <c r="B39" s="209" t="s">
        <v>45</v>
      </c>
      <c r="C39" s="210" t="s">
        <v>77</v>
      </c>
      <c r="D39" s="215" t="s">
        <v>80</v>
      </c>
      <c r="E39" s="212">
        <f t="shared" si="2"/>
        <v>0</v>
      </c>
      <c r="F39" s="213">
        <f>COUNTIFS('2026 Time Off Request'!$A:$A,'Feb 2026'!$D39,'2026 Time Off Request'!$L:$L,'Feb 2026'!F$6)</f>
        <v>0</v>
      </c>
      <c r="G39" s="148">
        <f>COUNTIFS('2026 Time Off Request'!$A:$A,'Feb 2026'!$D39,'2026 Time Off Request'!$L:$L,'Feb 2026'!G$6)</f>
        <v>0</v>
      </c>
      <c r="H39" s="148">
        <f>COUNTIFS('2026 Time Off Request'!$A:$A,'Feb 2026'!$D39,'2026 Time Off Request'!$L:$L,'Feb 2026'!H$6)</f>
        <v>0</v>
      </c>
      <c r="I39" s="148">
        <f>COUNTIFS('2026 Time Off Request'!$A:$A,'Feb 2026'!$D39,'2026 Time Off Request'!$L:$L,'Feb 2026'!I$6)</f>
        <v>0</v>
      </c>
      <c r="J39" s="148">
        <f>COUNTIFS('2026 Time Off Request'!$A:$A,'Feb 2026'!$D39,'2026 Time Off Request'!$L:$L,'Feb 2026'!J$6)</f>
        <v>0</v>
      </c>
      <c r="K39" s="148">
        <f>COUNTIFS('2026 Time Off Request'!$A:$A,'Feb 2026'!$D39,'2026 Time Off Request'!$L:$L,'Feb 2026'!K$6)</f>
        <v>0</v>
      </c>
      <c r="L39" s="147">
        <f>COUNTIFS('2026 Time Off Request'!$A:$A,'Feb 2026'!$D39,'2026 Time Off Request'!$L:$L,'Feb 2026'!L$6)</f>
        <v>0</v>
      </c>
      <c r="M39" s="147">
        <f>COUNTIFS('2026 Time Off Request'!$A:$A,'Feb 2026'!$D39,'2026 Time Off Request'!$L:$L,'Feb 2026'!M$6)</f>
        <v>0</v>
      </c>
      <c r="N39" s="148">
        <f>COUNTIFS('2026 Time Off Request'!$A:$A,'Feb 2026'!$D39,'2026 Time Off Request'!$L:$L,'Feb 2026'!N$6)</f>
        <v>0</v>
      </c>
      <c r="O39" s="148">
        <f>COUNTIFS('2026 Time Off Request'!$A:$A,'Feb 2026'!$D39,'2026 Time Off Request'!$L:$L,'Feb 2026'!O$6)</f>
        <v>0</v>
      </c>
      <c r="P39" s="148">
        <f>COUNTIFS('2026 Time Off Request'!$A:$A,'Feb 2026'!$D39,'2026 Time Off Request'!$L:$L,'Feb 2026'!P$6)</f>
        <v>0</v>
      </c>
      <c r="Q39" s="148">
        <f>COUNTIFS('2026 Time Off Request'!$A:$A,'Feb 2026'!$D39,'2026 Time Off Request'!$L:$L,'Feb 2026'!Q$6)</f>
        <v>0</v>
      </c>
      <c r="R39" s="148">
        <f>COUNTIFS('2026 Time Off Request'!$A:$A,'Feb 2026'!$D39,'2026 Time Off Request'!$L:$L,'Feb 2026'!R$6)</f>
        <v>0</v>
      </c>
      <c r="S39" s="147">
        <f>COUNTIFS('2026 Time Off Request'!$A:$A,'Feb 2026'!$D39,'2026 Time Off Request'!$L:$L,'Feb 2026'!S$6)</f>
        <v>0</v>
      </c>
      <c r="T39" s="147">
        <f>COUNTIFS('2026 Time Off Request'!$A:$A,'Feb 2026'!$D39,'2026 Time Off Request'!$L:$L,'Feb 2026'!T$6)</f>
        <v>0</v>
      </c>
      <c r="U39" s="214">
        <f>COUNTIFS('2026 Time Off Request'!$A:$A,'Feb 2026'!$D39,'2026 Time Off Request'!$L:$L,'Feb 2026'!U$6)</f>
        <v>0</v>
      </c>
      <c r="V39" s="148">
        <f>COUNTIFS('2026 Time Off Request'!$A:$A,'Feb 2026'!$D39,'2026 Time Off Request'!$L:$L,'Feb 2026'!V$6)</f>
        <v>0</v>
      </c>
      <c r="W39" s="148">
        <f>COUNTIFS('2026 Time Off Request'!$A:$A,'Feb 2026'!$D39,'2026 Time Off Request'!$L:$L,'Feb 2026'!W$6)</f>
        <v>0</v>
      </c>
      <c r="X39" s="148">
        <f>COUNTIFS('2026 Time Off Request'!$A:$A,'Feb 2026'!$D39,'2026 Time Off Request'!$L:$L,'Feb 2026'!X$6)</f>
        <v>0</v>
      </c>
      <c r="Y39" s="148">
        <f>COUNTIFS('2026 Time Off Request'!$A:$A,'Feb 2026'!$D39,'2026 Time Off Request'!$L:$L,'Feb 2026'!Y$6)</f>
        <v>0</v>
      </c>
      <c r="Z39" s="147">
        <f>COUNTIFS('2026 Time Off Request'!$A:$A,'Feb 2026'!$D39,'2026 Time Off Request'!$L:$L,'Feb 2026'!Z$6)</f>
        <v>0</v>
      </c>
      <c r="AA39" s="147">
        <f>COUNTIFS('2026 Time Off Request'!$A:$A,'Feb 2026'!$D39,'2026 Time Off Request'!$L:$L,'Feb 2026'!AA$6)</f>
        <v>0</v>
      </c>
      <c r="AB39" s="148">
        <f>COUNTIFS('2026 Time Off Request'!$A:$A,'Feb 2026'!$D39,'2026 Time Off Request'!$L:$L,'Feb 2026'!AB$6)</f>
        <v>0</v>
      </c>
      <c r="AC39" s="148">
        <f>COUNTIFS('2026 Time Off Request'!$A:$A,'Feb 2026'!$D39,'2026 Time Off Request'!$L:$L,'Feb 2026'!AC$6)</f>
        <v>0</v>
      </c>
      <c r="AD39" s="148">
        <f>COUNTIFS('2026 Time Off Request'!$A:$A,'Feb 2026'!$D39,'2026 Time Off Request'!$L:$L,'Feb 2026'!AD$6)</f>
        <v>0</v>
      </c>
      <c r="AE39" s="148">
        <f>COUNTIFS('2026 Time Off Request'!$A:$A,'Feb 2026'!$D39,'2026 Time Off Request'!$L:$L,'Feb 2026'!AE$6)</f>
        <v>0</v>
      </c>
      <c r="AF39" s="148">
        <f>COUNTIFS('2026 Time Off Request'!$A:$A,'Feb 2026'!$D39,'2026 Time Off Request'!$L:$L,'Feb 2026'!AF$6)</f>
        <v>0</v>
      </c>
      <c r="AG39" s="147">
        <f>COUNTIFS('2026 Time Off Request'!$A:$A,'Feb 2026'!$D39,'2026 Time Off Request'!$L:$L,'Feb 2026'!AG$6)</f>
        <v>0</v>
      </c>
    </row>
    <row r="40" spans="1:33" ht="15.6" customHeight="1">
      <c r="A40" s="2">
        <v>33</v>
      </c>
      <c r="B40" s="209" t="s">
        <v>49</v>
      </c>
      <c r="C40" s="210" t="s">
        <v>81</v>
      </c>
      <c r="D40" s="215" t="s">
        <v>82</v>
      </c>
      <c r="E40" s="212">
        <f t="shared" si="2"/>
        <v>0</v>
      </c>
      <c r="F40" s="213">
        <f>COUNTIFS('2026 Time Off Request'!$A:$A,'Feb 2026'!$D40,'2026 Time Off Request'!$L:$L,'Feb 2026'!F$6)</f>
        <v>0</v>
      </c>
      <c r="G40" s="148">
        <f>COUNTIFS('2026 Time Off Request'!$A:$A,'Feb 2026'!$D40,'2026 Time Off Request'!$L:$L,'Feb 2026'!G$6)</f>
        <v>0</v>
      </c>
      <c r="H40" s="148">
        <f>COUNTIFS('2026 Time Off Request'!$A:$A,'Feb 2026'!$D40,'2026 Time Off Request'!$L:$L,'Feb 2026'!H$6)</f>
        <v>0</v>
      </c>
      <c r="I40" s="148">
        <f>COUNTIFS('2026 Time Off Request'!$A:$A,'Feb 2026'!$D40,'2026 Time Off Request'!$L:$L,'Feb 2026'!I$6)</f>
        <v>0</v>
      </c>
      <c r="J40" s="148">
        <f>COUNTIFS('2026 Time Off Request'!$A:$A,'Feb 2026'!$D40,'2026 Time Off Request'!$L:$L,'Feb 2026'!J$6)</f>
        <v>0</v>
      </c>
      <c r="K40" s="148">
        <f>COUNTIFS('2026 Time Off Request'!$A:$A,'Feb 2026'!$D40,'2026 Time Off Request'!$L:$L,'Feb 2026'!K$6)</f>
        <v>0</v>
      </c>
      <c r="L40" s="147">
        <f>COUNTIFS('2026 Time Off Request'!$A:$A,'Feb 2026'!$D40,'2026 Time Off Request'!$L:$L,'Feb 2026'!L$6)</f>
        <v>0</v>
      </c>
      <c r="M40" s="147">
        <f>COUNTIFS('2026 Time Off Request'!$A:$A,'Feb 2026'!$D40,'2026 Time Off Request'!$L:$L,'Feb 2026'!M$6)</f>
        <v>0</v>
      </c>
      <c r="N40" s="148">
        <f>COUNTIFS('2026 Time Off Request'!$A:$A,'Feb 2026'!$D40,'2026 Time Off Request'!$L:$L,'Feb 2026'!N$6)</f>
        <v>0</v>
      </c>
      <c r="O40" s="148">
        <f>COUNTIFS('2026 Time Off Request'!$A:$A,'Feb 2026'!$D40,'2026 Time Off Request'!$L:$L,'Feb 2026'!O$6)</f>
        <v>0</v>
      </c>
      <c r="P40" s="148">
        <f>COUNTIFS('2026 Time Off Request'!$A:$A,'Feb 2026'!$D40,'2026 Time Off Request'!$L:$L,'Feb 2026'!P$6)</f>
        <v>0</v>
      </c>
      <c r="Q40" s="148">
        <f>COUNTIFS('2026 Time Off Request'!$A:$A,'Feb 2026'!$D40,'2026 Time Off Request'!$L:$L,'Feb 2026'!Q$6)</f>
        <v>0</v>
      </c>
      <c r="R40" s="148">
        <f>COUNTIFS('2026 Time Off Request'!$A:$A,'Feb 2026'!$D40,'2026 Time Off Request'!$L:$L,'Feb 2026'!R$6)</f>
        <v>0</v>
      </c>
      <c r="S40" s="147">
        <f>COUNTIFS('2026 Time Off Request'!$A:$A,'Feb 2026'!$D40,'2026 Time Off Request'!$L:$L,'Feb 2026'!S$6)</f>
        <v>0</v>
      </c>
      <c r="T40" s="147">
        <f>COUNTIFS('2026 Time Off Request'!$A:$A,'Feb 2026'!$D40,'2026 Time Off Request'!$L:$L,'Feb 2026'!T$6)</f>
        <v>0</v>
      </c>
      <c r="U40" s="214">
        <f>COUNTIFS('2026 Time Off Request'!$A:$A,'Feb 2026'!$D40,'2026 Time Off Request'!$L:$L,'Feb 2026'!U$6)</f>
        <v>0</v>
      </c>
      <c r="V40" s="148">
        <f>COUNTIFS('2026 Time Off Request'!$A:$A,'Feb 2026'!$D40,'2026 Time Off Request'!$L:$L,'Feb 2026'!V$6)</f>
        <v>0</v>
      </c>
      <c r="W40" s="148">
        <f>COUNTIFS('2026 Time Off Request'!$A:$A,'Feb 2026'!$D40,'2026 Time Off Request'!$L:$L,'Feb 2026'!W$6)</f>
        <v>0</v>
      </c>
      <c r="X40" s="148">
        <f>COUNTIFS('2026 Time Off Request'!$A:$A,'Feb 2026'!$D40,'2026 Time Off Request'!$L:$L,'Feb 2026'!X$6)</f>
        <v>0</v>
      </c>
      <c r="Y40" s="148">
        <f>COUNTIFS('2026 Time Off Request'!$A:$A,'Feb 2026'!$D40,'2026 Time Off Request'!$L:$L,'Feb 2026'!Y$6)</f>
        <v>0</v>
      </c>
      <c r="Z40" s="147">
        <f>COUNTIFS('2026 Time Off Request'!$A:$A,'Feb 2026'!$D40,'2026 Time Off Request'!$L:$L,'Feb 2026'!Z$6)</f>
        <v>0</v>
      </c>
      <c r="AA40" s="147">
        <f>COUNTIFS('2026 Time Off Request'!$A:$A,'Feb 2026'!$D40,'2026 Time Off Request'!$L:$L,'Feb 2026'!AA$6)</f>
        <v>0</v>
      </c>
      <c r="AB40" s="148">
        <f>COUNTIFS('2026 Time Off Request'!$A:$A,'Feb 2026'!$D40,'2026 Time Off Request'!$L:$L,'Feb 2026'!AB$6)</f>
        <v>0</v>
      </c>
      <c r="AC40" s="148">
        <f>COUNTIFS('2026 Time Off Request'!$A:$A,'Feb 2026'!$D40,'2026 Time Off Request'!$L:$L,'Feb 2026'!AC$6)</f>
        <v>0</v>
      </c>
      <c r="AD40" s="148">
        <f>COUNTIFS('2026 Time Off Request'!$A:$A,'Feb 2026'!$D40,'2026 Time Off Request'!$L:$L,'Feb 2026'!AD$6)</f>
        <v>0</v>
      </c>
      <c r="AE40" s="148">
        <f>COUNTIFS('2026 Time Off Request'!$A:$A,'Feb 2026'!$D40,'2026 Time Off Request'!$L:$L,'Feb 2026'!AE$6)</f>
        <v>0</v>
      </c>
      <c r="AF40" s="148">
        <f>COUNTIFS('2026 Time Off Request'!$A:$A,'Feb 2026'!$D40,'2026 Time Off Request'!$L:$L,'Feb 2026'!AF$6)</f>
        <v>0</v>
      </c>
      <c r="AG40" s="147">
        <f>COUNTIFS('2026 Time Off Request'!$A:$A,'Feb 2026'!$D40,'2026 Time Off Request'!$L:$L,'Feb 2026'!AG$6)</f>
        <v>0</v>
      </c>
    </row>
    <row r="41" spans="1:33" ht="15.6" customHeight="1">
      <c r="A41" s="2">
        <v>34</v>
      </c>
      <c r="B41" s="209" t="s">
        <v>45</v>
      </c>
      <c r="C41" s="210" t="s">
        <v>83</v>
      </c>
      <c r="D41" s="215" t="s">
        <v>84</v>
      </c>
      <c r="E41" s="212">
        <f t="shared" si="2"/>
        <v>0</v>
      </c>
      <c r="F41" s="213">
        <f>COUNTIFS('2026 Time Off Request'!$A:$A,'Feb 2026'!$D41,'2026 Time Off Request'!$L:$L,'Feb 2026'!F$6)</f>
        <v>0</v>
      </c>
      <c r="G41" s="148">
        <f>COUNTIFS('2026 Time Off Request'!$A:$A,'Feb 2026'!$D41,'2026 Time Off Request'!$L:$L,'Feb 2026'!G$6)</f>
        <v>0</v>
      </c>
      <c r="H41" s="148">
        <f>COUNTIFS('2026 Time Off Request'!$A:$A,'Feb 2026'!$D41,'2026 Time Off Request'!$L:$L,'Feb 2026'!H$6)</f>
        <v>0</v>
      </c>
      <c r="I41" s="148">
        <f>COUNTIFS('2026 Time Off Request'!$A:$A,'Feb 2026'!$D41,'2026 Time Off Request'!$L:$L,'Feb 2026'!I$6)</f>
        <v>0</v>
      </c>
      <c r="J41" s="148">
        <f>COUNTIFS('2026 Time Off Request'!$A:$A,'Feb 2026'!$D41,'2026 Time Off Request'!$L:$L,'Feb 2026'!J$6)</f>
        <v>0</v>
      </c>
      <c r="K41" s="148">
        <f>COUNTIFS('2026 Time Off Request'!$A:$A,'Feb 2026'!$D41,'2026 Time Off Request'!$L:$L,'Feb 2026'!K$6)</f>
        <v>0</v>
      </c>
      <c r="L41" s="147">
        <f>COUNTIFS('2026 Time Off Request'!$A:$A,'Feb 2026'!$D41,'2026 Time Off Request'!$L:$L,'Feb 2026'!L$6)</f>
        <v>0</v>
      </c>
      <c r="M41" s="147">
        <f>COUNTIFS('2026 Time Off Request'!$A:$A,'Feb 2026'!$D41,'2026 Time Off Request'!$L:$L,'Feb 2026'!M$6)</f>
        <v>0</v>
      </c>
      <c r="N41" s="148">
        <f>COUNTIFS('2026 Time Off Request'!$A:$A,'Feb 2026'!$D41,'2026 Time Off Request'!$L:$L,'Feb 2026'!N$6)</f>
        <v>0</v>
      </c>
      <c r="O41" s="148">
        <f>COUNTIFS('2026 Time Off Request'!$A:$A,'Feb 2026'!$D41,'2026 Time Off Request'!$L:$L,'Feb 2026'!O$6)</f>
        <v>0</v>
      </c>
      <c r="P41" s="148">
        <f>COUNTIFS('2026 Time Off Request'!$A:$A,'Feb 2026'!$D41,'2026 Time Off Request'!$L:$L,'Feb 2026'!P$6)</f>
        <v>0</v>
      </c>
      <c r="Q41" s="148">
        <f>COUNTIFS('2026 Time Off Request'!$A:$A,'Feb 2026'!$D41,'2026 Time Off Request'!$L:$L,'Feb 2026'!Q$6)</f>
        <v>0</v>
      </c>
      <c r="R41" s="148">
        <f>COUNTIFS('2026 Time Off Request'!$A:$A,'Feb 2026'!$D41,'2026 Time Off Request'!$L:$L,'Feb 2026'!R$6)</f>
        <v>0</v>
      </c>
      <c r="S41" s="147">
        <f>COUNTIFS('2026 Time Off Request'!$A:$A,'Feb 2026'!$D41,'2026 Time Off Request'!$L:$L,'Feb 2026'!S$6)</f>
        <v>0</v>
      </c>
      <c r="T41" s="147">
        <f>COUNTIFS('2026 Time Off Request'!$A:$A,'Feb 2026'!$D41,'2026 Time Off Request'!$L:$L,'Feb 2026'!T$6)</f>
        <v>0</v>
      </c>
      <c r="U41" s="214">
        <f>COUNTIFS('2026 Time Off Request'!$A:$A,'Feb 2026'!$D41,'2026 Time Off Request'!$L:$L,'Feb 2026'!U$6)</f>
        <v>0</v>
      </c>
      <c r="V41" s="148">
        <f>COUNTIFS('2026 Time Off Request'!$A:$A,'Feb 2026'!$D41,'2026 Time Off Request'!$L:$L,'Feb 2026'!V$6)</f>
        <v>0</v>
      </c>
      <c r="W41" s="148">
        <f>COUNTIFS('2026 Time Off Request'!$A:$A,'Feb 2026'!$D41,'2026 Time Off Request'!$L:$L,'Feb 2026'!W$6)</f>
        <v>0</v>
      </c>
      <c r="X41" s="148">
        <f>COUNTIFS('2026 Time Off Request'!$A:$A,'Feb 2026'!$D41,'2026 Time Off Request'!$L:$L,'Feb 2026'!X$6)</f>
        <v>0</v>
      </c>
      <c r="Y41" s="148">
        <f>COUNTIFS('2026 Time Off Request'!$A:$A,'Feb 2026'!$D41,'2026 Time Off Request'!$L:$L,'Feb 2026'!Y$6)</f>
        <v>0</v>
      </c>
      <c r="Z41" s="147">
        <f>COUNTIFS('2026 Time Off Request'!$A:$A,'Feb 2026'!$D41,'2026 Time Off Request'!$L:$L,'Feb 2026'!Z$6)</f>
        <v>0</v>
      </c>
      <c r="AA41" s="147">
        <f>COUNTIFS('2026 Time Off Request'!$A:$A,'Feb 2026'!$D41,'2026 Time Off Request'!$L:$L,'Feb 2026'!AA$6)</f>
        <v>0</v>
      </c>
      <c r="AB41" s="148">
        <f>COUNTIFS('2026 Time Off Request'!$A:$A,'Feb 2026'!$D41,'2026 Time Off Request'!$L:$L,'Feb 2026'!AB$6)</f>
        <v>0</v>
      </c>
      <c r="AC41" s="148">
        <f>COUNTIFS('2026 Time Off Request'!$A:$A,'Feb 2026'!$D41,'2026 Time Off Request'!$L:$L,'Feb 2026'!AC$6)</f>
        <v>0</v>
      </c>
      <c r="AD41" s="148">
        <f>COUNTIFS('2026 Time Off Request'!$A:$A,'Feb 2026'!$D41,'2026 Time Off Request'!$L:$L,'Feb 2026'!AD$6)</f>
        <v>0</v>
      </c>
      <c r="AE41" s="148">
        <f>COUNTIFS('2026 Time Off Request'!$A:$A,'Feb 2026'!$D41,'2026 Time Off Request'!$L:$L,'Feb 2026'!AE$6)</f>
        <v>0</v>
      </c>
      <c r="AF41" s="148">
        <f>COUNTIFS('2026 Time Off Request'!$A:$A,'Feb 2026'!$D41,'2026 Time Off Request'!$L:$L,'Feb 2026'!AF$6)</f>
        <v>0</v>
      </c>
      <c r="AG41" s="147">
        <f>COUNTIFS('2026 Time Off Request'!$A:$A,'Feb 2026'!$D41,'2026 Time Off Request'!$L:$L,'Feb 2026'!AG$6)</f>
        <v>0</v>
      </c>
    </row>
    <row r="42" spans="1:33" ht="15.6" customHeight="1">
      <c r="A42" s="2">
        <v>35</v>
      </c>
      <c r="B42" s="209" t="s">
        <v>45</v>
      </c>
      <c r="C42" s="210" t="s">
        <v>85</v>
      </c>
      <c r="D42" s="215" t="s">
        <v>86</v>
      </c>
      <c r="E42" s="212">
        <f t="shared" si="2"/>
        <v>0</v>
      </c>
      <c r="F42" s="213">
        <f>COUNTIFS('2026 Time Off Request'!$A:$A,'Feb 2026'!$D42,'2026 Time Off Request'!$L:$L,'Feb 2026'!F$6)</f>
        <v>0</v>
      </c>
      <c r="G42" s="148">
        <f>COUNTIFS('2026 Time Off Request'!$A:$A,'Feb 2026'!$D42,'2026 Time Off Request'!$L:$L,'Feb 2026'!G$6)</f>
        <v>0</v>
      </c>
      <c r="H42" s="148">
        <f>COUNTIFS('2026 Time Off Request'!$A:$A,'Feb 2026'!$D42,'2026 Time Off Request'!$L:$L,'Feb 2026'!H$6)</f>
        <v>0</v>
      </c>
      <c r="I42" s="148">
        <f>COUNTIFS('2026 Time Off Request'!$A:$A,'Feb 2026'!$D42,'2026 Time Off Request'!$L:$L,'Feb 2026'!I$6)</f>
        <v>0</v>
      </c>
      <c r="J42" s="148">
        <f>COUNTIFS('2026 Time Off Request'!$A:$A,'Feb 2026'!$D42,'2026 Time Off Request'!$L:$L,'Feb 2026'!J$6)</f>
        <v>0</v>
      </c>
      <c r="K42" s="148">
        <f>COUNTIFS('2026 Time Off Request'!$A:$A,'Feb 2026'!$D42,'2026 Time Off Request'!$L:$L,'Feb 2026'!K$6)</f>
        <v>0</v>
      </c>
      <c r="L42" s="147">
        <f>COUNTIFS('2026 Time Off Request'!$A:$A,'Feb 2026'!$D42,'2026 Time Off Request'!$L:$L,'Feb 2026'!L$6)</f>
        <v>0</v>
      </c>
      <c r="M42" s="147">
        <f>COUNTIFS('2026 Time Off Request'!$A:$A,'Feb 2026'!$D42,'2026 Time Off Request'!$L:$L,'Feb 2026'!M$6)</f>
        <v>0</v>
      </c>
      <c r="N42" s="148">
        <f>COUNTIFS('2026 Time Off Request'!$A:$A,'Feb 2026'!$D42,'2026 Time Off Request'!$L:$L,'Feb 2026'!N$6)</f>
        <v>0</v>
      </c>
      <c r="O42" s="148">
        <f>COUNTIFS('2026 Time Off Request'!$A:$A,'Feb 2026'!$D42,'2026 Time Off Request'!$L:$L,'Feb 2026'!O$6)</f>
        <v>0</v>
      </c>
      <c r="P42" s="148">
        <f>COUNTIFS('2026 Time Off Request'!$A:$A,'Feb 2026'!$D42,'2026 Time Off Request'!$L:$L,'Feb 2026'!P$6)</f>
        <v>0</v>
      </c>
      <c r="Q42" s="148">
        <f>COUNTIFS('2026 Time Off Request'!$A:$A,'Feb 2026'!$D42,'2026 Time Off Request'!$L:$L,'Feb 2026'!Q$6)</f>
        <v>0</v>
      </c>
      <c r="R42" s="148">
        <f>COUNTIFS('2026 Time Off Request'!$A:$A,'Feb 2026'!$D42,'2026 Time Off Request'!$L:$L,'Feb 2026'!R$6)</f>
        <v>0</v>
      </c>
      <c r="S42" s="147">
        <f>COUNTIFS('2026 Time Off Request'!$A:$A,'Feb 2026'!$D42,'2026 Time Off Request'!$L:$L,'Feb 2026'!S$6)</f>
        <v>0</v>
      </c>
      <c r="T42" s="147">
        <f>COUNTIFS('2026 Time Off Request'!$A:$A,'Feb 2026'!$D42,'2026 Time Off Request'!$L:$L,'Feb 2026'!T$6)</f>
        <v>0</v>
      </c>
      <c r="U42" s="214">
        <f>COUNTIFS('2026 Time Off Request'!$A:$A,'Feb 2026'!$D42,'2026 Time Off Request'!$L:$L,'Feb 2026'!U$6)</f>
        <v>0</v>
      </c>
      <c r="V42" s="148">
        <f>COUNTIFS('2026 Time Off Request'!$A:$A,'Feb 2026'!$D42,'2026 Time Off Request'!$L:$L,'Feb 2026'!V$6)</f>
        <v>0</v>
      </c>
      <c r="W42" s="148">
        <f>COUNTIFS('2026 Time Off Request'!$A:$A,'Feb 2026'!$D42,'2026 Time Off Request'!$L:$L,'Feb 2026'!W$6)</f>
        <v>0</v>
      </c>
      <c r="X42" s="148">
        <f>COUNTIFS('2026 Time Off Request'!$A:$A,'Feb 2026'!$D42,'2026 Time Off Request'!$L:$L,'Feb 2026'!X$6)</f>
        <v>0</v>
      </c>
      <c r="Y42" s="148">
        <f>COUNTIFS('2026 Time Off Request'!$A:$A,'Feb 2026'!$D42,'2026 Time Off Request'!$L:$L,'Feb 2026'!Y$6)</f>
        <v>0</v>
      </c>
      <c r="Z42" s="147">
        <f>COUNTIFS('2026 Time Off Request'!$A:$A,'Feb 2026'!$D42,'2026 Time Off Request'!$L:$L,'Feb 2026'!Z$6)</f>
        <v>0</v>
      </c>
      <c r="AA42" s="147">
        <f>COUNTIFS('2026 Time Off Request'!$A:$A,'Feb 2026'!$D42,'2026 Time Off Request'!$L:$L,'Feb 2026'!AA$6)</f>
        <v>0</v>
      </c>
      <c r="AB42" s="148">
        <f>COUNTIFS('2026 Time Off Request'!$A:$A,'Feb 2026'!$D42,'2026 Time Off Request'!$L:$L,'Feb 2026'!AB$6)</f>
        <v>0</v>
      </c>
      <c r="AC42" s="148">
        <f>COUNTIFS('2026 Time Off Request'!$A:$A,'Feb 2026'!$D42,'2026 Time Off Request'!$L:$L,'Feb 2026'!AC$6)</f>
        <v>0</v>
      </c>
      <c r="AD42" s="148">
        <f>COUNTIFS('2026 Time Off Request'!$A:$A,'Feb 2026'!$D42,'2026 Time Off Request'!$L:$L,'Feb 2026'!AD$6)</f>
        <v>0</v>
      </c>
      <c r="AE42" s="148">
        <f>COUNTIFS('2026 Time Off Request'!$A:$A,'Feb 2026'!$D42,'2026 Time Off Request'!$L:$L,'Feb 2026'!AE$6)</f>
        <v>0</v>
      </c>
      <c r="AF42" s="148">
        <f>COUNTIFS('2026 Time Off Request'!$A:$A,'Feb 2026'!$D42,'2026 Time Off Request'!$L:$L,'Feb 2026'!AF$6)</f>
        <v>0</v>
      </c>
      <c r="AG42" s="147">
        <f>COUNTIFS('2026 Time Off Request'!$A:$A,'Feb 2026'!$D42,'2026 Time Off Request'!$L:$L,'Feb 2026'!AG$6)</f>
        <v>0</v>
      </c>
    </row>
    <row r="43" spans="1:33" ht="15.6" customHeight="1">
      <c r="A43" s="2">
        <v>36</v>
      </c>
      <c r="B43" s="209" t="s">
        <v>45</v>
      </c>
      <c r="C43" s="210" t="s">
        <v>87</v>
      </c>
      <c r="D43" s="215" t="s">
        <v>88</v>
      </c>
      <c r="E43" s="212">
        <f t="shared" si="2"/>
        <v>0</v>
      </c>
      <c r="F43" s="213">
        <f>COUNTIFS('2026 Time Off Request'!$A:$A,'Feb 2026'!$D43,'2026 Time Off Request'!$L:$L,'Feb 2026'!F$6)</f>
        <v>0</v>
      </c>
      <c r="G43" s="148">
        <f>COUNTIFS('2026 Time Off Request'!$A:$A,'Feb 2026'!$D43,'2026 Time Off Request'!$L:$L,'Feb 2026'!G$6)</f>
        <v>0</v>
      </c>
      <c r="H43" s="148">
        <f>COUNTIFS('2026 Time Off Request'!$A:$A,'Feb 2026'!$D43,'2026 Time Off Request'!$L:$L,'Feb 2026'!H$6)</f>
        <v>0</v>
      </c>
      <c r="I43" s="148">
        <f>COUNTIFS('2026 Time Off Request'!$A:$A,'Feb 2026'!$D43,'2026 Time Off Request'!$L:$L,'Feb 2026'!I$6)</f>
        <v>0</v>
      </c>
      <c r="J43" s="148">
        <f>COUNTIFS('2026 Time Off Request'!$A:$A,'Feb 2026'!$D43,'2026 Time Off Request'!$L:$L,'Feb 2026'!J$6)</f>
        <v>0</v>
      </c>
      <c r="K43" s="148">
        <f>COUNTIFS('2026 Time Off Request'!$A:$A,'Feb 2026'!$D43,'2026 Time Off Request'!$L:$L,'Feb 2026'!K$6)</f>
        <v>0</v>
      </c>
      <c r="L43" s="147">
        <f>COUNTIFS('2026 Time Off Request'!$A:$A,'Feb 2026'!$D43,'2026 Time Off Request'!$L:$L,'Feb 2026'!L$6)</f>
        <v>0</v>
      </c>
      <c r="M43" s="147">
        <f>COUNTIFS('2026 Time Off Request'!$A:$A,'Feb 2026'!$D43,'2026 Time Off Request'!$L:$L,'Feb 2026'!M$6)</f>
        <v>0</v>
      </c>
      <c r="N43" s="148">
        <f>COUNTIFS('2026 Time Off Request'!$A:$A,'Feb 2026'!$D43,'2026 Time Off Request'!$L:$L,'Feb 2026'!N$6)</f>
        <v>0</v>
      </c>
      <c r="O43" s="148">
        <f>COUNTIFS('2026 Time Off Request'!$A:$A,'Feb 2026'!$D43,'2026 Time Off Request'!$L:$L,'Feb 2026'!O$6)</f>
        <v>0</v>
      </c>
      <c r="P43" s="148">
        <f>COUNTIFS('2026 Time Off Request'!$A:$A,'Feb 2026'!$D43,'2026 Time Off Request'!$L:$L,'Feb 2026'!P$6)</f>
        <v>0</v>
      </c>
      <c r="Q43" s="148">
        <f>COUNTIFS('2026 Time Off Request'!$A:$A,'Feb 2026'!$D43,'2026 Time Off Request'!$L:$L,'Feb 2026'!Q$6)</f>
        <v>0</v>
      </c>
      <c r="R43" s="148">
        <f>COUNTIFS('2026 Time Off Request'!$A:$A,'Feb 2026'!$D43,'2026 Time Off Request'!$L:$L,'Feb 2026'!R$6)</f>
        <v>0</v>
      </c>
      <c r="S43" s="147">
        <f>COUNTIFS('2026 Time Off Request'!$A:$A,'Feb 2026'!$D43,'2026 Time Off Request'!$L:$L,'Feb 2026'!S$6)</f>
        <v>0</v>
      </c>
      <c r="T43" s="147">
        <f>COUNTIFS('2026 Time Off Request'!$A:$A,'Feb 2026'!$D43,'2026 Time Off Request'!$L:$L,'Feb 2026'!T$6)</f>
        <v>0</v>
      </c>
      <c r="U43" s="214">
        <f>COUNTIFS('2026 Time Off Request'!$A:$A,'Feb 2026'!$D43,'2026 Time Off Request'!$L:$L,'Feb 2026'!U$6)</f>
        <v>0</v>
      </c>
      <c r="V43" s="148">
        <f>COUNTIFS('2026 Time Off Request'!$A:$A,'Feb 2026'!$D43,'2026 Time Off Request'!$L:$L,'Feb 2026'!V$6)</f>
        <v>0</v>
      </c>
      <c r="W43" s="148">
        <f>COUNTIFS('2026 Time Off Request'!$A:$A,'Feb 2026'!$D43,'2026 Time Off Request'!$L:$L,'Feb 2026'!W$6)</f>
        <v>0</v>
      </c>
      <c r="X43" s="148">
        <f>COUNTIFS('2026 Time Off Request'!$A:$A,'Feb 2026'!$D43,'2026 Time Off Request'!$L:$L,'Feb 2026'!X$6)</f>
        <v>0</v>
      </c>
      <c r="Y43" s="148">
        <f>COUNTIFS('2026 Time Off Request'!$A:$A,'Feb 2026'!$D43,'2026 Time Off Request'!$L:$L,'Feb 2026'!Y$6)</f>
        <v>0</v>
      </c>
      <c r="Z43" s="147">
        <f>COUNTIFS('2026 Time Off Request'!$A:$A,'Feb 2026'!$D43,'2026 Time Off Request'!$L:$L,'Feb 2026'!Z$6)</f>
        <v>0</v>
      </c>
      <c r="AA43" s="147">
        <f>COUNTIFS('2026 Time Off Request'!$A:$A,'Feb 2026'!$D43,'2026 Time Off Request'!$L:$L,'Feb 2026'!AA$6)</f>
        <v>0</v>
      </c>
      <c r="AB43" s="148">
        <f>COUNTIFS('2026 Time Off Request'!$A:$A,'Feb 2026'!$D43,'2026 Time Off Request'!$L:$L,'Feb 2026'!AB$6)</f>
        <v>0</v>
      </c>
      <c r="AC43" s="148">
        <f>COUNTIFS('2026 Time Off Request'!$A:$A,'Feb 2026'!$D43,'2026 Time Off Request'!$L:$L,'Feb 2026'!AC$6)</f>
        <v>0</v>
      </c>
      <c r="AD43" s="148">
        <f>COUNTIFS('2026 Time Off Request'!$A:$A,'Feb 2026'!$D43,'2026 Time Off Request'!$L:$L,'Feb 2026'!AD$6)</f>
        <v>0</v>
      </c>
      <c r="AE43" s="148">
        <f>COUNTIFS('2026 Time Off Request'!$A:$A,'Feb 2026'!$D43,'2026 Time Off Request'!$L:$L,'Feb 2026'!AE$6)</f>
        <v>0</v>
      </c>
      <c r="AF43" s="148">
        <f>COUNTIFS('2026 Time Off Request'!$A:$A,'Feb 2026'!$D43,'2026 Time Off Request'!$L:$L,'Feb 2026'!AF$6)</f>
        <v>0</v>
      </c>
      <c r="AG43" s="147">
        <f>COUNTIFS('2026 Time Off Request'!$A:$A,'Feb 2026'!$D43,'2026 Time Off Request'!$L:$L,'Feb 2026'!AG$6)</f>
        <v>0</v>
      </c>
    </row>
    <row r="44" spans="1:33" ht="15.6" customHeight="1">
      <c r="A44" s="2">
        <v>37</v>
      </c>
      <c r="B44" s="209" t="s">
        <v>45</v>
      </c>
      <c r="C44" s="210" t="s">
        <v>89</v>
      </c>
      <c r="D44" s="215" t="s">
        <v>90</v>
      </c>
      <c r="E44" s="212">
        <f t="shared" si="2"/>
        <v>0</v>
      </c>
      <c r="F44" s="213">
        <f>COUNTIFS('2026 Time Off Request'!$A:$A,'Feb 2026'!$D44,'2026 Time Off Request'!$L:$L,'Feb 2026'!F$6)</f>
        <v>0</v>
      </c>
      <c r="G44" s="148">
        <f>COUNTIFS('2026 Time Off Request'!$A:$A,'Feb 2026'!$D44,'2026 Time Off Request'!$L:$L,'Feb 2026'!G$6)</f>
        <v>0</v>
      </c>
      <c r="H44" s="148">
        <f>COUNTIFS('2026 Time Off Request'!$A:$A,'Feb 2026'!$D44,'2026 Time Off Request'!$L:$L,'Feb 2026'!H$6)</f>
        <v>0</v>
      </c>
      <c r="I44" s="148">
        <f>COUNTIFS('2026 Time Off Request'!$A:$A,'Feb 2026'!$D44,'2026 Time Off Request'!$L:$L,'Feb 2026'!I$6)</f>
        <v>0</v>
      </c>
      <c r="J44" s="148">
        <f>COUNTIFS('2026 Time Off Request'!$A:$A,'Feb 2026'!$D44,'2026 Time Off Request'!$L:$L,'Feb 2026'!J$6)</f>
        <v>0</v>
      </c>
      <c r="K44" s="148">
        <f>COUNTIFS('2026 Time Off Request'!$A:$A,'Feb 2026'!$D44,'2026 Time Off Request'!$L:$L,'Feb 2026'!K$6)</f>
        <v>0</v>
      </c>
      <c r="L44" s="147">
        <f>COUNTIFS('2026 Time Off Request'!$A:$A,'Feb 2026'!$D44,'2026 Time Off Request'!$L:$L,'Feb 2026'!L$6)</f>
        <v>0</v>
      </c>
      <c r="M44" s="147">
        <f>COUNTIFS('2026 Time Off Request'!$A:$A,'Feb 2026'!$D44,'2026 Time Off Request'!$L:$L,'Feb 2026'!M$6)</f>
        <v>0</v>
      </c>
      <c r="N44" s="148">
        <f>COUNTIFS('2026 Time Off Request'!$A:$A,'Feb 2026'!$D44,'2026 Time Off Request'!$L:$L,'Feb 2026'!N$6)</f>
        <v>0</v>
      </c>
      <c r="O44" s="148">
        <f>COUNTIFS('2026 Time Off Request'!$A:$A,'Feb 2026'!$D44,'2026 Time Off Request'!$L:$L,'Feb 2026'!O$6)</f>
        <v>0</v>
      </c>
      <c r="P44" s="148">
        <f>COUNTIFS('2026 Time Off Request'!$A:$A,'Feb 2026'!$D44,'2026 Time Off Request'!$L:$L,'Feb 2026'!P$6)</f>
        <v>0</v>
      </c>
      <c r="Q44" s="148">
        <f>COUNTIFS('2026 Time Off Request'!$A:$A,'Feb 2026'!$D44,'2026 Time Off Request'!$L:$L,'Feb 2026'!Q$6)</f>
        <v>0</v>
      </c>
      <c r="R44" s="148">
        <f>COUNTIFS('2026 Time Off Request'!$A:$A,'Feb 2026'!$D44,'2026 Time Off Request'!$L:$L,'Feb 2026'!R$6)</f>
        <v>0</v>
      </c>
      <c r="S44" s="147">
        <f>COUNTIFS('2026 Time Off Request'!$A:$A,'Feb 2026'!$D44,'2026 Time Off Request'!$L:$L,'Feb 2026'!S$6)</f>
        <v>0</v>
      </c>
      <c r="T44" s="147">
        <f>COUNTIFS('2026 Time Off Request'!$A:$A,'Feb 2026'!$D44,'2026 Time Off Request'!$L:$L,'Feb 2026'!T$6)</f>
        <v>0</v>
      </c>
      <c r="U44" s="214">
        <f>COUNTIFS('2026 Time Off Request'!$A:$A,'Feb 2026'!$D44,'2026 Time Off Request'!$L:$L,'Feb 2026'!U$6)</f>
        <v>0</v>
      </c>
      <c r="V44" s="148">
        <f>COUNTIFS('2026 Time Off Request'!$A:$A,'Feb 2026'!$D44,'2026 Time Off Request'!$L:$L,'Feb 2026'!V$6)</f>
        <v>0</v>
      </c>
      <c r="W44" s="148">
        <f>COUNTIFS('2026 Time Off Request'!$A:$A,'Feb 2026'!$D44,'2026 Time Off Request'!$L:$L,'Feb 2026'!W$6)</f>
        <v>0</v>
      </c>
      <c r="X44" s="148">
        <f>COUNTIFS('2026 Time Off Request'!$A:$A,'Feb 2026'!$D44,'2026 Time Off Request'!$L:$L,'Feb 2026'!X$6)</f>
        <v>0</v>
      </c>
      <c r="Y44" s="148">
        <f>COUNTIFS('2026 Time Off Request'!$A:$A,'Feb 2026'!$D44,'2026 Time Off Request'!$L:$L,'Feb 2026'!Y$6)</f>
        <v>0</v>
      </c>
      <c r="Z44" s="147">
        <f>COUNTIFS('2026 Time Off Request'!$A:$A,'Feb 2026'!$D44,'2026 Time Off Request'!$L:$L,'Feb 2026'!Z$6)</f>
        <v>0</v>
      </c>
      <c r="AA44" s="147">
        <f>COUNTIFS('2026 Time Off Request'!$A:$A,'Feb 2026'!$D44,'2026 Time Off Request'!$L:$L,'Feb 2026'!AA$6)</f>
        <v>0</v>
      </c>
      <c r="AB44" s="148">
        <f>COUNTIFS('2026 Time Off Request'!$A:$A,'Feb 2026'!$D44,'2026 Time Off Request'!$L:$L,'Feb 2026'!AB$6)</f>
        <v>0</v>
      </c>
      <c r="AC44" s="148">
        <f>COUNTIFS('2026 Time Off Request'!$A:$A,'Feb 2026'!$D44,'2026 Time Off Request'!$L:$L,'Feb 2026'!AC$6)</f>
        <v>0</v>
      </c>
      <c r="AD44" s="148">
        <f>COUNTIFS('2026 Time Off Request'!$A:$A,'Feb 2026'!$D44,'2026 Time Off Request'!$L:$L,'Feb 2026'!AD$6)</f>
        <v>0</v>
      </c>
      <c r="AE44" s="148">
        <f>COUNTIFS('2026 Time Off Request'!$A:$A,'Feb 2026'!$D44,'2026 Time Off Request'!$L:$L,'Feb 2026'!AE$6)</f>
        <v>0</v>
      </c>
      <c r="AF44" s="148">
        <f>COUNTIFS('2026 Time Off Request'!$A:$A,'Feb 2026'!$D44,'2026 Time Off Request'!$L:$L,'Feb 2026'!AF$6)</f>
        <v>0</v>
      </c>
      <c r="AG44" s="147">
        <f>COUNTIFS('2026 Time Off Request'!$A:$A,'Feb 2026'!$D44,'2026 Time Off Request'!$L:$L,'Feb 2026'!AG$6)</f>
        <v>0</v>
      </c>
    </row>
    <row r="45" spans="1:33" ht="15.6" customHeight="1">
      <c r="A45" s="2">
        <v>38</v>
      </c>
      <c r="B45" s="209" t="s">
        <v>45</v>
      </c>
      <c r="C45" s="210" t="s">
        <v>89</v>
      </c>
      <c r="D45" s="215" t="s">
        <v>91</v>
      </c>
      <c r="E45" s="212">
        <f t="shared" si="2"/>
        <v>0</v>
      </c>
      <c r="F45" s="213">
        <f>COUNTIFS('2026 Time Off Request'!$A:$A,'Feb 2026'!$D45,'2026 Time Off Request'!$L:$L,'Feb 2026'!F$6)</f>
        <v>0</v>
      </c>
      <c r="G45" s="148">
        <f>COUNTIFS('2026 Time Off Request'!$A:$A,'Feb 2026'!$D45,'2026 Time Off Request'!$L:$L,'Feb 2026'!G$6)</f>
        <v>0</v>
      </c>
      <c r="H45" s="148">
        <f>COUNTIFS('2026 Time Off Request'!$A:$A,'Feb 2026'!$D45,'2026 Time Off Request'!$L:$L,'Feb 2026'!H$6)</f>
        <v>0</v>
      </c>
      <c r="I45" s="148">
        <f>COUNTIFS('2026 Time Off Request'!$A:$A,'Feb 2026'!$D45,'2026 Time Off Request'!$L:$L,'Feb 2026'!I$6)</f>
        <v>0</v>
      </c>
      <c r="J45" s="148">
        <f>COUNTIFS('2026 Time Off Request'!$A:$A,'Feb 2026'!$D45,'2026 Time Off Request'!$L:$L,'Feb 2026'!J$6)</f>
        <v>0</v>
      </c>
      <c r="K45" s="148">
        <f>COUNTIFS('2026 Time Off Request'!$A:$A,'Feb 2026'!$D45,'2026 Time Off Request'!$L:$L,'Feb 2026'!K$6)</f>
        <v>0</v>
      </c>
      <c r="L45" s="147">
        <f>COUNTIFS('2026 Time Off Request'!$A:$A,'Feb 2026'!$D45,'2026 Time Off Request'!$L:$L,'Feb 2026'!L$6)</f>
        <v>0</v>
      </c>
      <c r="M45" s="147">
        <f>COUNTIFS('2026 Time Off Request'!$A:$A,'Feb 2026'!$D45,'2026 Time Off Request'!$L:$L,'Feb 2026'!M$6)</f>
        <v>0</v>
      </c>
      <c r="N45" s="148">
        <f>COUNTIFS('2026 Time Off Request'!$A:$A,'Feb 2026'!$D45,'2026 Time Off Request'!$L:$L,'Feb 2026'!N$6)</f>
        <v>0</v>
      </c>
      <c r="O45" s="148">
        <f>COUNTIFS('2026 Time Off Request'!$A:$A,'Feb 2026'!$D45,'2026 Time Off Request'!$L:$L,'Feb 2026'!O$6)</f>
        <v>0</v>
      </c>
      <c r="P45" s="148">
        <f>COUNTIFS('2026 Time Off Request'!$A:$A,'Feb 2026'!$D45,'2026 Time Off Request'!$L:$L,'Feb 2026'!P$6)</f>
        <v>0</v>
      </c>
      <c r="Q45" s="148">
        <f>COUNTIFS('2026 Time Off Request'!$A:$A,'Feb 2026'!$D45,'2026 Time Off Request'!$L:$L,'Feb 2026'!Q$6)</f>
        <v>0</v>
      </c>
      <c r="R45" s="148">
        <f>COUNTIFS('2026 Time Off Request'!$A:$A,'Feb 2026'!$D45,'2026 Time Off Request'!$L:$L,'Feb 2026'!R$6)</f>
        <v>0</v>
      </c>
      <c r="S45" s="147">
        <f>COUNTIFS('2026 Time Off Request'!$A:$A,'Feb 2026'!$D45,'2026 Time Off Request'!$L:$L,'Feb 2026'!S$6)</f>
        <v>0</v>
      </c>
      <c r="T45" s="147">
        <f>COUNTIFS('2026 Time Off Request'!$A:$A,'Feb 2026'!$D45,'2026 Time Off Request'!$L:$L,'Feb 2026'!T$6)</f>
        <v>0</v>
      </c>
      <c r="U45" s="214">
        <f>COUNTIFS('2026 Time Off Request'!$A:$A,'Feb 2026'!$D45,'2026 Time Off Request'!$L:$L,'Feb 2026'!U$6)</f>
        <v>0</v>
      </c>
      <c r="V45" s="148">
        <f>COUNTIFS('2026 Time Off Request'!$A:$A,'Feb 2026'!$D45,'2026 Time Off Request'!$L:$L,'Feb 2026'!V$6)</f>
        <v>0</v>
      </c>
      <c r="W45" s="148">
        <f>COUNTIFS('2026 Time Off Request'!$A:$A,'Feb 2026'!$D45,'2026 Time Off Request'!$L:$L,'Feb 2026'!W$6)</f>
        <v>0</v>
      </c>
      <c r="X45" s="148">
        <f>COUNTIFS('2026 Time Off Request'!$A:$A,'Feb 2026'!$D45,'2026 Time Off Request'!$L:$L,'Feb 2026'!X$6)</f>
        <v>0</v>
      </c>
      <c r="Y45" s="148">
        <f>COUNTIFS('2026 Time Off Request'!$A:$A,'Feb 2026'!$D45,'2026 Time Off Request'!$L:$L,'Feb 2026'!Y$6)</f>
        <v>0</v>
      </c>
      <c r="Z45" s="147">
        <f>COUNTIFS('2026 Time Off Request'!$A:$A,'Feb 2026'!$D45,'2026 Time Off Request'!$L:$L,'Feb 2026'!Z$6)</f>
        <v>0</v>
      </c>
      <c r="AA45" s="147">
        <f>COUNTIFS('2026 Time Off Request'!$A:$A,'Feb 2026'!$D45,'2026 Time Off Request'!$L:$L,'Feb 2026'!AA$6)</f>
        <v>0</v>
      </c>
      <c r="AB45" s="148">
        <f>COUNTIFS('2026 Time Off Request'!$A:$A,'Feb 2026'!$D45,'2026 Time Off Request'!$L:$L,'Feb 2026'!AB$6)</f>
        <v>0</v>
      </c>
      <c r="AC45" s="148">
        <f>COUNTIFS('2026 Time Off Request'!$A:$A,'Feb 2026'!$D45,'2026 Time Off Request'!$L:$L,'Feb 2026'!AC$6)</f>
        <v>0</v>
      </c>
      <c r="AD45" s="148">
        <f>COUNTIFS('2026 Time Off Request'!$A:$A,'Feb 2026'!$D45,'2026 Time Off Request'!$L:$L,'Feb 2026'!AD$6)</f>
        <v>0</v>
      </c>
      <c r="AE45" s="148">
        <f>COUNTIFS('2026 Time Off Request'!$A:$A,'Feb 2026'!$D45,'2026 Time Off Request'!$L:$L,'Feb 2026'!AE$6)</f>
        <v>0</v>
      </c>
      <c r="AF45" s="148">
        <f>COUNTIFS('2026 Time Off Request'!$A:$A,'Feb 2026'!$D45,'2026 Time Off Request'!$L:$L,'Feb 2026'!AF$6)</f>
        <v>0</v>
      </c>
      <c r="AG45" s="147">
        <f>COUNTIFS('2026 Time Off Request'!$A:$A,'Feb 2026'!$D45,'2026 Time Off Request'!$L:$L,'Feb 2026'!AG$6)</f>
        <v>0</v>
      </c>
    </row>
    <row r="46" spans="1:33" ht="15.75">
      <c r="A46" s="2"/>
      <c r="B46" s="29"/>
      <c r="C46" s="23"/>
      <c r="D46" s="2"/>
      <c r="E46" s="3"/>
    </row>
    <row r="47" spans="1:33" ht="15.6">
      <c r="A47" s="2"/>
      <c r="B47" s="29"/>
      <c r="C47" s="23"/>
      <c r="D47" s="2"/>
      <c r="E47" s="3"/>
    </row>
    <row r="48" spans="1:33" ht="15.6">
      <c r="A48" s="2"/>
      <c r="B48" s="29"/>
      <c r="C48" s="23"/>
      <c r="D48" s="2"/>
      <c r="E48" s="3"/>
    </row>
    <row r="49" spans="1:5" ht="15.6">
      <c r="A49" s="2"/>
      <c r="B49" s="29"/>
      <c r="C49" s="105"/>
      <c r="D49" s="2"/>
      <c r="E49" s="3"/>
    </row>
    <row r="50" spans="1:5" ht="15.6">
      <c r="A50" s="2"/>
      <c r="B50" s="29"/>
      <c r="C50" s="23"/>
      <c r="D50" s="2"/>
      <c r="E50" s="2"/>
    </row>
    <row r="51" spans="1:5" ht="15.6">
      <c r="A51" s="2"/>
      <c r="B51" s="29"/>
      <c r="C51" s="23"/>
      <c r="D51" s="2"/>
      <c r="E51" s="2"/>
    </row>
    <row r="52" spans="1:5" ht="15.6">
      <c r="A52" s="2"/>
      <c r="B52" s="29"/>
      <c r="C52" s="23"/>
      <c r="D52" s="2"/>
      <c r="E52" s="2"/>
    </row>
    <row r="53" spans="1:5" ht="15.6">
      <c r="A53" s="2"/>
      <c r="B53" s="29"/>
      <c r="C53" s="23"/>
      <c r="D53" s="2"/>
      <c r="E53" s="2"/>
    </row>
    <row r="54" spans="1:5" ht="15.6">
      <c r="A54" s="2"/>
      <c r="B54" s="29"/>
      <c r="C54" s="23"/>
      <c r="D54" s="2"/>
      <c r="E54" s="2"/>
    </row>
    <row r="55" spans="1:5" ht="15.6">
      <c r="A55" s="2"/>
      <c r="B55" s="29"/>
      <c r="C55" s="23"/>
      <c r="D55" s="2"/>
      <c r="E55" s="2"/>
    </row>
    <row r="56" spans="1:5" ht="15.6">
      <c r="A56" s="2"/>
      <c r="B56" s="29"/>
      <c r="C56" s="23"/>
      <c r="D56" s="2"/>
      <c r="E56" s="2"/>
    </row>
    <row r="57" spans="1:5" ht="15.6">
      <c r="A57" s="2"/>
      <c r="B57" s="29"/>
      <c r="C57" s="23"/>
      <c r="D57" s="2"/>
      <c r="E57" s="2"/>
    </row>
    <row r="58" spans="1:5" ht="15.6">
      <c r="A58" s="2"/>
      <c r="B58" s="29"/>
      <c r="C58" s="23"/>
      <c r="D58" s="2"/>
      <c r="E58" s="2"/>
    </row>
    <row r="59" spans="1:5" ht="15.6">
      <c r="A59" s="2"/>
      <c r="B59" s="29"/>
      <c r="C59" s="23"/>
      <c r="D59" s="2"/>
      <c r="E59" s="2"/>
    </row>
    <row r="60" spans="1:5" ht="15"/>
    <row r="61" spans="1:5" ht="15"/>
  </sheetData>
  <mergeCells count="1">
    <mergeCell ref="B6:D6"/>
  </mergeCells>
  <conditionalFormatting sqref="E8:AG45">
    <cfRule type="cellIs" dxfId="10" priority="1" operator="greaterThan">
      <formula>0</formula>
    </cfRule>
  </conditionalFormatting>
  <dataValidations count="1">
    <dataValidation allowBlank="1" showInputMessage="1" showErrorMessage="1" sqref="A3:A59" xr:uid="{956CB9FE-7F68-4B7D-8F37-9307FD151199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8219-8D36-49BD-832C-38F5F84AF7A1}">
  <sheetPr>
    <tabColor rgb="FF00B050"/>
  </sheetPr>
  <dimension ref="A2:AO61"/>
  <sheetViews>
    <sheetView showGridLines="0" workbookViewId="0">
      <pane xSplit="4" ySplit="7" topLeftCell="AB8" activePane="bottomRight" state="frozen"/>
      <selection pane="bottomRight" activeCell="AF18" sqref="AF18"/>
      <selection pane="bottomLeft"/>
      <selection pane="topRight"/>
    </sheetView>
  </sheetViews>
  <sheetFormatPr defaultColWidth="9.140625" defaultRowHeight="14.45"/>
  <cols>
    <col min="1" max="1" width="3.28515625" bestFit="1" customWidth="1"/>
    <col min="3" max="3" width="22.7109375" bestFit="1" customWidth="1"/>
    <col min="4" max="4" width="27.140625" customWidth="1"/>
    <col min="5" max="5" width="15" customWidth="1"/>
    <col min="6" max="6" width="17.140625" style="106" customWidth="1"/>
    <col min="7" max="11" width="17.42578125" bestFit="1" customWidth="1"/>
    <col min="12" max="13" width="17.42578125" style="48" bestFit="1" customWidth="1"/>
    <col min="14" max="14" width="17.42578125" bestFit="1" customWidth="1"/>
    <col min="15" max="18" width="18.42578125" bestFit="1" customWidth="1"/>
    <col min="19" max="20" width="18.42578125" style="48" bestFit="1" customWidth="1"/>
    <col min="21" max="25" width="18.42578125" bestFit="1" customWidth="1"/>
    <col min="26" max="27" width="18.42578125" style="48" bestFit="1" customWidth="1"/>
    <col min="28" max="32" width="18.42578125" bestFit="1" customWidth="1"/>
    <col min="33" max="34" width="18.42578125" style="48" bestFit="1" customWidth="1"/>
    <col min="35" max="36" width="18.42578125" bestFit="1" customWidth="1"/>
  </cols>
  <sheetData>
    <row r="2" spans="1:41" s="80" customFormat="1" ht="18.75" customHeight="1">
      <c r="D2" s="96" t="s">
        <v>95</v>
      </c>
      <c r="F2" s="107">
        <f>COUNTA($D$8:$D$52)</f>
        <v>38</v>
      </c>
      <c r="G2" s="80">
        <f>COUNTA($D$8:$D$52)</f>
        <v>38</v>
      </c>
      <c r="H2" s="80">
        <f>COUNTA($D$8:$D$52)</f>
        <v>38</v>
      </c>
      <c r="I2" s="80">
        <f>COUNTA($D$8:$D$52)</f>
        <v>38</v>
      </c>
      <c r="J2" s="80">
        <f>COUNTA($D$8:$D$52)</f>
        <v>38</v>
      </c>
      <c r="K2" s="80">
        <f>COUNTA($D$8:$D$52)</f>
        <v>38</v>
      </c>
      <c r="L2" s="46">
        <f>COUNTA($D$8:$D$52)</f>
        <v>38</v>
      </c>
      <c r="M2" s="46">
        <f>COUNTA($D$8:$D$52)</f>
        <v>38</v>
      </c>
      <c r="N2" s="80">
        <f>COUNTA($D$8:$D$52)</f>
        <v>38</v>
      </c>
      <c r="O2" s="80">
        <f>COUNTA($D$8:$D$52)</f>
        <v>38</v>
      </c>
      <c r="P2" s="80">
        <f>COUNTA($D$8:$D$52)</f>
        <v>38</v>
      </c>
      <c r="Q2" s="80">
        <f>COUNTA($D$8:$D$52)</f>
        <v>38</v>
      </c>
      <c r="R2" s="80">
        <f>COUNTA($D$8:$D$52)</f>
        <v>38</v>
      </c>
      <c r="S2" s="46">
        <f>COUNTA($D$8:$D$52)</f>
        <v>38</v>
      </c>
      <c r="T2" s="46">
        <f>COUNTA($D$8:$D$52)</f>
        <v>38</v>
      </c>
      <c r="U2" s="80">
        <f>COUNTA($D$8:$D$52)</f>
        <v>38</v>
      </c>
      <c r="V2" s="80">
        <f>COUNTA($D$8:$D$52)</f>
        <v>38</v>
      </c>
      <c r="W2" s="80">
        <f>COUNTA($D$8:$D$52)</f>
        <v>38</v>
      </c>
      <c r="X2" s="80">
        <f>COUNTA($D$8:$D$52)</f>
        <v>38</v>
      </c>
      <c r="Y2" s="80">
        <f>COUNTA($D$8:$D$52)</f>
        <v>38</v>
      </c>
      <c r="Z2" s="46">
        <f>COUNTA($D$8:$D$52)</f>
        <v>38</v>
      </c>
      <c r="AA2" s="46">
        <f>COUNTA($D$8:$D$52)</f>
        <v>38</v>
      </c>
      <c r="AB2" s="80">
        <f>COUNTA($D$8:$D$52)</f>
        <v>38</v>
      </c>
      <c r="AC2" s="80">
        <f>COUNTA($D$8:$D$52)</f>
        <v>38</v>
      </c>
      <c r="AD2" s="80">
        <f>COUNTA($D$8:$D$52)</f>
        <v>38</v>
      </c>
      <c r="AE2" s="80">
        <f>COUNTA($D$8:$D$52)</f>
        <v>38</v>
      </c>
      <c r="AF2" s="80">
        <f>COUNTA($D$8:$D$52)</f>
        <v>38</v>
      </c>
      <c r="AG2" s="46">
        <f>COUNTA($D$8:$D$52)</f>
        <v>38</v>
      </c>
      <c r="AH2" s="46">
        <f>COUNTA($D$8:$D$52)</f>
        <v>38</v>
      </c>
      <c r="AI2" s="80">
        <f>COUNTA($D$8:$D$52)</f>
        <v>38</v>
      </c>
      <c r="AJ2" s="80">
        <f>COUNTA($D$8:$D$52)</f>
        <v>38</v>
      </c>
    </row>
    <row r="3" spans="1:41" s="80" customFormat="1" ht="12">
      <c r="A3" s="96"/>
      <c r="C3" s="96"/>
      <c r="D3" s="96" t="s">
        <v>96</v>
      </c>
      <c r="E3" s="96"/>
      <c r="F3" s="107">
        <f>SUM(F8:F49)</f>
        <v>0</v>
      </c>
      <c r="G3" s="80">
        <f>SUM(G8:G49)</f>
        <v>1</v>
      </c>
      <c r="H3" s="80">
        <f>SUM(H8:H49)</f>
        <v>0</v>
      </c>
      <c r="I3" s="80">
        <f>SUM(I8:I49)</f>
        <v>0</v>
      </c>
      <c r="J3" s="80">
        <f>SUM(J8:J49)</f>
        <v>0</v>
      </c>
      <c r="K3" s="80">
        <f>SUM(K8:K49)</f>
        <v>1</v>
      </c>
      <c r="L3" s="46">
        <f>SUM(L8:L49)</f>
        <v>0</v>
      </c>
      <c r="M3" s="46">
        <f>SUM(M8:M49)</f>
        <v>0</v>
      </c>
      <c r="N3" s="80">
        <f>SUM(N8:N49)</f>
        <v>0</v>
      </c>
      <c r="O3" s="80">
        <f>SUM(O8:O49)</f>
        <v>1</v>
      </c>
      <c r="P3" s="80">
        <f>SUM(P8:P49)</f>
        <v>1</v>
      </c>
      <c r="Q3" s="80">
        <f>SUM(Q8:Q49)</f>
        <v>1</v>
      </c>
      <c r="R3" s="80">
        <f>SUM(R8:R49)</f>
        <v>2</v>
      </c>
      <c r="S3" s="46">
        <f>SUM(S8:S49)</f>
        <v>0</v>
      </c>
      <c r="T3" s="46">
        <f>SUM(T8:T49)</f>
        <v>0</v>
      </c>
      <c r="U3" s="80">
        <f>SUM(U8:U49)</f>
        <v>3</v>
      </c>
      <c r="V3" s="80">
        <f>SUM(V8:V49)</f>
        <v>2</v>
      </c>
      <c r="W3" s="80">
        <f>SUM(W8:W49)</f>
        <v>3</v>
      </c>
      <c r="X3" s="80">
        <f>SUM(X8:X49)</f>
        <v>2</v>
      </c>
      <c r="Y3" s="80">
        <f>SUM(Y8:Y49)</f>
        <v>2</v>
      </c>
      <c r="Z3" s="46">
        <f>SUM(Z8:Z49)</f>
        <v>0</v>
      </c>
      <c r="AA3" s="46">
        <f>SUM(AA8:AA49)</f>
        <v>0</v>
      </c>
      <c r="AB3" s="80">
        <f>SUM(AB8:AB49)</f>
        <v>2</v>
      </c>
      <c r="AC3" s="80">
        <f>SUM(AC8:AC49)</f>
        <v>1</v>
      </c>
      <c r="AD3" s="80">
        <f>SUM(AD8:AD49)</f>
        <v>1</v>
      </c>
      <c r="AE3" s="80">
        <f>SUM(AE8:AE49)</f>
        <v>1</v>
      </c>
      <c r="AF3" s="80">
        <f>SUM(AF8:AF49)</f>
        <v>2</v>
      </c>
      <c r="AG3" s="46">
        <f>SUM(AG8:AG49)</f>
        <v>0</v>
      </c>
      <c r="AH3" s="46">
        <f>SUM(AH8:AH49)</f>
        <v>0</v>
      </c>
      <c r="AI3" s="80">
        <f>SUM(AI8:AI49)</f>
        <v>0</v>
      </c>
      <c r="AJ3" s="80">
        <f>SUM(AJ8:AJ49)</f>
        <v>0</v>
      </c>
    </row>
    <row r="4" spans="1:41" s="80" customFormat="1" ht="12">
      <c r="A4" s="96"/>
      <c r="B4" s="97"/>
      <c r="C4" s="96"/>
      <c r="D4" s="96" t="s">
        <v>97</v>
      </c>
      <c r="E4" s="96"/>
      <c r="F4" s="108">
        <f>(COUNTA($D$8:$D$49)-F$3)/(COUNTA($D$8:$D$49))</f>
        <v>1</v>
      </c>
      <c r="G4" s="81">
        <f>(COUNTA($D$8:$D$49)-G$3)/(COUNTA($D$8:$D$49))</f>
        <v>0.97368421052631582</v>
      </c>
      <c r="H4" s="81">
        <f>(COUNTA($D$8:$D$49)-H$3)/(COUNTA($D$8:$D$49))</f>
        <v>1</v>
      </c>
      <c r="I4" s="81">
        <f>(COUNTA($D$8:$D$49)-I$3)/(COUNTA($D$8:$D$49))</f>
        <v>1</v>
      </c>
      <c r="J4" s="81">
        <f>(COUNTA($D$8:$D$49)-J$3)/(COUNTA($D$8:$D$49))</f>
        <v>1</v>
      </c>
      <c r="K4" s="81">
        <f>(COUNTA($D$8:$D$49)-K$3)/(COUNTA($D$8:$D$49))</f>
        <v>0.97368421052631582</v>
      </c>
      <c r="L4" s="47">
        <f>(COUNTA($D$8:$D$49)-L$3)/(COUNTA($D$8:$D$49))</f>
        <v>1</v>
      </c>
      <c r="M4" s="47">
        <f>(COUNTA($D$8:$D$49)-M$3)/(COUNTA($D$8:$D$49))</f>
        <v>1</v>
      </c>
      <c r="N4" s="81">
        <f>(COUNTA($D$8:$D$49)-N$3)/(COUNTA($D$8:$D$49))</f>
        <v>1</v>
      </c>
      <c r="O4" s="81">
        <f>(COUNTA($D$8:$D$49)-O$3)/(COUNTA($D$8:$D$49))</f>
        <v>0.97368421052631582</v>
      </c>
      <c r="P4" s="81">
        <f>(COUNTA($D$8:$D$49)-P$3)/(COUNTA($D$8:$D$49))</f>
        <v>0.97368421052631582</v>
      </c>
      <c r="Q4" s="81">
        <f>(COUNTA($D$8:$D$49)-Q$3)/(COUNTA($D$8:$D$49))</f>
        <v>0.97368421052631582</v>
      </c>
      <c r="R4" s="81">
        <f>(COUNTA($D$8:$D$49)-R$3)/(COUNTA($D$8:$D$49))</f>
        <v>0.94736842105263153</v>
      </c>
      <c r="S4" s="47">
        <f>(COUNTA($D$8:$D$49)-S$3)/(COUNTA($D$8:$D$49))</f>
        <v>1</v>
      </c>
      <c r="T4" s="47">
        <f>(COUNTA($D$8:$D$49)-T$3)/(COUNTA($D$8:$D$49))</f>
        <v>1</v>
      </c>
      <c r="U4" s="81">
        <f>(COUNTA($D$8:$D$49)-U$3)/(COUNTA($D$8:$D$49))</f>
        <v>0.92105263157894735</v>
      </c>
      <c r="V4" s="81">
        <f>(COUNTA($D$8:$D$49)-V$3)/(COUNTA($D$8:$D$49))</f>
        <v>0.94736842105263153</v>
      </c>
      <c r="W4" s="81">
        <f>(COUNTA($D$8:$D$49)-W$3)/(COUNTA($D$8:$D$49))</f>
        <v>0.92105263157894735</v>
      </c>
      <c r="X4" s="81">
        <f>(COUNTA($D$8:$D$49)-X$3)/(COUNTA($D$8:$D$49))</f>
        <v>0.94736842105263153</v>
      </c>
      <c r="Y4" s="81">
        <f>(COUNTA($D$8:$D$49)-Y$3)/(COUNTA($D$8:$D$49))</f>
        <v>0.94736842105263153</v>
      </c>
      <c r="Z4" s="47">
        <f>(COUNTA($D$8:$D$49)-Z$3)/(COUNTA($D$8:$D$49))</f>
        <v>1</v>
      </c>
      <c r="AA4" s="47">
        <f>(COUNTA($D$8:$D$49)-AA$3)/(COUNTA($D$8:$D$49))</f>
        <v>1</v>
      </c>
      <c r="AB4" s="81">
        <f>(COUNTA($D$8:$D$49)-AB$3)/(COUNTA($D$8:$D$49))</f>
        <v>0.94736842105263153</v>
      </c>
      <c r="AC4" s="81">
        <f>(COUNTA($D$8:$D$49)-AC$3)/(COUNTA($D$8:$D$49))</f>
        <v>0.97368421052631582</v>
      </c>
      <c r="AD4" s="81">
        <f>(COUNTA($D$8:$D$49)-AD$3)/(COUNTA($D$8:$D$49))</f>
        <v>0.97368421052631582</v>
      </c>
      <c r="AE4" s="81">
        <f>(COUNTA($D$8:$D$49)-AE$3)/(COUNTA($D$8:$D$49))</f>
        <v>0.97368421052631582</v>
      </c>
      <c r="AF4" s="81">
        <f>(COUNTA($D$8:$D$49)-AF$3)/(COUNTA($D$8:$D$49))</f>
        <v>0.94736842105263153</v>
      </c>
      <c r="AG4" s="47">
        <f>(COUNTA($D$8:$D$49)-AG$3)/(COUNTA($D$8:$D$49))</f>
        <v>1</v>
      </c>
      <c r="AH4" s="47">
        <f>(COUNTA($D$8:$D$49)-AH$3)/(COUNTA($D$8:$D$49))</f>
        <v>1</v>
      </c>
      <c r="AI4" s="81">
        <f>(COUNTA($D$8:$D$49)-AI$3)/(COUNTA($D$8:$D$49))</f>
        <v>1</v>
      </c>
      <c r="AJ4" s="81">
        <f>(COUNTA($D$8:$D$49)-AJ$3)/(COUNTA($D$8:$D$49))</f>
        <v>1</v>
      </c>
    </row>
    <row r="5" spans="1:41" s="80" customFormat="1" ht="8.25" customHeight="1">
      <c r="A5" s="96"/>
      <c r="B5" s="97"/>
      <c r="C5" s="96"/>
      <c r="D5" s="96"/>
      <c r="E5" s="96"/>
      <c r="F5" s="108"/>
      <c r="G5" s="81"/>
      <c r="H5" s="81"/>
      <c r="I5" s="81"/>
      <c r="J5" s="81"/>
      <c r="K5" s="81"/>
      <c r="L5" s="47"/>
      <c r="M5" s="47"/>
      <c r="N5" s="81"/>
      <c r="O5" s="81"/>
      <c r="P5" s="81"/>
      <c r="Q5" s="81"/>
      <c r="R5" s="81"/>
      <c r="S5" s="47"/>
      <c r="T5" s="47"/>
      <c r="U5" s="81"/>
      <c r="V5" s="81"/>
      <c r="W5" s="81"/>
      <c r="X5" s="81"/>
      <c r="Y5" s="81"/>
      <c r="Z5" s="47"/>
      <c r="AA5" s="47"/>
      <c r="AB5" s="81"/>
      <c r="AC5" s="81"/>
      <c r="AD5" s="81"/>
      <c r="AE5" s="81"/>
      <c r="AF5" s="81"/>
      <c r="AG5" s="47"/>
      <c r="AH5" s="47"/>
      <c r="AI5" s="81"/>
      <c r="AJ5" s="81"/>
    </row>
    <row r="6" spans="1:41" s="100" customFormat="1" ht="34.5" customHeight="1">
      <c r="A6" s="98"/>
      <c r="B6" s="246" t="s">
        <v>0</v>
      </c>
      <c r="C6" s="247"/>
      <c r="D6" s="247"/>
      <c r="E6" s="16" t="s">
        <v>98</v>
      </c>
      <c r="F6" s="109">
        <v>46082</v>
      </c>
      <c r="G6" s="95">
        <v>46083</v>
      </c>
      <c r="H6" s="95">
        <v>46084</v>
      </c>
      <c r="I6" s="95">
        <v>46085</v>
      </c>
      <c r="J6" s="95">
        <v>46086</v>
      </c>
      <c r="K6" s="95">
        <v>46087</v>
      </c>
      <c r="L6" s="109">
        <v>46088</v>
      </c>
      <c r="M6" s="109">
        <v>46089</v>
      </c>
      <c r="N6" s="95">
        <v>46090</v>
      </c>
      <c r="O6" s="95">
        <v>46091</v>
      </c>
      <c r="P6" s="95">
        <v>46092</v>
      </c>
      <c r="Q6" s="95">
        <v>46093</v>
      </c>
      <c r="R6" s="95">
        <v>46094</v>
      </c>
      <c r="S6" s="109">
        <v>46095</v>
      </c>
      <c r="T6" s="109">
        <v>46096</v>
      </c>
      <c r="U6" s="95">
        <v>46097</v>
      </c>
      <c r="V6" s="95">
        <v>46098</v>
      </c>
      <c r="W6" s="95">
        <v>46099</v>
      </c>
      <c r="X6" s="95">
        <v>46100</v>
      </c>
      <c r="Y6" s="95">
        <v>46101</v>
      </c>
      <c r="Z6" s="109">
        <v>46102</v>
      </c>
      <c r="AA6" s="109">
        <v>46103</v>
      </c>
      <c r="AB6" s="95">
        <v>46104</v>
      </c>
      <c r="AC6" s="95">
        <v>46105</v>
      </c>
      <c r="AD6" s="95">
        <v>46106</v>
      </c>
      <c r="AE6" s="95">
        <v>46107</v>
      </c>
      <c r="AF6" s="95">
        <v>46108</v>
      </c>
      <c r="AG6" s="109">
        <v>46109</v>
      </c>
      <c r="AH6" s="109">
        <v>46110</v>
      </c>
      <c r="AI6" s="95">
        <v>46111</v>
      </c>
      <c r="AJ6" s="117">
        <v>46112</v>
      </c>
      <c r="AK6" s="99"/>
      <c r="AL6" s="99"/>
      <c r="AM6" s="99"/>
      <c r="AN6" s="99"/>
      <c r="AO6" s="99"/>
    </row>
    <row r="7" spans="1:41" ht="15.75">
      <c r="A7" s="1"/>
      <c r="B7" s="28" t="s">
        <v>3</v>
      </c>
      <c r="C7" s="24" t="s">
        <v>4</v>
      </c>
      <c r="D7" s="1" t="s">
        <v>5</v>
      </c>
      <c r="E7" s="5" t="s">
        <v>99</v>
      </c>
      <c r="F7" s="216" t="s">
        <v>106</v>
      </c>
      <c r="G7" s="218" t="s">
        <v>100</v>
      </c>
      <c r="H7" s="218" t="s">
        <v>101</v>
      </c>
      <c r="I7" s="218" t="s">
        <v>102</v>
      </c>
      <c r="J7" s="218" t="s">
        <v>103</v>
      </c>
      <c r="K7" s="218" t="s">
        <v>104</v>
      </c>
      <c r="L7" s="216" t="s">
        <v>105</v>
      </c>
      <c r="M7" s="216" t="s">
        <v>106</v>
      </c>
      <c r="N7" s="218" t="s">
        <v>100</v>
      </c>
      <c r="O7" s="218" t="s">
        <v>101</v>
      </c>
      <c r="P7" s="218" t="s">
        <v>102</v>
      </c>
      <c r="Q7" s="218" t="s">
        <v>103</v>
      </c>
      <c r="R7" s="218" t="s">
        <v>104</v>
      </c>
      <c r="S7" s="216" t="s">
        <v>105</v>
      </c>
      <c r="T7" s="216" t="s">
        <v>106</v>
      </c>
      <c r="U7" s="218" t="s">
        <v>100</v>
      </c>
      <c r="V7" s="218" t="s">
        <v>101</v>
      </c>
      <c r="W7" s="218" t="s">
        <v>102</v>
      </c>
      <c r="X7" s="218" t="s">
        <v>103</v>
      </c>
      <c r="Y7" s="218" t="s">
        <v>104</v>
      </c>
      <c r="Z7" s="216" t="s">
        <v>105</v>
      </c>
      <c r="AA7" s="216" t="s">
        <v>106</v>
      </c>
      <c r="AB7" s="218" t="s">
        <v>100</v>
      </c>
      <c r="AC7" s="218" t="s">
        <v>101</v>
      </c>
      <c r="AD7" s="218" t="s">
        <v>102</v>
      </c>
      <c r="AE7" s="218" t="s">
        <v>103</v>
      </c>
      <c r="AF7" s="218" t="s">
        <v>104</v>
      </c>
      <c r="AG7" s="216" t="s">
        <v>105</v>
      </c>
      <c r="AH7" s="216" t="s">
        <v>106</v>
      </c>
      <c r="AI7" s="218" t="s">
        <v>100</v>
      </c>
      <c r="AJ7" s="222" t="s">
        <v>101</v>
      </c>
    </row>
    <row r="8" spans="1:41" ht="15.75">
      <c r="A8" s="2">
        <v>1</v>
      </c>
      <c r="B8" s="209" t="s">
        <v>25</v>
      </c>
      <c r="C8" s="210" t="s">
        <v>26</v>
      </c>
      <c r="D8" s="211" t="s">
        <v>27</v>
      </c>
      <c r="E8" s="212">
        <f>SUM(F8:AJ8)</f>
        <v>0</v>
      </c>
      <c r="F8" s="213">
        <f>COUNTIFS('2026 Time Off Request'!$A:$A,'Mar 2026'!$D8,'2026 Time Off Request'!$L:$L,'Mar 2026'!F$6)</f>
        <v>0</v>
      </c>
      <c r="G8" s="148">
        <f>COUNTIFS('2026 Time Off Request'!$A:$A,'Mar 2026'!$D8,'2026 Time Off Request'!$L:$L,'Mar 2026'!G$6)</f>
        <v>0</v>
      </c>
      <c r="H8" s="148">
        <f>COUNTIFS('2026 Time Off Request'!$A:$A,'Mar 2026'!$D8,'2026 Time Off Request'!$L:$L,'Mar 2026'!H$6)</f>
        <v>0</v>
      </c>
      <c r="I8" s="148">
        <f>COUNTIFS('2026 Time Off Request'!$A:$A,'Mar 2026'!$D8,'2026 Time Off Request'!$L:$L,'Mar 2026'!I$6)</f>
        <v>0</v>
      </c>
      <c r="J8" s="148">
        <f>COUNTIFS('2026 Time Off Request'!$A:$A,'Mar 2026'!$D8,'2026 Time Off Request'!$L:$L,'Mar 2026'!J$6)</f>
        <v>0</v>
      </c>
      <c r="K8" s="148">
        <f>COUNTIFS('2026 Time Off Request'!$A:$A,'Mar 2026'!$D8,'2026 Time Off Request'!$L:$L,'Mar 2026'!K$6)</f>
        <v>0</v>
      </c>
      <c r="L8" s="147">
        <f>COUNTIFS('2026 Time Off Request'!$A:$A,'Mar 2026'!$D8,'2026 Time Off Request'!$L:$L,'Mar 2026'!L$6)</f>
        <v>0</v>
      </c>
      <c r="M8" s="147">
        <f>COUNTIFS('2026 Time Off Request'!$A:$A,'Mar 2026'!$D8,'2026 Time Off Request'!$L:$L,'Mar 2026'!M$6)</f>
        <v>0</v>
      </c>
      <c r="N8" s="148">
        <f>COUNTIFS('2026 Time Off Request'!$A:$A,'Mar 2026'!$D8,'2026 Time Off Request'!$L:$L,'Mar 2026'!N$6)</f>
        <v>0</v>
      </c>
      <c r="O8" s="148">
        <f>COUNTIFS('2026 Time Off Request'!$A:$A,'Mar 2026'!$D8,'2026 Time Off Request'!$L:$L,'Mar 2026'!O$6)</f>
        <v>0</v>
      </c>
      <c r="P8" s="148">
        <f>COUNTIFS('2026 Time Off Request'!$A:$A,'Mar 2026'!$D8,'2026 Time Off Request'!$L:$L,'Mar 2026'!P$6)</f>
        <v>0</v>
      </c>
      <c r="Q8" s="148">
        <f>COUNTIFS('2026 Time Off Request'!$A:$A,'Mar 2026'!$D8,'2026 Time Off Request'!$L:$L,'Mar 2026'!Q$6)</f>
        <v>0</v>
      </c>
      <c r="R8" s="148">
        <f>COUNTIFS('2026 Time Off Request'!$A:$A,'Mar 2026'!$D8,'2026 Time Off Request'!$L:$L,'Mar 2026'!R$6)</f>
        <v>0</v>
      </c>
      <c r="S8" s="147">
        <f>COUNTIFS('2026 Time Off Request'!$A:$A,'Mar 2026'!$D8,'2026 Time Off Request'!$L:$L,'Mar 2026'!S$6)</f>
        <v>0</v>
      </c>
      <c r="T8" s="147">
        <f>COUNTIFS('2026 Time Off Request'!$A:$A,'Mar 2026'!$D8,'2026 Time Off Request'!$L:$L,'Mar 2026'!T$6)</f>
        <v>0</v>
      </c>
      <c r="U8" s="148">
        <f>COUNTIFS('2026 Time Off Request'!$A:$A,'Mar 2026'!$D8,'2026 Time Off Request'!$L:$L,'Mar 2026'!U$6)</f>
        <v>0</v>
      </c>
      <c r="V8" s="148">
        <f>COUNTIFS('2026 Time Off Request'!$A:$A,'Mar 2026'!$D8,'2026 Time Off Request'!$L:$L,'Mar 2026'!V$6)</f>
        <v>0</v>
      </c>
      <c r="W8" s="148">
        <f>COUNTIFS('2026 Time Off Request'!$A:$A,'Mar 2026'!$D8,'2026 Time Off Request'!$L:$L,'Mar 2026'!W$6)</f>
        <v>0</v>
      </c>
      <c r="X8" s="148">
        <f>COUNTIFS('2026 Time Off Request'!$A:$A,'Mar 2026'!$D8,'2026 Time Off Request'!$L:$L,'Mar 2026'!X$6)</f>
        <v>0</v>
      </c>
      <c r="Y8" s="148">
        <f>COUNTIFS('2026 Time Off Request'!$A:$A,'Mar 2026'!$D8,'2026 Time Off Request'!$L:$L,'Mar 2026'!Y$6)</f>
        <v>0</v>
      </c>
      <c r="Z8" s="147">
        <f>COUNTIFS('2026 Time Off Request'!$A:$A,'Mar 2026'!$D8,'2026 Time Off Request'!$L:$L,'Mar 2026'!Z$6)</f>
        <v>0</v>
      </c>
      <c r="AA8" s="147">
        <f>COUNTIFS('2026 Time Off Request'!$A:$A,'Mar 2026'!$D8,'2026 Time Off Request'!$L:$L,'Mar 2026'!AA$6)</f>
        <v>0</v>
      </c>
      <c r="AB8" s="148">
        <f>COUNTIFS('2026 Time Off Request'!$A:$A,'Mar 2026'!$D8,'2026 Time Off Request'!$L:$L,'Mar 2026'!AB$6)</f>
        <v>0</v>
      </c>
      <c r="AC8" s="148">
        <f>COUNTIFS('2026 Time Off Request'!$A:$A,'Mar 2026'!$D8,'2026 Time Off Request'!$L:$L,'Mar 2026'!AC$6)</f>
        <v>0</v>
      </c>
      <c r="AD8" s="148">
        <f>COUNTIFS('2026 Time Off Request'!$A:$A,'Mar 2026'!$D8,'2026 Time Off Request'!$L:$L,'Mar 2026'!AD$6)</f>
        <v>0</v>
      </c>
      <c r="AE8" s="148">
        <f>COUNTIFS('2026 Time Off Request'!$A:$A,'Mar 2026'!$D8,'2026 Time Off Request'!$L:$L,'Mar 2026'!AE$6)</f>
        <v>0</v>
      </c>
      <c r="AF8" s="148">
        <f>COUNTIFS('2026 Time Off Request'!$A:$A,'Mar 2026'!$D8,'2026 Time Off Request'!$L:$L,'Mar 2026'!AF$6)</f>
        <v>0</v>
      </c>
      <c r="AG8" s="147">
        <f>COUNTIFS('2026 Time Off Request'!$A:$A,'Mar 2026'!$D8,'2026 Time Off Request'!$L:$L,'Mar 2026'!AG$6)</f>
        <v>0</v>
      </c>
      <c r="AH8" s="147">
        <f>COUNTIFS('2026 Time Off Request'!$A:$A,'Mar 2026'!$D8,'2026 Time Off Request'!$L:$L,'Mar 2026'!AH$6)</f>
        <v>0</v>
      </c>
      <c r="AI8" s="148">
        <f>COUNTIFS('2026 Time Off Request'!$A:$A,'Mar 2026'!$D8,'2026 Time Off Request'!$L:$L,'Mar 2026'!AI$6)</f>
        <v>0</v>
      </c>
      <c r="AJ8" s="148">
        <f>COUNTIFS('2026 Time Off Request'!$A:$A,'Mar 2026'!$D8,'2026 Time Off Request'!$L:$L,'Mar 2026'!AJ$6)</f>
        <v>0</v>
      </c>
    </row>
    <row r="9" spans="1:41" ht="15.75">
      <c r="A9" s="2">
        <v>2</v>
      </c>
      <c r="B9" s="209" t="s">
        <v>25</v>
      </c>
      <c r="C9" s="210" t="s">
        <v>28</v>
      </c>
      <c r="D9" s="215" t="s">
        <v>29</v>
      </c>
      <c r="E9" s="212">
        <f t="shared" ref="E9:E45" si="0">SUM(F9:AJ9)</f>
        <v>0</v>
      </c>
      <c r="F9" s="213">
        <f>COUNTIFS('2026 Time Off Request'!$A:$A,'Mar 2026'!$D9,'2026 Time Off Request'!$L:$L,'Mar 2026'!F$6)</f>
        <v>0</v>
      </c>
      <c r="G9" s="148">
        <f>COUNTIFS('2026 Time Off Request'!$A:$A,'Mar 2026'!$D9,'2026 Time Off Request'!$L:$L,'Mar 2026'!G$6)</f>
        <v>0</v>
      </c>
      <c r="H9" s="148">
        <f>COUNTIFS('2026 Time Off Request'!$A:$A,'Mar 2026'!$D9,'2026 Time Off Request'!$L:$L,'Mar 2026'!H$6)</f>
        <v>0</v>
      </c>
      <c r="I9" s="148">
        <f>COUNTIFS('2026 Time Off Request'!$A:$A,'Mar 2026'!$D9,'2026 Time Off Request'!$L:$L,'Mar 2026'!I$6)</f>
        <v>0</v>
      </c>
      <c r="J9" s="148">
        <f>COUNTIFS('2026 Time Off Request'!$A:$A,'Mar 2026'!$D9,'2026 Time Off Request'!$L:$L,'Mar 2026'!J$6)</f>
        <v>0</v>
      </c>
      <c r="K9" s="148">
        <f>COUNTIFS('2026 Time Off Request'!$A:$A,'Mar 2026'!$D9,'2026 Time Off Request'!$L:$L,'Mar 2026'!K$6)</f>
        <v>0</v>
      </c>
      <c r="L9" s="147">
        <f>COUNTIFS('2026 Time Off Request'!$A:$A,'Mar 2026'!$D9,'2026 Time Off Request'!$L:$L,'Mar 2026'!L$6)</f>
        <v>0</v>
      </c>
      <c r="M9" s="147">
        <f>COUNTIFS('2026 Time Off Request'!$A:$A,'Mar 2026'!$D9,'2026 Time Off Request'!$L:$L,'Mar 2026'!M$6)</f>
        <v>0</v>
      </c>
      <c r="N9" s="148">
        <f>COUNTIFS('2026 Time Off Request'!$A:$A,'Mar 2026'!$D9,'2026 Time Off Request'!$L:$L,'Mar 2026'!N$6)</f>
        <v>0</v>
      </c>
      <c r="O9" s="148">
        <f>COUNTIFS('2026 Time Off Request'!$A:$A,'Mar 2026'!$D9,'2026 Time Off Request'!$L:$L,'Mar 2026'!O$6)</f>
        <v>0</v>
      </c>
      <c r="P9" s="148">
        <f>COUNTIFS('2026 Time Off Request'!$A:$A,'Mar 2026'!$D9,'2026 Time Off Request'!$L:$L,'Mar 2026'!P$6)</f>
        <v>0</v>
      </c>
      <c r="Q9" s="148">
        <f>COUNTIFS('2026 Time Off Request'!$A:$A,'Mar 2026'!$D9,'2026 Time Off Request'!$L:$L,'Mar 2026'!Q$6)</f>
        <v>0</v>
      </c>
      <c r="R9" s="148">
        <f>COUNTIFS('2026 Time Off Request'!$A:$A,'Mar 2026'!$D9,'2026 Time Off Request'!$L:$L,'Mar 2026'!R$6)</f>
        <v>0</v>
      </c>
      <c r="S9" s="147">
        <f>COUNTIFS('2026 Time Off Request'!$A:$A,'Mar 2026'!$D9,'2026 Time Off Request'!$L:$L,'Mar 2026'!S$6)</f>
        <v>0</v>
      </c>
      <c r="T9" s="147">
        <f>COUNTIFS('2026 Time Off Request'!$A:$A,'Mar 2026'!$D9,'2026 Time Off Request'!$L:$L,'Mar 2026'!T$6)</f>
        <v>0</v>
      </c>
      <c r="U9" s="148">
        <f>COUNTIFS('2026 Time Off Request'!$A:$A,'Mar 2026'!$D9,'2026 Time Off Request'!$L:$L,'Mar 2026'!U$6)</f>
        <v>0</v>
      </c>
      <c r="V9" s="148">
        <f>COUNTIFS('2026 Time Off Request'!$A:$A,'Mar 2026'!$D9,'2026 Time Off Request'!$L:$L,'Mar 2026'!V$6)</f>
        <v>0</v>
      </c>
      <c r="W9" s="148">
        <f>COUNTIFS('2026 Time Off Request'!$A:$A,'Mar 2026'!$D9,'2026 Time Off Request'!$L:$L,'Mar 2026'!W$6)</f>
        <v>0</v>
      </c>
      <c r="X9" s="148">
        <f>COUNTIFS('2026 Time Off Request'!$A:$A,'Mar 2026'!$D9,'2026 Time Off Request'!$L:$L,'Mar 2026'!X$6)</f>
        <v>0</v>
      </c>
      <c r="Y9" s="148">
        <f>COUNTIFS('2026 Time Off Request'!$A:$A,'Mar 2026'!$D9,'2026 Time Off Request'!$L:$L,'Mar 2026'!Y$6)</f>
        <v>0</v>
      </c>
      <c r="Z9" s="147">
        <f>COUNTIFS('2026 Time Off Request'!$A:$A,'Mar 2026'!$D9,'2026 Time Off Request'!$L:$L,'Mar 2026'!Z$6)</f>
        <v>0</v>
      </c>
      <c r="AA9" s="147">
        <f>COUNTIFS('2026 Time Off Request'!$A:$A,'Mar 2026'!$D9,'2026 Time Off Request'!$L:$L,'Mar 2026'!AA$6)</f>
        <v>0</v>
      </c>
      <c r="AB9" s="148">
        <f>COUNTIFS('2026 Time Off Request'!$A:$A,'Mar 2026'!$D9,'2026 Time Off Request'!$L:$L,'Mar 2026'!AB$6)</f>
        <v>0</v>
      </c>
      <c r="AC9" s="148">
        <f>COUNTIFS('2026 Time Off Request'!$A:$A,'Mar 2026'!$D9,'2026 Time Off Request'!$L:$L,'Mar 2026'!AC$6)</f>
        <v>0</v>
      </c>
      <c r="AD9" s="148">
        <f>COUNTIFS('2026 Time Off Request'!$A:$A,'Mar 2026'!$D9,'2026 Time Off Request'!$L:$L,'Mar 2026'!AD$6)</f>
        <v>0</v>
      </c>
      <c r="AE9" s="148">
        <f>COUNTIFS('2026 Time Off Request'!$A:$A,'Mar 2026'!$D9,'2026 Time Off Request'!$L:$L,'Mar 2026'!AE$6)</f>
        <v>0</v>
      </c>
      <c r="AF9" s="148">
        <f>COUNTIFS('2026 Time Off Request'!$A:$A,'Mar 2026'!$D9,'2026 Time Off Request'!$L:$L,'Mar 2026'!AF$6)</f>
        <v>0</v>
      </c>
      <c r="AG9" s="147">
        <f>COUNTIFS('2026 Time Off Request'!$A:$A,'Mar 2026'!$D9,'2026 Time Off Request'!$L:$L,'Mar 2026'!AG$6)</f>
        <v>0</v>
      </c>
      <c r="AH9" s="147">
        <f>COUNTIFS('2026 Time Off Request'!$A:$A,'Mar 2026'!$D9,'2026 Time Off Request'!$L:$L,'Mar 2026'!AH$6)</f>
        <v>0</v>
      </c>
      <c r="AI9" s="148">
        <f>COUNTIFS('2026 Time Off Request'!$A:$A,'Mar 2026'!$D9,'2026 Time Off Request'!$L:$L,'Mar 2026'!AI$6)</f>
        <v>0</v>
      </c>
      <c r="AJ9" s="148">
        <f>COUNTIFS('2026 Time Off Request'!$A:$A,'Mar 2026'!$D9,'2026 Time Off Request'!$L:$L,'Mar 2026'!AJ$6)</f>
        <v>0</v>
      </c>
    </row>
    <row r="10" spans="1:41" ht="15.75">
      <c r="A10" s="2">
        <v>3</v>
      </c>
      <c r="B10" s="209" t="s">
        <v>25</v>
      </c>
      <c r="C10" s="210" t="s">
        <v>30</v>
      </c>
      <c r="D10" s="215" t="s">
        <v>31</v>
      </c>
      <c r="E10" s="212">
        <f t="shared" si="0"/>
        <v>0</v>
      </c>
      <c r="F10" s="213">
        <f>COUNTIFS('2026 Time Off Request'!$A:$A,'Mar 2026'!$D10,'2026 Time Off Request'!$L:$L,'Mar 2026'!F$6)</f>
        <v>0</v>
      </c>
      <c r="G10" s="148">
        <f>COUNTIFS('2026 Time Off Request'!$A:$A,'Mar 2026'!$D10,'2026 Time Off Request'!$L:$L,'Mar 2026'!G$6)</f>
        <v>0</v>
      </c>
      <c r="H10" s="148">
        <f>COUNTIFS('2026 Time Off Request'!$A:$A,'Mar 2026'!$D10,'2026 Time Off Request'!$L:$L,'Mar 2026'!H$6)</f>
        <v>0</v>
      </c>
      <c r="I10" s="148">
        <f>COUNTIFS('2026 Time Off Request'!$A:$A,'Mar 2026'!$D10,'2026 Time Off Request'!$L:$L,'Mar 2026'!I$6)</f>
        <v>0</v>
      </c>
      <c r="J10" s="148">
        <f>COUNTIFS('2026 Time Off Request'!$A:$A,'Mar 2026'!$D10,'2026 Time Off Request'!$L:$L,'Mar 2026'!J$6)</f>
        <v>0</v>
      </c>
      <c r="K10" s="148">
        <f>COUNTIFS('2026 Time Off Request'!$A:$A,'Mar 2026'!$D10,'2026 Time Off Request'!$L:$L,'Mar 2026'!K$6)</f>
        <v>0</v>
      </c>
      <c r="L10" s="147">
        <f>COUNTIFS('2026 Time Off Request'!$A:$A,'Mar 2026'!$D10,'2026 Time Off Request'!$L:$L,'Mar 2026'!L$6)</f>
        <v>0</v>
      </c>
      <c r="M10" s="147">
        <f>COUNTIFS('2026 Time Off Request'!$A:$A,'Mar 2026'!$D10,'2026 Time Off Request'!$L:$L,'Mar 2026'!M$6)</f>
        <v>0</v>
      </c>
      <c r="N10" s="148">
        <f>COUNTIFS('2026 Time Off Request'!$A:$A,'Mar 2026'!$D10,'2026 Time Off Request'!$L:$L,'Mar 2026'!N$6)</f>
        <v>0</v>
      </c>
      <c r="O10" s="148">
        <f>COUNTIFS('2026 Time Off Request'!$A:$A,'Mar 2026'!$D10,'2026 Time Off Request'!$L:$L,'Mar 2026'!O$6)</f>
        <v>0</v>
      </c>
      <c r="P10" s="148">
        <f>COUNTIFS('2026 Time Off Request'!$A:$A,'Mar 2026'!$D10,'2026 Time Off Request'!$L:$L,'Mar 2026'!P$6)</f>
        <v>0</v>
      </c>
      <c r="Q10" s="148">
        <f>COUNTIFS('2026 Time Off Request'!$A:$A,'Mar 2026'!$D10,'2026 Time Off Request'!$L:$L,'Mar 2026'!Q$6)</f>
        <v>0</v>
      </c>
      <c r="R10" s="148">
        <f>COUNTIFS('2026 Time Off Request'!$A:$A,'Mar 2026'!$D10,'2026 Time Off Request'!$L:$L,'Mar 2026'!R$6)</f>
        <v>0</v>
      </c>
      <c r="S10" s="147">
        <f>COUNTIFS('2026 Time Off Request'!$A:$A,'Mar 2026'!$D10,'2026 Time Off Request'!$L:$L,'Mar 2026'!S$6)</f>
        <v>0</v>
      </c>
      <c r="T10" s="147">
        <f>COUNTIFS('2026 Time Off Request'!$A:$A,'Mar 2026'!$D10,'2026 Time Off Request'!$L:$L,'Mar 2026'!T$6)</f>
        <v>0</v>
      </c>
      <c r="U10" s="148">
        <f>COUNTIFS('2026 Time Off Request'!$A:$A,'Mar 2026'!$D10,'2026 Time Off Request'!$L:$L,'Mar 2026'!U$6)</f>
        <v>0</v>
      </c>
      <c r="V10" s="148">
        <f>COUNTIFS('2026 Time Off Request'!$A:$A,'Mar 2026'!$D10,'2026 Time Off Request'!$L:$L,'Mar 2026'!V$6)</f>
        <v>0</v>
      </c>
      <c r="W10" s="148">
        <f>COUNTIFS('2026 Time Off Request'!$A:$A,'Mar 2026'!$D10,'2026 Time Off Request'!$L:$L,'Mar 2026'!W$6)</f>
        <v>0</v>
      </c>
      <c r="X10" s="148">
        <f>COUNTIFS('2026 Time Off Request'!$A:$A,'Mar 2026'!$D10,'2026 Time Off Request'!$L:$L,'Mar 2026'!X$6)</f>
        <v>0</v>
      </c>
      <c r="Y10" s="148">
        <f>COUNTIFS('2026 Time Off Request'!$A:$A,'Mar 2026'!$D10,'2026 Time Off Request'!$L:$L,'Mar 2026'!Y$6)</f>
        <v>0</v>
      </c>
      <c r="Z10" s="147">
        <f>COUNTIFS('2026 Time Off Request'!$A:$A,'Mar 2026'!$D10,'2026 Time Off Request'!$L:$L,'Mar 2026'!Z$6)</f>
        <v>0</v>
      </c>
      <c r="AA10" s="147">
        <f>COUNTIFS('2026 Time Off Request'!$A:$A,'Mar 2026'!$D10,'2026 Time Off Request'!$L:$L,'Mar 2026'!AA$6)</f>
        <v>0</v>
      </c>
      <c r="AB10" s="148">
        <f>COUNTIFS('2026 Time Off Request'!$A:$A,'Mar 2026'!$D10,'2026 Time Off Request'!$L:$L,'Mar 2026'!AB$6)</f>
        <v>0</v>
      </c>
      <c r="AC10" s="148">
        <f>COUNTIFS('2026 Time Off Request'!$A:$A,'Mar 2026'!$D10,'2026 Time Off Request'!$L:$L,'Mar 2026'!AC$6)</f>
        <v>0</v>
      </c>
      <c r="AD10" s="148">
        <f>COUNTIFS('2026 Time Off Request'!$A:$A,'Mar 2026'!$D10,'2026 Time Off Request'!$L:$L,'Mar 2026'!AD$6)</f>
        <v>0</v>
      </c>
      <c r="AE10" s="148">
        <f>COUNTIFS('2026 Time Off Request'!$A:$A,'Mar 2026'!$D10,'2026 Time Off Request'!$L:$L,'Mar 2026'!AE$6)</f>
        <v>0</v>
      </c>
      <c r="AF10" s="148">
        <f>COUNTIFS('2026 Time Off Request'!$A:$A,'Mar 2026'!$D10,'2026 Time Off Request'!$L:$L,'Mar 2026'!AF$6)</f>
        <v>0</v>
      </c>
      <c r="AG10" s="147">
        <f>COUNTIFS('2026 Time Off Request'!$A:$A,'Mar 2026'!$D10,'2026 Time Off Request'!$L:$L,'Mar 2026'!AG$6)</f>
        <v>0</v>
      </c>
      <c r="AH10" s="147">
        <f>COUNTIFS('2026 Time Off Request'!$A:$A,'Mar 2026'!$D10,'2026 Time Off Request'!$L:$L,'Mar 2026'!AH$6)</f>
        <v>0</v>
      </c>
      <c r="AI10" s="148">
        <f>COUNTIFS('2026 Time Off Request'!$A:$A,'Mar 2026'!$D10,'2026 Time Off Request'!$L:$L,'Mar 2026'!AI$6)</f>
        <v>0</v>
      </c>
      <c r="AJ10" s="148">
        <f>COUNTIFS('2026 Time Off Request'!$A:$A,'Mar 2026'!$D10,'2026 Time Off Request'!$L:$L,'Mar 2026'!AJ$6)</f>
        <v>0</v>
      </c>
    </row>
    <row r="11" spans="1:41" ht="15.75">
      <c r="A11" s="2">
        <v>4</v>
      </c>
      <c r="B11" s="209" t="s">
        <v>25</v>
      </c>
      <c r="C11" s="210" t="s">
        <v>32</v>
      </c>
      <c r="D11" s="215" t="s">
        <v>33</v>
      </c>
      <c r="E11" s="212">
        <f t="shared" si="0"/>
        <v>0</v>
      </c>
      <c r="F11" s="213">
        <f>COUNTIFS('2026 Time Off Request'!$A:$A,'Mar 2026'!$D11,'2026 Time Off Request'!$L:$L,'Mar 2026'!F$6)</f>
        <v>0</v>
      </c>
      <c r="G11" s="148">
        <f>COUNTIFS('2026 Time Off Request'!$A:$A,'Mar 2026'!$D11,'2026 Time Off Request'!$L:$L,'Mar 2026'!G$6)</f>
        <v>0</v>
      </c>
      <c r="H11" s="148">
        <f>COUNTIFS('2026 Time Off Request'!$A:$A,'Mar 2026'!$D11,'2026 Time Off Request'!$L:$L,'Mar 2026'!H$6)</f>
        <v>0</v>
      </c>
      <c r="I11" s="148">
        <f>COUNTIFS('2026 Time Off Request'!$A:$A,'Mar 2026'!$D11,'2026 Time Off Request'!$L:$L,'Mar 2026'!I$6)</f>
        <v>0</v>
      </c>
      <c r="J11" s="148">
        <f>COUNTIFS('2026 Time Off Request'!$A:$A,'Mar 2026'!$D11,'2026 Time Off Request'!$L:$L,'Mar 2026'!J$6)</f>
        <v>0</v>
      </c>
      <c r="K11" s="148">
        <f>COUNTIFS('2026 Time Off Request'!$A:$A,'Mar 2026'!$D11,'2026 Time Off Request'!$L:$L,'Mar 2026'!K$6)</f>
        <v>0</v>
      </c>
      <c r="L11" s="147">
        <f>COUNTIFS('2026 Time Off Request'!$A:$A,'Mar 2026'!$D11,'2026 Time Off Request'!$L:$L,'Mar 2026'!L$6)</f>
        <v>0</v>
      </c>
      <c r="M11" s="147">
        <f>COUNTIFS('2026 Time Off Request'!$A:$A,'Mar 2026'!$D11,'2026 Time Off Request'!$L:$L,'Mar 2026'!M$6)</f>
        <v>0</v>
      </c>
      <c r="N11" s="148">
        <f>COUNTIFS('2026 Time Off Request'!$A:$A,'Mar 2026'!$D11,'2026 Time Off Request'!$L:$L,'Mar 2026'!N$6)</f>
        <v>0</v>
      </c>
      <c r="O11" s="148">
        <f>COUNTIFS('2026 Time Off Request'!$A:$A,'Mar 2026'!$D11,'2026 Time Off Request'!$L:$L,'Mar 2026'!O$6)</f>
        <v>0</v>
      </c>
      <c r="P11" s="148">
        <f>COUNTIFS('2026 Time Off Request'!$A:$A,'Mar 2026'!$D11,'2026 Time Off Request'!$L:$L,'Mar 2026'!P$6)</f>
        <v>0</v>
      </c>
      <c r="Q11" s="148">
        <f>COUNTIFS('2026 Time Off Request'!$A:$A,'Mar 2026'!$D11,'2026 Time Off Request'!$L:$L,'Mar 2026'!Q$6)</f>
        <v>0</v>
      </c>
      <c r="R11" s="148">
        <f>COUNTIFS('2026 Time Off Request'!$A:$A,'Mar 2026'!$D11,'2026 Time Off Request'!$L:$L,'Mar 2026'!R$6)</f>
        <v>0</v>
      </c>
      <c r="S11" s="147">
        <f>COUNTIFS('2026 Time Off Request'!$A:$A,'Mar 2026'!$D11,'2026 Time Off Request'!$L:$L,'Mar 2026'!S$6)</f>
        <v>0</v>
      </c>
      <c r="T11" s="147">
        <f>COUNTIFS('2026 Time Off Request'!$A:$A,'Mar 2026'!$D11,'2026 Time Off Request'!$L:$L,'Mar 2026'!T$6)</f>
        <v>0</v>
      </c>
      <c r="U11" s="148">
        <f>COUNTIFS('2026 Time Off Request'!$A:$A,'Mar 2026'!$D11,'2026 Time Off Request'!$L:$L,'Mar 2026'!U$6)</f>
        <v>0</v>
      </c>
      <c r="V11" s="148">
        <f>COUNTIFS('2026 Time Off Request'!$A:$A,'Mar 2026'!$D11,'2026 Time Off Request'!$L:$L,'Mar 2026'!V$6)</f>
        <v>0</v>
      </c>
      <c r="W11" s="148">
        <f>COUNTIFS('2026 Time Off Request'!$A:$A,'Mar 2026'!$D11,'2026 Time Off Request'!$L:$L,'Mar 2026'!W$6)</f>
        <v>0</v>
      </c>
      <c r="X11" s="148">
        <f>COUNTIFS('2026 Time Off Request'!$A:$A,'Mar 2026'!$D11,'2026 Time Off Request'!$L:$L,'Mar 2026'!X$6)</f>
        <v>0</v>
      </c>
      <c r="Y11" s="148">
        <f>COUNTIFS('2026 Time Off Request'!$A:$A,'Mar 2026'!$D11,'2026 Time Off Request'!$L:$L,'Mar 2026'!Y$6)</f>
        <v>0</v>
      </c>
      <c r="Z11" s="147">
        <f>COUNTIFS('2026 Time Off Request'!$A:$A,'Mar 2026'!$D11,'2026 Time Off Request'!$L:$L,'Mar 2026'!Z$6)</f>
        <v>0</v>
      </c>
      <c r="AA11" s="147">
        <f>COUNTIFS('2026 Time Off Request'!$A:$A,'Mar 2026'!$D11,'2026 Time Off Request'!$L:$L,'Mar 2026'!AA$6)</f>
        <v>0</v>
      </c>
      <c r="AB11" s="148">
        <f>COUNTIFS('2026 Time Off Request'!$A:$A,'Mar 2026'!$D11,'2026 Time Off Request'!$L:$L,'Mar 2026'!AB$6)</f>
        <v>0</v>
      </c>
      <c r="AC11" s="148">
        <f>COUNTIFS('2026 Time Off Request'!$A:$A,'Mar 2026'!$D11,'2026 Time Off Request'!$L:$L,'Mar 2026'!AC$6)</f>
        <v>0</v>
      </c>
      <c r="AD11" s="148">
        <f>COUNTIFS('2026 Time Off Request'!$A:$A,'Mar 2026'!$D11,'2026 Time Off Request'!$L:$L,'Mar 2026'!AD$6)</f>
        <v>0</v>
      </c>
      <c r="AE11" s="148">
        <f>COUNTIFS('2026 Time Off Request'!$A:$A,'Mar 2026'!$D11,'2026 Time Off Request'!$L:$L,'Mar 2026'!AE$6)</f>
        <v>0</v>
      </c>
      <c r="AF11" s="148">
        <f>COUNTIFS('2026 Time Off Request'!$A:$A,'Mar 2026'!$D11,'2026 Time Off Request'!$L:$L,'Mar 2026'!AF$6)</f>
        <v>0</v>
      </c>
      <c r="AG11" s="147">
        <f>COUNTIFS('2026 Time Off Request'!$A:$A,'Mar 2026'!$D11,'2026 Time Off Request'!$L:$L,'Mar 2026'!AG$6)</f>
        <v>0</v>
      </c>
      <c r="AH11" s="147">
        <f>COUNTIFS('2026 Time Off Request'!$A:$A,'Mar 2026'!$D11,'2026 Time Off Request'!$L:$L,'Mar 2026'!AH$6)</f>
        <v>0</v>
      </c>
      <c r="AI11" s="148">
        <f>COUNTIFS('2026 Time Off Request'!$A:$A,'Mar 2026'!$D11,'2026 Time Off Request'!$L:$L,'Mar 2026'!AI$6)</f>
        <v>0</v>
      </c>
      <c r="AJ11" s="148">
        <f>COUNTIFS('2026 Time Off Request'!$A:$A,'Mar 2026'!$D11,'2026 Time Off Request'!$L:$L,'Mar 2026'!AJ$6)</f>
        <v>0</v>
      </c>
    </row>
    <row r="12" spans="1:41" ht="15.75">
      <c r="A12" s="2">
        <v>5</v>
      </c>
      <c r="B12" s="209" t="s">
        <v>25</v>
      </c>
      <c r="C12" s="210" t="s">
        <v>34</v>
      </c>
      <c r="D12" s="215" t="s">
        <v>35</v>
      </c>
      <c r="E12" s="212">
        <f t="shared" si="0"/>
        <v>4</v>
      </c>
      <c r="F12" s="213">
        <f>COUNTIFS('2026 Time Off Request'!$A:$A,'Mar 2026'!$D12,'2026 Time Off Request'!$L:$L,'Mar 2026'!F$6)</f>
        <v>0</v>
      </c>
      <c r="G12" s="148">
        <f>COUNTIFS('2026 Time Off Request'!$A:$A,'Mar 2026'!$D12,'2026 Time Off Request'!$L:$L,'Mar 2026'!G$6)</f>
        <v>0</v>
      </c>
      <c r="H12" s="148">
        <f>COUNTIFS('2026 Time Off Request'!$A:$A,'Mar 2026'!$D12,'2026 Time Off Request'!$L:$L,'Mar 2026'!H$6)</f>
        <v>0</v>
      </c>
      <c r="I12" s="148">
        <f>COUNTIFS('2026 Time Off Request'!$A:$A,'Mar 2026'!$D12,'2026 Time Off Request'!$L:$L,'Mar 2026'!I$6)</f>
        <v>0</v>
      </c>
      <c r="J12" s="148">
        <f>COUNTIFS('2026 Time Off Request'!$A:$A,'Mar 2026'!$D12,'2026 Time Off Request'!$L:$L,'Mar 2026'!J$6)</f>
        <v>0</v>
      </c>
      <c r="K12" s="148">
        <f>COUNTIFS('2026 Time Off Request'!$A:$A,'Mar 2026'!$D12,'2026 Time Off Request'!$L:$L,'Mar 2026'!K$6)</f>
        <v>0</v>
      </c>
      <c r="L12" s="147">
        <f>COUNTIFS('2026 Time Off Request'!$A:$A,'Mar 2026'!$D12,'2026 Time Off Request'!$L:$L,'Mar 2026'!L$6)</f>
        <v>0</v>
      </c>
      <c r="M12" s="147">
        <f>COUNTIFS('2026 Time Off Request'!$A:$A,'Mar 2026'!$D12,'2026 Time Off Request'!$L:$L,'Mar 2026'!M$6)</f>
        <v>0</v>
      </c>
      <c r="N12" s="148">
        <f>COUNTIFS('2026 Time Off Request'!$A:$A,'Mar 2026'!$D12,'2026 Time Off Request'!$L:$L,'Mar 2026'!N$6)</f>
        <v>0</v>
      </c>
      <c r="O12" s="148">
        <f>COUNTIFS('2026 Time Off Request'!$A:$A,'Mar 2026'!$D12,'2026 Time Off Request'!$L:$L,'Mar 2026'!O$6)</f>
        <v>0</v>
      </c>
      <c r="P12" s="148">
        <f>COUNTIFS('2026 Time Off Request'!$A:$A,'Mar 2026'!$D12,'2026 Time Off Request'!$L:$L,'Mar 2026'!P$6)</f>
        <v>1</v>
      </c>
      <c r="Q12" s="148">
        <f>COUNTIFS('2026 Time Off Request'!$A:$A,'Mar 2026'!$D12,'2026 Time Off Request'!$L:$L,'Mar 2026'!Q$6)</f>
        <v>1</v>
      </c>
      <c r="R12" s="148">
        <f>COUNTIFS('2026 Time Off Request'!$A:$A,'Mar 2026'!$D12,'2026 Time Off Request'!$L:$L,'Mar 2026'!R$6)</f>
        <v>1</v>
      </c>
      <c r="S12" s="147">
        <f>COUNTIFS('2026 Time Off Request'!$A:$A,'Mar 2026'!$D12,'2026 Time Off Request'!$L:$L,'Mar 2026'!S$6)</f>
        <v>0</v>
      </c>
      <c r="T12" s="147">
        <f>COUNTIFS('2026 Time Off Request'!$A:$A,'Mar 2026'!$D12,'2026 Time Off Request'!$L:$L,'Mar 2026'!T$6)</f>
        <v>0</v>
      </c>
      <c r="U12" s="148">
        <f>COUNTIFS('2026 Time Off Request'!$A:$A,'Mar 2026'!$D12,'2026 Time Off Request'!$L:$L,'Mar 2026'!U$6)</f>
        <v>1</v>
      </c>
      <c r="V12" s="148">
        <f>COUNTIFS('2026 Time Off Request'!$A:$A,'Mar 2026'!$D12,'2026 Time Off Request'!$L:$L,'Mar 2026'!V$6)</f>
        <v>0</v>
      </c>
      <c r="W12" s="148">
        <f>COUNTIFS('2026 Time Off Request'!$A:$A,'Mar 2026'!$D12,'2026 Time Off Request'!$L:$L,'Mar 2026'!W$6)</f>
        <v>0</v>
      </c>
      <c r="X12" s="148">
        <f>COUNTIFS('2026 Time Off Request'!$A:$A,'Mar 2026'!$D12,'2026 Time Off Request'!$L:$L,'Mar 2026'!X$6)</f>
        <v>0</v>
      </c>
      <c r="Y12" s="148">
        <f>COUNTIFS('2026 Time Off Request'!$A:$A,'Mar 2026'!$D12,'2026 Time Off Request'!$L:$L,'Mar 2026'!Y$6)</f>
        <v>0</v>
      </c>
      <c r="Z12" s="147">
        <f>COUNTIFS('2026 Time Off Request'!$A:$A,'Mar 2026'!$D12,'2026 Time Off Request'!$L:$L,'Mar 2026'!Z$6)</f>
        <v>0</v>
      </c>
      <c r="AA12" s="147">
        <f>COUNTIFS('2026 Time Off Request'!$A:$A,'Mar 2026'!$D12,'2026 Time Off Request'!$L:$L,'Mar 2026'!AA$6)</f>
        <v>0</v>
      </c>
      <c r="AB12" s="148">
        <f>COUNTIFS('2026 Time Off Request'!$A:$A,'Mar 2026'!$D12,'2026 Time Off Request'!$L:$L,'Mar 2026'!AB$6)</f>
        <v>0</v>
      </c>
      <c r="AC12" s="148">
        <f>COUNTIFS('2026 Time Off Request'!$A:$A,'Mar 2026'!$D12,'2026 Time Off Request'!$L:$L,'Mar 2026'!AC$6)</f>
        <v>0</v>
      </c>
      <c r="AD12" s="148">
        <f>COUNTIFS('2026 Time Off Request'!$A:$A,'Mar 2026'!$D12,'2026 Time Off Request'!$L:$L,'Mar 2026'!AD$6)</f>
        <v>0</v>
      </c>
      <c r="AE12" s="148">
        <f>COUNTIFS('2026 Time Off Request'!$A:$A,'Mar 2026'!$D12,'2026 Time Off Request'!$L:$L,'Mar 2026'!AE$6)</f>
        <v>0</v>
      </c>
      <c r="AF12" s="148">
        <f>COUNTIFS('2026 Time Off Request'!$A:$A,'Mar 2026'!$D12,'2026 Time Off Request'!$L:$L,'Mar 2026'!AF$6)</f>
        <v>0</v>
      </c>
      <c r="AG12" s="147">
        <f>COUNTIFS('2026 Time Off Request'!$A:$A,'Mar 2026'!$D12,'2026 Time Off Request'!$L:$L,'Mar 2026'!AG$6)</f>
        <v>0</v>
      </c>
      <c r="AH12" s="147">
        <f>COUNTIFS('2026 Time Off Request'!$A:$A,'Mar 2026'!$D12,'2026 Time Off Request'!$L:$L,'Mar 2026'!AH$6)</f>
        <v>0</v>
      </c>
      <c r="AI12" s="148">
        <f>COUNTIFS('2026 Time Off Request'!$A:$A,'Mar 2026'!$D12,'2026 Time Off Request'!$L:$L,'Mar 2026'!AI$6)</f>
        <v>0</v>
      </c>
      <c r="AJ12" s="148">
        <f>COUNTIFS('2026 Time Off Request'!$A:$A,'Mar 2026'!$D12,'2026 Time Off Request'!$L:$L,'Mar 2026'!AJ$6)</f>
        <v>0</v>
      </c>
    </row>
    <row r="13" spans="1:41" ht="15.75">
      <c r="A13" s="2">
        <v>7</v>
      </c>
      <c r="B13" s="209" t="s">
        <v>36</v>
      </c>
      <c r="C13" s="210" t="s">
        <v>37</v>
      </c>
      <c r="D13" s="215" t="s">
        <v>38</v>
      </c>
      <c r="E13" s="212">
        <f t="shared" si="0"/>
        <v>0</v>
      </c>
      <c r="F13" s="213">
        <f>COUNTIFS('2026 Time Off Request'!$A:$A,'Mar 2026'!$D13,'2026 Time Off Request'!$L:$L,'Mar 2026'!F$6)</f>
        <v>0</v>
      </c>
      <c r="G13" s="148">
        <f>COUNTIFS('2026 Time Off Request'!$A:$A,'Mar 2026'!$D13,'2026 Time Off Request'!$L:$L,'Mar 2026'!G$6)</f>
        <v>0</v>
      </c>
      <c r="H13" s="148">
        <f>COUNTIFS('2026 Time Off Request'!$A:$A,'Mar 2026'!$D13,'2026 Time Off Request'!$L:$L,'Mar 2026'!H$6)</f>
        <v>0</v>
      </c>
      <c r="I13" s="148">
        <f>COUNTIFS('2026 Time Off Request'!$A:$A,'Mar 2026'!$D13,'2026 Time Off Request'!$L:$L,'Mar 2026'!I$6)</f>
        <v>0</v>
      </c>
      <c r="J13" s="148">
        <f>COUNTIFS('2026 Time Off Request'!$A:$A,'Mar 2026'!$D13,'2026 Time Off Request'!$L:$L,'Mar 2026'!J$6)</f>
        <v>0</v>
      </c>
      <c r="K13" s="148">
        <f>COUNTIFS('2026 Time Off Request'!$A:$A,'Mar 2026'!$D13,'2026 Time Off Request'!$L:$L,'Mar 2026'!K$6)</f>
        <v>0</v>
      </c>
      <c r="L13" s="147">
        <f>COUNTIFS('2026 Time Off Request'!$A:$A,'Mar 2026'!$D13,'2026 Time Off Request'!$L:$L,'Mar 2026'!L$6)</f>
        <v>0</v>
      </c>
      <c r="M13" s="147">
        <f>COUNTIFS('2026 Time Off Request'!$A:$A,'Mar 2026'!$D13,'2026 Time Off Request'!$L:$L,'Mar 2026'!M$6)</f>
        <v>0</v>
      </c>
      <c r="N13" s="148">
        <f>COUNTIFS('2026 Time Off Request'!$A:$A,'Mar 2026'!$D13,'2026 Time Off Request'!$L:$L,'Mar 2026'!N$6)</f>
        <v>0</v>
      </c>
      <c r="O13" s="148">
        <f>COUNTIFS('2026 Time Off Request'!$A:$A,'Mar 2026'!$D13,'2026 Time Off Request'!$L:$L,'Mar 2026'!O$6)</f>
        <v>0</v>
      </c>
      <c r="P13" s="148">
        <f>COUNTIFS('2026 Time Off Request'!$A:$A,'Mar 2026'!$D13,'2026 Time Off Request'!$L:$L,'Mar 2026'!P$6)</f>
        <v>0</v>
      </c>
      <c r="Q13" s="148">
        <f>COUNTIFS('2026 Time Off Request'!$A:$A,'Mar 2026'!$D13,'2026 Time Off Request'!$L:$L,'Mar 2026'!Q$6)</f>
        <v>0</v>
      </c>
      <c r="R13" s="148">
        <f>COUNTIFS('2026 Time Off Request'!$A:$A,'Mar 2026'!$D13,'2026 Time Off Request'!$L:$L,'Mar 2026'!R$6)</f>
        <v>0</v>
      </c>
      <c r="S13" s="147">
        <f>COUNTIFS('2026 Time Off Request'!$A:$A,'Mar 2026'!$D13,'2026 Time Off Request'!$L:$L,'Mar 2026'!S$6)</f>
        <v>0</v>
      </c>
      <c r="T13" s="147">
        <f>COUNTIFS('2026 Time Off Request'!$A:$A,'Mar 2026'!$D13,'2026 Time Off Request'!$L:$L,'Mar 2026'!T$6)</f>
        <v>0</v>
      </c>
      <c r="U13" s="148">
        <f>COUNTIFS('2026 Time Off Request'!$A:$A,'Mar 2026'!$D13,'2026 Time Off Request'!$L:$L,'Mar 2026'!U$6)</f>
        <v>0</v>
      </c>
      <c r="V13" s="148">
        <f>COUNTIFS('2026 Time Off Request'!$A:$A,'Mar 2026'!$D13,'2026 Time Off Request'!$L:$L,'Mar 2026'!V$6)</f>
        <v>0</v>
      </c>
      <c r="W13" s="148">
        <f>COUNTIFS('2026 Time Off Request'!$A:$A,'Mar 2026'!$D13,'2026 Time Off Request'!$L:$L,'Mar 2026'!W$6)</f>
        <v>0</v>
      </c>
      <c r="X13" s="148">
        <f>COUNTIFS('2026 Time Off Request'!$A:$A,'Mar 2026'!$D13,'2026 Time Off Request'!$L:$L,'Mar 2026'!X$6)</f>
        <v>0</v>
      </c>
      <c r="Y13" s="148">
        <f>COUNTIFS('2026 Time Off Request'!$A:$A,'Mar 2026'!$D13,'2026 Time Off Request'!$L:$L,'Mar 2026'!Y$6)</f>
        <v>0</v>
      </c>
      <c r="Z13" s="147">
        <f>COUNTIFS('2026 Time Off Request'!$A:$A,'Mar 2026'!$D13,'2026 Time Off Request'!$L:$L,'Mar 2026'!Z$6)</f>
        <v>0</v>
      </c>
      <c r="AA13" s="147">
        <f>COUNTIFS('2026 Time Off Request'!$A:$A,'Mar 2026'!$D13,'2026 Time Off Request'!$L:$L,'Mar 2026'!AA$6)</f>
        <v>0</v>
      </c>
      <c r="AB13" s="148">
        <f>COUNTIFS('2026 Time Off Request'!$A:$A,'Mar 2026'!$D13,'2026 Time Off Request'!$L:$L,'Mar 2026'!AB$6)</f>
        <v>0</v>
      </c>
      <c r="AC13" s="148">
        <f>COUNTIFS('2026 Time Off Request'!$A:$A,'Mar 2026'!$D13,'2026 Time Off Request'!$L:$L,'Mar 2026'!AC$6)</f>
        <v>0</v>
      </c>
      <c r="AD13" s="148">
        <f>COUNTIFS('2026 Time Off Request'!$A:$A,'Mar 2026'!$D13,'2026 Time Off Request'!$L:$L,'Mar 2026'!AD$6)</f>
        <v>0</v>
      </c>
      <c r="AE13" s="148">
        <f>COUNTIFS('2026 Time Off Request'!$A:$A,'Mar 2026'!$D13,'2026 Time Off Request'!$L:$L,'Mar 2026'!AE$6)</f>
        <v>0</v>
      </c>
      <c r="AF13" s="148">
        <f>COUNTIFS('2026 Time Off Request'!$A:$A,'Mar 2026'!$D13,'2026 Time Off Request'!$L:$L,'Mar 2026'!AF$6)</f>
        <v>0</v>
      </c>
      <c r="AG13" s="147">
        <f>COUNTIFS('2026 Time Off Request'!$A:$A,'Mar 2026'!$D13,'2026 Time Off Request'!$L:$L,'Mar 2026'!AG$6)</f>
        <v>0</v>
      </c>
      <c r="AH13" s="147">
        <f>COUNTIFS('2026 Time Off Request'!$A:$A,'Mar 2026'!$D13,'2026 Time Off Request'!$L:$L,'Mar 2026'!AH$6)</f>
        <v>0</v>
      </c>
      <c r="AI13" s="148">
        <f>COUNTIFS('2026 Time Off Request'!$A:$A,'Mar 2026'!$D13,'2026 Time Off Request'!$L:$L,'Mar 2026'!AI$6)</f>
        <v>0</v>
      </c>
      <c r="AJ13" s="148">
        <f>COUNTIFS('2026 Time Off Request'!$A:$A,'Mar 2026'!$D13,'2026 Time Off Request'!$L:$L,'Mar 2026'!AJ$6)</f>
        <v>0</v>
      </c>
    </row>
    <row r="14" spans="1:41" ht="15.75">
      <c r="A14" s="2">
        <v>8</v>
      </c>
      <c r="B14" s="209" t="s">
        <v>36</v>
      </c>
      <c r="C14" s="210" t="s">
        <v>37</v>
      </c>
      <c r="D14" s="215" t="s">
        <v>39</v>
      </c>
      <c r="E14" s="212">
        <f t="shared" si="0"/>
        <v>0</v>
      </c>
      <c r="F14" s="213">
        <f>COUNTIFS('2026 Time Off Request'!$A:$A,'Mar 2026'!$D14,'2026 Time Off Request'!$L:$L,'Mar 2026'!F$6)</f>
        <v>0</v>
      </c>
      <c r="G14" s="148">
        <f>COUNTIFS('2026 Time Off Request'!$A:$A,'Mar 2026'!$D14,'2026 Time Off Request'!$L:$L,'Mar 2026'!G$6)</f>
        <v>0</v>
      </c>
      <c r="H14" s="148">
        <f>COUNTIFS('2026 Time Off Request'!$A:$A,'Mar 2026'!$D14,'2026 Time Off Request'!$L:$L,'Mar 2026'!H$6)</f>
        <v>0</v>
      </c>
      <c r="I14" s="148">
        <f>COUNTIFS('2026 Time Off Request'!$A:$A,'Mar 2026'!$D14,'2026 Time Off Request'!$L:$L,'Mar 2026'!I$6)</f>
        <v>0</v>
      </c>
      <c r="J14" s="148">
        <f>COUNTIFS('2026 Time Off Request'!$A:$A,'Mar 2026'!$D14,'2026 Time Off Request'!$L:$L,'Mar 2026'!J$6)</f>
        <v>0</v>
      </c>
      <c r="K14" s="148">
        <f>COUNTIFS('2026 Time Off Request'!$A:$A,'Mar 2026'!$D14,'2026 Time Off Request'!$L:$L,'Mar 2026'!K$6)</f>
        <v>0</v>
      </c>
      <c r="L14" s="147">
        <f>COUNTIFS('2026 Time Off Request'!$A:$A,'Mar 2026'!$D14,'2026 Time Off Request'!$L:$L,'Mar 2026'!L$6)</f>
        <v>0</v>
      </c>
      <c r="M14" s="147">
        <f>COUNTIFS('2026 Time Off Request'!$A:$A,'Mar 2026'!$D14,'2026 Time Off Request'!$L:$L,'Mar 2026'!M$6)</f>
        <v>0</v>
      </c>
      <c r="N14" s="148">
        <f>COUNTIFS('2026 Time Off Request'!$A:$A,'Mar 2026'!$D14,'2026 Time Off Request'!$L:$L,'Mar 2026'!N$6)</f>
        <v>0</v>
      </c>
      <c r="O14" s="148">
        <f>COUNTIFS('2026 Time Off Request'!$A:$A,'Mar 2026'!$D14,'2026 Time Off Request'!$L:$L,'Mar 2026'!O$6)</f>
        <v>0</v>
      </c>
      <c r="P14" s="148">
        <f>COUNTIFS('2026 Time Off Request'!$A:$A,'Mar 2026'!$D14,'2026 Time Off Request'!$L:$L,'Mar 2026'!P$6)</f>
        <v>0</v>
      </c>
      <c r="Q14" s="148">
        <f>COUNTIFS('2026 Time Off Request'!$A:$A,'Mar 2026'!$D14,'2026 Time Off Request'!$L:$L,'Mar 2026'!Q$6)</f>
        <v>0</v>
      </c>
      <c r="R14" s="148">
        <f>COUNTIFS('2026 Time Off Request'!$A:$A,'Mar 2026'!$D14,'2026 Time Off Request'!$L:$L,'Mar 2026'!R$6)</f>
        <v>0</v>
      </c>
      <c r="S14" s="147">
        <f>COUNTIFS('2026 Time Off Request'!$A:$A,'Mar 2026'!$D14,'2026 Time Off Request'!$L:$L,'Mar 2026'!S$6)</f>
        <v>0</v>
      </c>
      <c r="T14" s="147">
        <f>COUNTIFS('2026 Time Off Request'!$A:$A,'Mar 2026'!$D14,'2026 Time Off Request'!$L:$L,'Mar 2026'!T$6)</f>
        <v>0</v>
      </c>
      <c r="U14" s="148">
        <f>COUNTIFS('2026 Time Off Request'!$A:$A,'Mar 2026'!$D14,'2026 Time Off Request'!$L:$L,'Mar 2026'!U$6)</f>
        <v>0</v>
      </c>
      <c r="V14" s="148">
        <f>COUNTIFS('2026 Time Off Request'!$A:$A,'Mar 2026'!$D14,'2026 Time Off Request'!$L:$L,'Mar 2026'!V$6)</f>
        <v>0</v>
      </c>
      <c r="W14" s="148">
        <f>COUNTIFS('2026 Time Off Request'!$A:$A,'Mar 2026'!$D14,'2026 Time Off Request'!$L:$L,'Mar 2026'!W$6)</f>
        <v>0</v>
      </c>
      <c r="X14" s="148">
        <f>COUNTIFS('2026 Time Off Request'!$A:$A,'Mar 2026'!$D14,'2026 Time Off Request'!$L:$L,'Mar 2026'!X$6)</f>
        <v>0</v>
      </c>
      <c r="Y14" s="148">
        <f>COUNTIFS('2026 Time Off Request'!$A:$A,'Mar 2026'!$D14,'2026 Time Off Request'!$L:$L,'Mar 2026'!Y$6)</f>
        <v>0</v>
      </c>
      <c r="Z14" s="147">
        <f>COUNTIFS('2026 Time Off Request'!$A:$A,'Mar 2026'!$D14,'2026 Time Off Request'!$L:$L,'Mar 2026'!Z$6)</f>
        <v>0</v>
      </c>
      <c r="AA14" s="147">
        <f>COUNTIFS('2026 Time Off Request'!$A:$A,'Mar 2026'!$D14,'2026 Time Off Request'!$L:$L,'Mar 2026'!AA$6)</f>
        <v>0</v>
      </c>
      <c r="AB14" s="148">
        <f>COUNTIFS('2026 Time Off Request'!$A:$A,'Mar 2026'!$D14,'2026 Time Off Request'!$L:$L,'Mar 2026'!AB$6)</f>
        <v>0</v>
      </c>
      <c r="AC14" s="148">
        <f>COUNTIFS('2026 Time Off Request'!$A:$A,'Mar 2026'!$D14,'2026 Time Off Request'!$L:$L,'Mar 2026'!AC$6)</f>
        <v>0</v>
      </c>
      <c r="AD14" s="148">
        <f>COUNTIFS('2026 Time Off Request'!$A:$A,'Mar 2026'!$D14,'2026 Time Off Request'!$L:$L,'Mar 2026'!AD$6)</f>
        <v>0</v>
      </c>
      <c r="AE14" s="148">
        <f>COUNTIFS('2026 Time Off Request'!$A:$A,'Mar 2026'!$D14,'2026 Time Off Request'!$L:$L,'Mar 2026'!AE$6)</f>
        <v>0</v>
      </c>
      <c r="AF14" s="148">
        <f>COUNTIFS('2026 Time Off Request'!$A:$A,'Mar 2026'!$D14,'2026 Time Off Request'!$L:$L,'Mar 2026'!AF$6)</f>
        <v>0</v>
      </c>
      <c r="AG14" s="147">
        <f>COUNTIFS('2026 Time Off Request'!$A:$A,'Mar 2026'!$D14,'2026 Time Off Request'!$L:$L,'Mar 2026'!AG$6)</f>
        <v>0</v>
      </c>
      <c r="AH14" s="147">
        <f>COUNTIFS('2026 Time Off Request'!$A:$A,'Mar 2026'!$D14,'2026 Time Off Request'!$L:$L,'Mar 2026'!AH$6)</f>
        <v>0</v>
      </c>
      <c r="AI14" s="148">
        <f>COUNTIFS('2026 Time Off Request'!$A:$A,'Mar 2026'!$D14,'2026 Time Off Request'!$L:$L,'Mar 2026'!AI$6)</f>
        <v>0</v>
      </c>
      <c r="AJ14" s="148">
        <f>COUNTIFS('2026 Time Off Request'!$A:$A,'Mar 2026'!$D14,'2026 Time Off Request'!$L:$L,'Mar 2026'!AJ$6)</f>
        <v>0</v>
      </c>
    </row>
    <row r="15" spans="1:41" ht="15.75">
      <c r="A15" s="2">
        <v>9</v>
      </c>
      <c r="B15" s="209" t="s">
        <v>36</v>
      </c>
      <c r="C15" s="210" t="s">
        <v>37</v>
      </c>
      <c r="D15" s="215" t="s">
        <v>40</v>
      </c>
      <c r="E15" s="212">
        <f t="shared" si="0"/>
        <v>10</v>
      </c>
      <c r="F15" s="213">
        <f>COUNTIFS('2026 Time Off Request'!$A:$A,'Mar 2026'!$D15,'2026 Time Off Request'!$L:$L,'Mar 2026'!F$6)</f>
        <v>0</v>
      </c>
      <c r="G15" s="148">
        <f>COUNTIFS('2026 Time Off Request'!$A:$A,'Mar 2026'!$D15,'2026 Time Off Request'!$L:$L,'Mar 2026'!G$6)</f>
        <v>0</v>
      </c>
      <c r="H15" s="148">
        <f>COUNTIFS('2026 Time Off Request'!$A:$A,'Mar 2026'!$D15,'2026 Time Off Request'!$L:$L,'Mar 2026'!H$6)</f>
        <v>0</v>
      </c>
      <c r="I15" s="148">
        <f>COUNTIFS('2026 Time Off Request'!$A:$A,'Mar 2026'!$D15,'2026 Time Off Request'!$L:$L,'Mar 2026'!I$6)</f>
        <v>0</v>
      </c>
      <c r="J15" s="148">
        <f>COUNTIFS('2026 Time Off Request'!$A:$A,'Mar 2026'!$D15,'2026 Time Off Request'!$L:$L,'Mar 2026'!J$6)</f>
        <v>0</v>
      </c>
      <c r="K15" s="148">
        <f>COUNTIFS('2026 Time Off Request'!$A:$A,'Mar 2026'!$D15,'2026 Time Off Request'!$L:$L,'Mar 2026'!K$6)</f>
        <v>0</v>
      </c>
      <c r="L15" s="147">
        <f>COUNTIFS('2026 Time Off Request'!$A:$A,'Mar 2026'!$D15,'2026 Time Off Request'!$L:$L,'Mar 2026'!L$6)</f>
        <v>0</v>
      </c>
      <c r="M15" s="147">
        <f>COUNTIFS('2026 Time Off Request'!$A:$A,'Mar 2026'!$D15,'2026 Time Off Request'!$L:$L,'Mar 2026'!M$6)</f>
        <v>0</v>
      </c>
      <c r="N15" s="148">
        <f>COUNTIFS('2026 Time Off Request'!$A:$A,'Mar 2026'!$D15,'2026 Time Off Request'!$L:$L,'Mar 2026'!N$6)</f>
        <v>0</v>
      </c>
      <c r="O15" s="148">
        <f>COUNTIFS('2026 Time Off Request'!$A:$A,'Mar 2026'!$D15,'2026 Time Off Request'!$L:$L,'Mar 2026'!O$6)</f>
        <v>0</v>
      </c>
      <c r="P15" s="148">
        <f>COUNTIFS('2026 Time Off Request'!$A:$A,'Mar 2026'!$D15,'2026 Time Off Request'!$L:$L,'Mar 2026'!P$6)</f>
        <v>0</v>
      </c>
      <c r="Q15" s="148">
        <f>COUNTIFS('2026 Time Off Request'!$A:$A,'Mar 2026'!$D15,'2026 Time Off Request'!$L:$L,'Mar 2026'!Q$6)</f>
        <v>0</v>
      </c>
      <c r="R15" s="148">
        <f>COUNTIFS('2026 Time Off Request'!$A:$A,'Mar 2026'!$D15,'2026 Time Off Request'!$L:$L,'Mar 2026'!R$6)</f>
        <v>0</v>
      </c>
      <c r="S15" s="147">
        <f>COUNTIFS('2026 Time Off Request'!$A:$A,'Mar 2026'!$D15,'2026 Time Off Request'!$L:$L,'Mar 2026'!S$6)</f>
        <v>0</v>
      </c>
      <c r="T15" s="147">
        <f>COUNTIFS('2026 Time Off Request'!$A:$A,'Mar 2026'!$D15,'2026 Time Off Request'!$L:$L,'Mar 2026'!T$6)</f>
        <v>0</v>
      </c>
      <c r="U15" s="148">
        <f>COUNTIFS('2026 Time Off Request'!$A:$A,'Mar 2026'!$D15,'2026 Time Off Request'!$L:$L,'Mar 2026'!U$6)</f>
        <v>1</v>
      </c>
      <c r="V15" s="148">
        <f>COUNTIFS('2026 Time Off Request'!$A:$A,'Mar 2026'!$D15,'2026 Time Off Request'!$L:$L,'Mar 2026'!V$6)</f>
        <v>1</v>
      </c>
      <c r="W15" s="148">
        <f>COUNTIFS('2026 Time Off Request'!$A:$A,'Mar 2026'!$D15,'2026 Time Off Request'!$L:$L,'Mar 2026'!W$6)</f>
        <v>1</v>
      </c>
      <c r="X15" s="148">
        <f>COUNTIFS('2026 Time Off Request'!$A:$A,'Mar 2026'!$D15,'2026 Time Off Request'!$L:$L,'Mar 2026'!X$6)</f>
        <v>1</v>
      </c>
      <c r="Y15" s="148">
        <f>COUNTIFS('2026 Time Off Request'!$A:$A,'Mar 2026'!$D15,'2026 Time Off Request'!$L:$L,'Mar 2026'!Y$6)</f>
        <v>1</v>
      </c>
      <c r="Z15" s="147">
        <f>COUNTIFS('2026 Time Off Request'!$A:$A,'Mar 2026'!$D15,'2026 Time Off Request'!$L:$L,'Mar 2026'!Z$6)</f>
        <v>0</v>
      </c>
      <c r="AA15" s="147">
        <f>COUNTIFS('2026 Time Off Request'!$A:$A,'Mar 2026'!$D15,'2026 Time Off Request'!$L:$L,'Mar 2026'!AA$6)</f>
        <v>0</v>
      </c>
      <c r="AB15" s="148">
        <f>COUNTIFS('2026 Time Off Request'!$A:$A,'Mar 2026'!$D15,'2026 Time Off Request'!$L:$L,'Mar 2026'!AB$6)</f>
        <v>1</v>
      </c>
      <c r="AC15" s="148">
        <f>COUNTIFS('2026 Time Off Request'!$A:$A,'Mar 2026'!$D15,'2026 Time Off Request'!$L:$L,'Mar 2026'!AC$6)</f>
        <v>1</v>
      </c>
      <c r="AD15" s="148">
        <f>COUNTIFS('2026 Time Off Request'!$A:$A,'Mar 2026'!$D15,'2026 Time Off Request'!$L:$L,'Mar 2026'!AD$6)</f>
        <v>1</v>
      </c>
      <c r="AE15" s="148">
        <f>COUNTIFS('2026 Time Off Request'!$A:$A,'Mar 2026'!$D15,'2026 Time Off Request'!$L:$L,'Mar 2026'!AE$6)</f>
        <v>1</v>
      </c>
      <c r="AF15" s="148">
        <f>COUNTIFS('2026 Time Off Request'!$A:$A,'Mar 2026'!$D15,'2026 Time Off Request'!$L:$L,'Mar 2026'!AF$6)</f>
        <v>1</v>
      </c>
      <c r="AG15" s="147">
        <f>COUNTIFS('2026 Time Off Request'!$A:$A,'Mar 2026'!$D15,'2026 Time Off Request'!$L:$L,'Mar 2026'!AG$6)</f>
        <v>0</v>
      </c>
      <c r="AH15" s="147">
        <f>COUNTIFS('2026 Time Off Request'!$A:$A,'Mar 2026'!$D15,'2026 Time Off Request'!$L:$L,'Mar 2026'!AH$6)</f>
        <v>0</v>
      </c>
      <c r="AI15" s="148">
        <f>COUNTIFS('2026 Time Off Request'!$A:$A,'Mar 2026'!$D15,'2026 Time Off Request'!$L:$L,'Mar 2026'!AI$6)</f>
        <v>0</v>
      </c>
      <c r="AJ15" s="148">
        <f>COUNTIFS('2026 Time Off Request'!$A:$A,'Mar 2026'!$D15,'2026 Time Off Request'!$L:$L,'Mar 2026'!AJ$6)</f>
        <v>0</v>
      </c>
    </row>
    <row r="16" spans="1:41" ht="15.75">
      <c r="A16" s="2">
        <v>10</v>
      </c>
      <c r="B16" s="209" t="s">
        <v>36</v>
      </c>
      <c r="C16" s="210" t="s">
        <v>37</v>
      </c>
      <c r="D16" s="215" t="s">
        <v>41</v>
      </c>
      <c r="E16" s="212">
        <f t="shared" si="0"/>
        <v>0</v>
      </c>
      <c r="F16" s="213">
        <f>COUNTIFS('2026 Time Off Request'!$A:$A,'Mar 2026'!$D16,'2026 Time Off Request'!$L:$L,'Mar 2026'!F$6)</f>
        <v>0</v>
      </c>
      <c r="G16" s="148">
        <f>COUNTIFS('2026 Time Off Request'!$A:$A,'Mar 2026'!$D16,'2026 Time Off Request'!$L:$L,'Mar 2026'!G$6)</f>
        <v>0</v>
      </c>
      <c r="H16" s="148">
        <f>COUNTIFS('2026 Time Off Request'!$A:$A,'Mar 2026'!$D16,'2026 Time Off Request'!$L:$L,'Mar 2026'!H$6)</f>
        <v>0</v>
      </c>
      <c r="I16" s="148">
        <f>COUNTIFS('2026 Time Off Request'!$A:$A,'Mar 2026'!$D16,'2026 Time Off Request'!$L:$L,'Mar 2026'!I$6)</f>
        <v>0</v>
      </c>
      <c r="J16" s="148">
        <f>COUNTIFS('2026 Time Off Request'!$A:$A,'Mar 2026'!$D16,'2026 Time Off Request'!$L:$L,'Mar 2026'!J$6)</f>
        <v>0</v>
      </c>
      <c r="K16" s="148">
        <f>COUNTIFS('2026 Time Off Request'!$A:$A,'Mar 2026'!$D16,'2026 Time Off Request'!$L:$L,'Mar 2026'!K$6)</f>
        <v>0</v>
      </c>
      <c r="L16" s="147">
        <f>COUNTIFS('2026 Time Off Request'!$A:$A,'Mar 2026'!$D16,'2026 Time Off Request'!$L:$L,'Mar 2026'!L$6)</f>
        <v>0</v>
      </c>
      <c r="M16" s="147">
        <f>COUNTIFS('2026 Time Off Request'!$A:$A,'Mar 2026'!$D16,'2026 Time Off Request'!$L:$L,'Mar 2026'!M$6)</f>
        <v>0</v>
      </c>
      <c r="N16" s="148">
        <f>COUNTIFS('2026 Time Off Request'!$A:$A,'Mar 2026'!$D16,'2026 Time Off Request'!$L:$L,'Mar 2026'!N$6)</f>
        <v>0</v>
      </c>
      <c r="O16" s="148">
        <f>COUNTIFS('2026 Time Off Request'!$A:$A,'Mar 2026'!$D16,'2026 Time Off Request'!$L:$L,'Mar 2026'!O$6)</f>
        <v>0</v>
      </c>
      <c r="P16" s="148">
        <f>COUNTIFS('2026 Time Off Request'!$A:$A,'Mar 2026'!$D16,'2026 Time Off Request'!$L:$L,'Mar 2026'!P$6)</f>
        <v>0</v>
      </c>
      <c r="Q16" s="148">
        <f>COUNTIFS('2026 Time Off Request'!$A:$A,'Mar 2026'!$D16,'2026 Time Off Request'!$L:$L,'Mar 2026'!Q$6)</f>
        <v>0</v>
      </c>
      <c r="R16" s="148">
        <f>COUNTIFS('2026 Time Off Request'!$A:$A,'Mar 2026'!$D16,'2026 Time Off Request'!$L:$L,'Mar 2026'!R$6)</f>
        <v>0</v>
      </c>
      <c r="S16" s="147">
        <f>COUNTIFS('2026 Time Off Request'!$A:$A,'Mar 2026'!$D16,'2026 Time Off Request'!$L:$L,'Mar 2026'!S$6)</f>
        <v>0</v>
      </c>
      <c r="T16" s="147">
        <f>COUNTIFS('2026 Time Off Request'!$A:$A,'Mar 2026'!$D16,'2026 Time Off Request'!$L:$L,'Mar 2026'!T$6)</f>
        <v>0</v>
      </c>
      <c r="U16" s="148">
        <f>COUNTIFS('2026 Time Off Request'!$A:$A,'Mar 2026'!$D16,'2026 Time Off Request'!$L:$L,'Mar 2026'!U$6)</f>
        <v>0</v>
      </c>
      <c r="V16" s="148">
        <f>COUNTIFS('2026 Time Off Request'!$A:$A,'Mar 2026'!$D16,'2026 Time Off Request'!$L:$L,'Mar 2026'!V$6)</f>
        <v>0</v>
      </c>
      <c r="W16" s="148">
        <f>COUNTIFS('2026 Time Off Request'!$A:$A,'Mar 2026'!$D16,'2026 Time Off Request'!$L:$L,'Mar 2026'!W$6)</f>
        <v>0</v>
      </c>
      <c r="X16" s="148">
        <f>COUNTIFS('2026 Time Off Request'!$A:$A,'Mar 2026'!$D16,'2026 Time Off Request'!$L:$L,'Mar 2026'!X$6)</f>
        <v>0</v>
      </c>
      <c r="Y16" s="148">
        <f>COUNTIFS('2026 Time Off Request'!$A:$A,'Mar 2026'!$D16,'2026 Time Off Request'!$L:$L,'Mar 2026'!Y$6)</f>
        <v>0</v>
      </c>
      <c r="Z16" s="147">
        <f>COUNTIFS('2026 Time Off Request'!$A:$A,'Mar 2026'!$D16,'2026 Time Off Request'!$L:$L,'Mar 2026'!Z$6)</f>
        <v>0</v>
      </c>
      <c r="AA16" s="147">
        <f>COUNTIFS('2026 Time Off Request'!$A:$A,'Mar 2026'!$D16,'2026 Time Off Request'!$L:$L,'Mar 2026'!AA$6)</f>
        <v>0</v>
      </c>
      <c r="AB16" s="148">
        <f>COUNTIFS('2026 Time Off Request'!$A:$A,'Mar 2026'!$D16,'2026 Time Off Request'!$L:$L,'Mar 2026'!AB$6)</f>
        <v>0</v>
      </c>
      <c r="AC16" s="148">
        <f>COUNTIFS('2026 Time Off Request'!$A:$A,'Mar 2026'!$D16,'2026 Time Off Request'!$L:$L,'Mar 2026'!AC$6)</f>
        <v>0</v>
      </c>
      <c r="AD16" s="148">
        <f>COUNTIFS('2026 Time Off Request'!$A:$A,'Mar 2026'!$D16,'2026 Time Off Request'!$L:$L,'Mar 2026'!AD$6)</f>
        <v>0</v>
      </c>
      <c r="AE16" s="148">
        <f>COUNTIFS('2026 Time Off Request'!$A:$A,'Mar 2026'!$D16,'2026 Time Off Request'!$L:$L,'Mar 2026'!AE$6)</f>
        <v>0</v>
      </c>
      <c r="AF16" s="148">
        <f>COUNTIFS('2026 Time Off Request'!$A:$A,'Mar 2026'!$D16,'2026 Time Off Request'!$L:$L,'Mar 2026'!AF$6)</f>
        <v>0</v>
      </c>
      <c r="AG16" s="147">
        <f>COUNTIFS('2026 Time Off Request'!$A:$A,'Mar 2026'!$D16,'2026 Time Off Request'!$L:$L,'Mar 2026'!AG$6)</f>
        <v>0</v>
      </c>
      <c r="AH16" s="147">
        <f>COUNTIFS('2026 Time Off Request'!$A:$A,'Mar 2026'!$D16,'2026 Time Off Request'!$L:$L,'Mar 2026'!AH$6)</f>
        <v>0</v>
      </c>
      <c r="AI16" s="148">
        <f>COUNTIFS('2026 Time Off Request'!$A:$A,'Mar 2026'!$D16,'2026 Time Off Request'!$L:$L,'Mar 2026'!AI$6)</f>
        <v>0</v>
      </c>
      <c r="AJ16" s="148">
        <f>COUNTIFS('2026 Time Off Request'!$A:$A,'Mar 2026'!$D16,'2026 Time Off Request'!$L:$L,'Mar 2026'!AJ$6)</f>
        <v>0</v>
      </c>
    </row>
    <row r="17" spans="1:36" ht="15.75">
      <c r="A17" s="2">
        <v>11</v>
      </c>
      <c r="B17" s="209" t="s">
        <v>36</v>
      </c>
      <c r="C17" s="210" t="s">
        <v>37</v>
      </c>
      <c r="D17" s="215" t="s">
        <v>42</v>
      </c>
      <c r="E17" s="212">
        <f t="shared" si="0"/>
        <v>0</v>
      </c>
      <c r="F17" s="213">
        <f>COUNTIFS('2026 Time Off Request'!$A:$A,'Mar 2026'!$D17,'2026 Time Off Request'!$L:$L,'Mar 2026'!F$6)</f>
        <v>0</v>
      </c>
      <c r="G17" s="148">
        <f>COUNTIFS('2026 Time Off Request'!$A:$A,'Mar 2026'!$D17,'2026 Time Off Request'!$L:$L,'Mar 2026'!G$6)</f>
        <v>0</v>
      </c>
      <c r="H17" s="148">
        <f>COUNTIFS('2026 Time Off Request'!$A:$A,'Mar 2026'!$D17,'2026 Time Off Request'!$L:$L,'Mar 2026'!H$6)</f>
        <v>0</v>
      </c>
      <c r="I17" s="148">
        <f>COUNTIFS('2026 Time Off Request'!$A:$A,'Mar 2026'!$D17,'2026 Time Off Request'!$L:$L,'Mar 2026'!I$6)</f>
        <v>0</v>
      </c>
      <c r="J17" s="148">
        <f>COUNTIFS('2026 Time Off Request'!$A:$A,'Mar 2026'!$D17,'2026 Time Off Request'!$L:$L,'Mar 2026'!J$6)</f>
        <v>0</v>
      </c>
      <c r="K17" s="148">
        <f>COUNTIFS('2026 Time Off Request'!$A:$A,'Mar 2026'!$D17,'2026 Time Off Request'!$L:$L,'Mar 2026'!K$6)</f>
        <v>0</v>
      </c>
      <c r="L17" s="147">
        <f>COUNTIFS('2026 Time Off Request'!$A:$A,'Mar 2026'!$D17,'2026 Time Off Request'!$L:$L,'Mar 2026'!L$6)</f>
        <v>0</v>
      </c>
      <c r="M17" s="147">
        <f>COUNTIFS('2026 Time Off Request'!$A:$A,'Mar 2026'!$D17,'2026 Time Off Request'!$L:$L,'Mar 2026'!M$6)</f>
        <v>0</v>
      </c>
      <c r="N17" s="148">
        <f>COUNTIFS('2026 Time Off Request'!$A:$A,'Mar 2026'!$D17,'2026 Time Off Request'!$L:$L,'Mar 2026'!N$6)</f>
        <v>0</v>
      </c>
      <c r="O17" s="148">
        <f>COUNTIFS('2026 Time Off Request'!$A:$A,'Mar 2026'!$D17,'2026 Time Off Request'!$L:$L,'Mar 2026'!O$6)</f>
        <v>0</v>
      </c>
      <c r="P17" s="148">
        <f>COUNTIFS('2026 Time Off Request'!$A:$A,'Mar 2026'!$D17,'2026 Time Off Request'!$L:$L,'Mar 2026'!P$6)</f>
        <v>0</v>
      </c>
      <c r="Q17" s="148">
        <f>COUNTIFS('2026 Time Off Request'!$A:$A,'Mar 2026'!$D17,'2026 Time Off Request'!$L:$L,'Mar 2026'!Q$6)</f>
        <v>0</v>
      </c>
      <c r="R17" s="148">
        <f>COUNTIFS('2026 Time Off Request'!$A:$A,'Mar 2026'!$D17,'2026 Time Off Request'!$L:$L,'Mar 2026'!R$6)</f>
        <v>0</v>
      </c>
      <c r="S17" s="147">
        <f>COUNTIFS('2026 Time Off Request'!$A:$A,'Mar 2026'!$D17,'2026 Time Off Request'!$L:$L,'Mar 2026'!S$6)</f>
        <v>0</v>
      </c>
      <c r="T17" s="147">
        <f>COUNTIFS('2026 Time Off Request'!$A:$A,'Mar 2026'!$D17,'2026 Time Off Request'!$L:$L,'Mar 2026'!T$6)</f>
        <v>0</v>
      </c>
      <c r="U17" s="148">
        <f>COUNTIFS('2026 Time Off Request'!$A:$A,'Mar 2026'!$D17,'2026 Time Off Request'!$L:$L,'Mar 2026'!U$6)</f>
        <v>0</v>
      </c>
      <c r="V17" s="148">
        <f>COUNTIFS('2026 Time Off Request'!$A:$A,'Mar 2026'!$D17,'2026 Time Off Request'!$L:$L,'Mar 2026'!V$6)</f>
        <v>0</v>
      </c>
      <c r="W17" s="148">
        <f>COUNTIFS('2026 Time Off Request'!$A:$A,'Mar 2026'!$D17,'2026 Time Off Request'!$L:$L,'Mar 2026'!W$6)</f>
        <v>0</v>
      </c>
      <c r="X17" s="148">
        <f>COUNTIFS('2026 Time Off Request'!$A:$A,'Mar 2026'!$D17,'2026 Time Off Request'!$L:$L,'Mar 2026'!X$6)</f>
        <v>0</v>
      </c>
      <c r="Y17" s="148">
        <f>COUNTIFS('2026 Time Off Request'!$A:$A,'Mar 2026'!$D17,'2026 Time Off Request'!$L:$L,'Mar 2026'!Y$6)</f>
        <v>0</v>
      </c>
      <c r="Z17" s="147">
        <f>COUNTIFS('2026 Time Off Request'!$A:$A,'Mar 2026'!$D17,'2026 Time Off Request'!$L:$L,'Mar 2026'!Z$6)</f>
        <v>0</v>
      </c>
      <c r="AA17" s="147">
        <f>COUNTIFS('2026 Time Off Request'!$A:$A,'Mar 2026'!$D17,'2026 Time Off Request'!$L:$L,'Mar 2026'!AA$6)</f>
        <v>0</v>
      </c>
      <c r="AB17" s="148">
        <f>COUNTIFS('2026 Time Off Request'!$A:$A,'Mar 2026'!$D17,'2026 Time Off Request'!$L:$L,'Mar 2026'!AB$6)</f>
        <v>0</v>
      </c>
      <c r="AC17" s="148">
        <f>COUNTIFS('2026 Time Off Request'!$A:$A,'Mar 2026'!$D17,'2026 Time Off Request'!$L:$L,'Mar 2026'!AC$6)</f>
        <v>0</v>
      </c>
      <c r="AD17" s="148">
        <f>COUNTIFS('2026 Time Off Request'!$A:$A,'Mar 2026'!$D17,'2026 Time Off Request'!$L:$L,'Mar 2026'!AD$6)</f>
        <v>0</v>
      </c>
      <c r="AE17" s="148">
        <f>COUNTIFS('2026 Time Off Request'!$A:$A,'Mar 2026'!$D17,'2026 Time Off Request'!$L:$L,'Mar 2026'!AE$6)</f>
        <v>0</v>
      </c>
      <c r="AF17" s="148">
        <f>COUNTIFS('2026 Time Off Request'!$A:$A,'Mar 2026'!$D17,'2026 Time Off Request'!$L:$L,'Mar 2026'!AF$6)</f>
        <v>0</v>
      </c>
      <c r="AG17" s="147">
        <f>COUNTIFS('2026 Time Off Request'!$A:$A,'Mar 2026'!$D17,'2026 Time Off Request'!$L:$L,'Mar 2026'!AG$6)</f>
        <v>0</v>
      </c>
      <c r="AH17" s="147">
        <f>COUNTIFS('2026 Time Off Request'!$A:$A,'Mar 2026'!$D17,'2026 Time Off Request'!$L:$L,'Mar 2026'!AH$6)</f>
        <v>0</v>
      </c>
      <c r="AI17" s="148">
        <f>COUNTIFS('2026 Time Off Request'!$A:$A,'Mar 2026'!$D17,'2026 Time Off Request'!$L:$L,'Mar 2026'!AI$6)</f>
        <v>0</v>
      </c>
      <c r="AJ17" s="148">
        <f>COUNTIFS('2026 Time Off Request'!$A:$A,'Mar 2026'!$D17,'2026 Time Off Request'!$L:$L,'Mar 2026'!AJ$6)</f>
        <v>0</v>
      </c>
    </row>
    <row r="18" spans="1:36" ht="15.75">
      <c r="A18" s="2">
        <v>12</v>
      </c>
      <c r="B18" s="209" t="s">
        <v>36</v>
      </c>
      <c r="C18" s="210" t="s">
        <v>37</v>
      </c>
      <c r="D18" s="215" t="s">
        <v>43</v>
      </c>
      <c r="E18" s="212">
        <f t="shared" si="0"/>
        <v>1</v>
      </c>
      <c r="F18" s="213">
        <f>COUNTIFS('2026 Time Off Request'!$A:$A,'Mar 2026'!$D18,'2026 Time Off Request'!$L:$L,'Mar 2026'!F$6)</f>
        <v>0</v>
      </c>
      <c r="G18" s="148">
        <f>COUNTIFS('2026 Time Off Request'!$A:$A,'Mar 2026'!$D18,'2026 Time Off Request'!$L:$L,'Mar 2026'!G$6)</f>
        <v>0</v>
      </c>
      <c r="H18" s="148">
        <f>COUNTIFS('2026 Time Off Request'!$A:$A,'Mar 2026'!$D18,'2026 Time Off Request'!$L:$L,'Mar 2026'!H$6)</f>
        <v>0</v>
      </c>
      <c r="I18" s="148">
        <f>COUNTIFS('2026 Time Off Request'!$A:$A,'Mar 2026'!$D18,'2026 Time Off Request'!$L:$L,'Mar 2026'!I$6)</f>
        <v>0</v>
      </c>
      <c r="J18" s="148">
        <f>COUNTIFS('2026 Time Off Request'!$A:$A,'Mar 2026'!$D18,'2026 Time Off Request'!$L:$L,'Mar 2026'!J$6)</f>
        <v>0</v>
      </c>
      <c r="K18" s="148">
        <f>COUNTIFS('2026 Time Off Request'!$A:$A,'Mar 2026'!$D18,'2026 Time Off Request'!$L:$L,'Mar 2026'!K$6)</f>
        <v>0</v>
      </c>
      <c r="L18" s="147">
        <f>COUNTIFS('2026 Time Off Request'!$A:$A,'Mar 2026'!$D18,'2026 Time Off Request'!$L:$L,'Mar 2026'!L$6)</f>
        <v>0</v>
      </c>
      <c r="M18" s="147">
        <f>COUNTIFS('2026 Time Off Request'!$A:$A,'Mar 2026'!$D18,'2026 Time Off Request'!$L:$L,'Mar 2026'!M$6)</f>
        <v>0</v>
      </c>
      <c r="N18" s="148">
        <f>COUNTIFS('2026 Time Off Request'!$A:$A,'Mar 2026'!$D18,'2026 Time Off Request'!$L:$L,'Mar 2026'!N$6)</f>
        <v>0</v>
      </c>
      <c r="O18" s="148">
        <f>COUNTIFS('2026 Time Off Request'!$A:$A,'Mar 2026'!$D18,'2026 Time Off Request'!$L:$L,'Mar 2026'!O$6)</f>
        <v>0</v>
      </c>
      <c r="P18" s="148">
        <f>COUNTIFS('2026 Time Off Request'!$A:$A,'Mar 2026'!$D18,'2026 Time Off Request'!$L:$L,'Mar 2026'!P$6)</f>
        <v>0</v>
      </c>
      <c r="Q18" s="148">
        <f>COUNTIFS('2026 Time Off Request'!$A:$A,'Mar 2026'!$D18,'2026 Time Off Request'!$L:$L,'Mar 2026'!Q$6)</f>
        <v>0</v>
      </c>
      <c r="R18" s="148">
        <f>COUNTIFS('2026 Time Off Request'!$A:$A,'Mar 2026'!$D18,'2026 Time Off Request'!$L:$L,'Mar 2026'!R$6)</f>
        <v>0</v>
      </c>
      <c r="S18" s="147">
        <f>COUNTIFS('2026 Time Off Request'!$A:$A,'Mar 2026'!$D18,'2026 Time Off Request'!$L:$L,'Mar 2026'!S$6)</f>
        <v>0</v>
      </c>
      <c r="T18" s="147">
        <f>COUNTIFS('2026 Time Off Request'!$A:$A,'Mar 2026'!$D18,'2026 Time Off Request'!$L:$L,'Mar 2026'!T$6)</f>
        <v>0</v>
      </c>
      <c r="U18" s="148">
        <f>COUNTIFS('2026 Time Off Request'!$A:$A,'Mar 2026'!$D18,'2026 Time Off Request'!$L:$L,'Mar 2026'!U$6)</f>
        <v>0</v>
      </c>
      <c r="V18" s="148">
        <f>COUNTIFS('2026 Time Off Request'!$A:$A,'Mar 2026'!$D18,'2026 Time Off Request'!$L:$L,'Mar 2026'!V$6)</f>
        <v>0</v>
      </c>
      <c r="W18" s="148">
        <f>COUNTIFS('2026 Time Off Request'!$A:$A,'Mar 2026'!$D18,'2026 Time Off Request'!$L:$L,'Mar 2026'!W$6)</f>
        <v>0</v>
      </c>
      <c r="X18" s="148">
        <f>COUNTIFS('2026 Time Off Request'!$A:$A,'Mar 2026'!$D18,'2026 Time Off Request'!$L:$L,'Mar 2026'!X$6)</f>
        <v>0</v>
      </c>
      <c r="Y18" s="148">
        <f>COUNTIFS('2026 Time Off Request'!$A:$A,'Mar 2026'!$D18,'2026 Time Off Request'!$L:$L,'Mar 2026'!Y$6)</f>
        <v>0</v>
      </c>
      <c r="Z18" s="147">
        <f>COUNTIFS('2026 Time Off Request'!$A:$A,'Mar 2026'!$D18,'2026 Time Off Request'!$L:$L,'Mar 2026'!Z$6)</f>
        <v>0</v>
      </c>
      <c r="AA18" s="147">
        <f>COUNTIFS('2026 Time Off Request'!$A:$A,'Mar 2026'!$D18,'2026 Time Off Request'!$L:$L,'Mar 2026'!AA$6)</f>
        <v>0</v>
      </c>
      <c r="AB18" s="148">
        <f>COUNTIFS('2026 Time Off Request'!$A:$A,'Mar 2026'!$D18,'2026 Time Off Request'!$L:$L,'Mar 2026'!AB$6)</f>
        <v>0</v>
      </c>
      <c r="AC18" s="148">
        <f>COUNTIFS('2026 Time Off Request'!$A:$A,'Mar 2026'!$D18,'2026 Time Off Request'!$L:$L,'Mar 2026'!AC$6)</f>
        <v>0</v>
      </c>
      <c r="AD18" s="148">
        <f>COUNTIFS('2026 Time Off Request'!$A:$A,'Mar 2026'!$D18,'2026 Time Off Request'!$L:$L,'Mar 2026'!AD$6)</f>
        <v>0</v>
      </c>
      <c r="AE18" s="148">
        <f>COUNTIFS('2026 Time Off Request'!$A:$A,'Mar 2026'!$D18,'2026 Time Off Request'!$L:$L,'Mar 2026'!AE$6)</f>
        <v>0</v>
      </c>
      <c r="AF18" s="148">
        <f>COUNTIFS('2026 Time Off Request'!$A:$A,'Mar 2026'!$D18,'2026 Time Off Request'!$L:$L,'Mar 2026'!AF$6)</f>
        <v>1</v>
      </c>
      <c r="AG18" s="147">
        <f>COUNTIFS('2026 Time Off Request'!$A:$A,'Mar 2026'!$D18,'2026 Time Off Request'!$L:$L,'Mar 2026'!AG$6)</f>
        <v>0</v>
      </c>
      <c r="AH18" s="147">
        <f>COUNTIFS('2026 Time Off Request'!$A:$A,'Mar 2026'!$D18,'2026 Time Off Request'!$L:$L,'Mar 2026'!AH$6)</f>
        <v>0</v>
      </c>
      <c r="AI18" s="148">
        <f>COUNTIFS('2026 Time Off Request'!$A:$A,'Mar 2026'!$D18,'2026 Time Off Request'!$L:$L,'Mar 2026'!AI$6)</f>
        <v>0</v>
      </c>
      <c r="AJ18" s="148">
        <f>COUNTIFS('2026 Time Off Request'!$A:$A,'Mar 2026'!$D18,'2026 Time Off Request'!$L:$L,'Mar 2026'!AJ$6)</f>
        <v>0</v>
      </c>
    </row>
    <row r="19" spans="1:36" ht="15.75">
      <c r="A19" s="2">
        <v>13</v>
      </c>
      <c r="B19" s="209" t="s">
        <v>36</v>
      </c>
      <c r="C19" s="210" t="s">
        <v>37</v>
      </c>
      <c r="D19" s="215" t="s">
        <v>44</v>
      </c>
      <c r="E19" s="212">
        <f t="shared" si="0"/>
        <v>0</v>
      </c>
      <c r="F19" s="213">
        <f>COUNTIFS('2026 Time Off Request'!$A:$A,'Mar 2026'!$D19,'2026 Time Off Request'!$L:$L,'Mar 2026'!F$6)</f>
        <v>0</v>
      </c>
      <c r="G19" s="148">
        <f>COUNTIFS('2026 Time Off Request'!$A:$A,'Mar 2026'!$D19,'2026 Time Off Request'!$L:$L,'Mar 2026'!G$6)</f>
        <v>0</v>
      </c>
      <c r="H19" s="148">
        <f>COUNTIFS('2026 Time Off Request'!$A:$A,'Mar 2026'!$D19,'2026 Time Off Request'!$L:$L,'Mar 2026'!H$6)</f>
        <v>0</v>
      </c>
      <c r="I19" s="148">
        <f>COUNTIFS('2026 Time Off Request'!$A:$A,'Mar 2026'!$D19,'2026 Time Off Request'!$L:$L,'Mar 2026'!I$6)</f>
        <v>0</v>
      </c>
      <c r="J19" s="148">
        <f>COUNTIFS('2026 Time Off Request'!$A:$A,'Mar 2026'!$D19,'2026 Time Off Request'!$L:$L,'Mar 2026'!J$6)</f>
        <v>0</v>
      </c>
      <c r="K19" s="148">
        <f>COUNTIFS('2026 Time Off Request'!$A:$A,'Mar 2026'!$D19,'2026 Time Off Request'!$L:$L,'Mar 2026'!K$6)</f>
        <v>0</v>
      </c>
      <c r="L19" s="147">
        <f>COUNTIFS('2026 Time Off Request'!$A:$A,'Mar 2026'!$D19,'2026 Time Off Request'!$L:$L,'Mar 2026'!L$6)</f>
        <v>0</v>
      </c>
      <c r="M19" s="147">
        <f>COUNTIFS('2026 Time Off Request'!$A:$A,'Mar 2026'!$D19,'2026 Time Off Request'!$L:$L,'Mar 2026'!M$6)</f>
        <v>0</v>
      </c>
      <c r="N19" s="148">
        <f>COUNTIFS('2026 Time Off Request'!$A:$A,'Mar 2026'!$D19,'2026 Time Off Request'!$L:$L,'Mar 2026'!N$6)</f>
        <v>0</v>
      </c>
      <c r="O19" s="148">
        <f>COUNTIFS('2026 Time Off Request'!$A:$A,'Mar 2026'!$D19,'2026 Time Off Request'!$L:$L,'Mar 2026'!O$6)</f>
        <v>0</v>
      </c>
      <c r="P19" s="148">
        <f>COUNTIFS('2026 Time Off Request'!$A:$A,'Mar 2026'!$D19,'2026 Time Off Request'!$L:$L,'Mar 2026'!P$6)</f>
        <v>0</v>
      </c>
      <c r="Q19" s="148">
        <f>COUNTIFS('2026 Time Off Request'!$A:$A,'Mar 2026'!$D19,'2026 Time Off Request'!$L:$L,'Mar 2026'!Q$6)</f>
        <v>0</v>
      </c>
      <c r="R19" s="148">
        <f>COUNTIFS('2026 Time Off Request'!$A:$A,'Mar 2026'!$D19,'2026 Time Off Request'!$L:$L,'Mar 2026'!R$6)</f>
        <v>0</v>
      </c>
      <c r="S19" s="147">
        <f>COUNTIFS('2026 Time Off Request'!$A:$A,'Mar 2026'!$D19,'2026 Time Off Request'!$L:$L,'Mar 2026'!S$6)</f>
        <v>0</v>
      </c>
      <c r="T19" s="147">
        <f>COUNTIFS('2026 Time Off Request'!$A:$A,'Mar 2026'!$D19,'2026 Time Off Request'!$L:$L,'Mar 2026'!T$6)</f>
        <v>0</v>
      </c>
      <c r="U19" s="148">
        <f>COUNTIFS('2026 Time Off Request'!$A:$A,'Mar 2026'!$D19,'2026 Time Off Request'!$L:$L,'Mar 2026'!U$6)</f>
        <v>0</v>
      </c>
      <c r="V19" s="148">
        <f>COUNTIFS('2026 Time Off Request'!$A:$A,'Mar 2026'!$D19,'2026 Time Off Request'!$L:$L,'Mar 2026'!V$6)</f>
        <v>0</v>
      </c>
      <c r="W19" s="148">
        <f>COUNTIFS('2026 Time Off Request'!$A:$A,'Mar 2026'!$D19,'2026 Time Off Request'!$L:$L,'Mar 2026'!W$6)</f>
        <v>0</v>
      </c>
      <c r="X19" s="148">
        <f>COUNTIFS('2026 Time Off Request'!$A:$A,'Mar 2026'!$D19,'2026 Time Off Request'!$L:$L,'Mar 2026'!X$6)</f>
        <v>0</v>
      </c>
      <c r="Y19" s="148">
        <f>COUNTIFS('2026 Time Off Request'!$A:$A,'Mar 2026'!$D19,'2026 Time Off Request'!$L:$L,'Mar 2026'!Y$6)</f>
        <v>0</v>
      </c>
      <c r="Z19" s="147">
        <f>COUNTIFS('2026 Time Off Request'!$A:$A,'Mar 2026'!$D19,'2026 Time Off Request'!$L:$L,'Mar 2026'!Z$6)</f>
        <v>0</v>
      </c>
      <c r="AA19" s="147">
        <f>COUNTIFS('2026 Time Off Request'!$A:$A,'Mar 2026'!$D19,'2026 Time Off Request'!$L:$L,'Mar 2026'!AA$6)</f>
        <v>0</v>
      </c>
      <c r="AB19" s="148">
        <f>COUNTIFS('2026 Time Off Request'!$A:$A,'Mar 2026'!$D19,'2026 Time Off Request'!$L:$L,'Mar 2026'!AB$6)</f>
        <v>0</v>
      </c>
      <c r="AC19" s="148">
        <f>COUNTIFS('2026 Time Off Request'!$A:$A,'Mar 2026'!$D19,'2026 Time Off Request'!$L:$L,'Mar 2026'!AC$6)</f>
        <v>0</v>
      </c>
      <c r="AD19" s="148">
        <f>COUNTIFS('2026 Time Off Request'!$A:$A,'Mar 2026'!$D19,'2026 Time Off Request'!$L:$L,'Mar 2026'!AD$6)</f>
        <v>0</v>
      </c>
      <c r="AE19" s="148">
        <f>COUNTIFS('2026 Time Off Request'!$A:$A,'Mar 2026'!$D19,'2026 Time Off Request'!$L:$L,'Mar 2026'!AE$6)</f>
        <v>0</v>
      </c>
      <c r="AF19" s="148">
        <f>COUNTIFS('2026 Time Off Request'!$A:$A,'Mar 2026'!$D19,'2026 Time Off Request'!$L:$L,'Mar 2026'!AF$6)</f>
        <v>0</v>
      </c>
      <c r="AG19" s="147">
        <f>COUNTIFS('2026 Time Off Request'!$A:$A,'Mar 2026'!$D19,'2026 Time Off Request'!$L:$L,'Mar 2026'!AG$6)</f>
        <v>0</v>
      </c>
      <c r="AH19" s="147">
        <f>COUNTIFS('2026 Time Off Request'!$A:$A,'Mar 2026'!$D19,'2026 Time Off Request'!$L:$L,'Mar 2026'!AH$6)</f>
        <v>0</v>
      </c>
      <c r="AI19" s="148">
        <f>COUNTIFS('2026 Time Off Request'!$A:$A,'Mar 2026'!$D19,'2026 Time Off Request'!$L:$L,'Mar 2026'!AI$6)</f>
        <v>0</v>
      </c>
      <c r="AJ19" s="148">
        <f>COUNTIFS('2026 Time Off Request'!$A:$A,'Mar 2026'!$D19,'2026 Time Off Request'!$L:$L,'Mar 2026'!AJ$6)</f>
        <v>0</v>
      </c>
    </row>
    <row r="20" spans="1:36" ht="15.75">
      <c r="A20" s="2">
        <v>14</v>
      </c>
      <c r="B20" s="209" t="s">
        <v>45</v>
      </c>
      <c r="C20" s="210" t="s">
        <v>37</v>
      </c>
      <c r="D20" s="215" t="s">
        <v>46</v>
      </c>
      <c r="E20" s="212">
        <f t="shared" si="0"/>
        <v>0</v>
      </c>
      <c r="F20" s="213">
        <f>COUNTIFS('2026 Time Off Request'!$A:$A,'Mar 2026'!$D20,'2026 Time Off Request'!$L:$L,'Mar 2026'!F$6)</f>
        <v>0</v>
      </c>
      <c r="G20" s="148">
        <f>COUNTIFS('2026 Time Off Request'!$A:$A,'Mar 2026'!$D20,'2026 Time Off Request'!$L:$L,'Mar 2026'!G$6)</f>
        <v>0</v>
      </c>
      <c r="H20" s="148">
        <f>COUNTIFS('2026 Time Off Request'!$A:$A,'Mar 2026'!$D20,'2026 Time Off Request'!$L:$L,'Mar 2026'!H$6)</f>
        <v>0</v>
      </c>
      <c r="I20" s="148">
        <f>COUNTIFS('2026 Time Off Request'!$A:$A,'Mar 2026'!$D20,'2026 Time Off Request'!$L:$L,'Mar 2026'!I$6)</f>
        <v>0</v>
      </c>
      <c r="J20" s="148">
        <f>COUNTIFS('2026 Time Off Request'!$A:$A,'Mar 2026'!$D20,'2026 Time Off Request'!$L:$L,'Mar 2026'!J$6)</f>
        <v>0</v>
      </c>
      <c r="K20" s="148">
        <f>COUNTIFS('2026 Time Off Request'!$A:$A,'Mar 2026'!$D20,'2026 Time Off Request'!$L:$L,'Mar 2026'!K$6)</f>
        <v>0</v>
      </c>
      <c r="L20" s="147">
        <f>COUNTIFS('2026 Time Off Request'!$A:$A,'Mar 2026'!$D20,'2026 Time Off Request'!$L:$L,'Mar 2026'!L$6)</f>
        <v>0</v>
      </c>
      <c r="M20" s="147">
        <f>COUNTIFS('2026 Time Off Request'!$A:$A,'Mar 2026'!$D20,'2026 Time Off Request'!$L:$L,'Mar 2026'!M$6)</f>
        <v>0</v>
      </c>
      <c r="N20" s="148">
        <f>COUNTIFS('2026 Time Off Request'!$A:$A,'Mar 2026'!$D20,'2026 Time Off Request'!$L:$L,'Mar 2026'!N$6)</f>
        <v>0</v>
      </c>
      <c r="O20" s="148">
        <f>COUNTIFS('2026 Time Off Request'!$A:$A,'Mar 2026'!$D20,'2026 Time Off Request'!$L:$L,'Mar 2026'!O$6)</f>
        <v>0</v>
      </c>
      <c r="P20" s="148">
        <f>COUNTIFS('2026 Time Off Request'!$A:$A,'Mar 2026'!$D20,'2026 Time Off Request'!$L:$L,'Mar 2026'!P$6)</f>
        <v>0</v>
      </c>
      <c r="Q20" s="148">
        <f>COUNTIFS('2026 Time Off Request'!$A:$A,'Mar 2026'!$D20,'2026 Time Off Request'!$L:$L,'Mar 2026'!Q$6)</f>
        <v>0</v>
      </c>
      <c r="R20" s="148">
        <f>COUNTIFS('2026 Time Off Request'!$A:$A,'Mar 2026'!$D20,'2026 Time Off Request'!$L:$L,'Mar 2026'!R$6)</f>
        <v>0</v>
      </c>
      <c r="S20" s="147">
        <f>COUNTIFS('2026 Time Off Request'!$A:$A,'Mar 2026'!$D20,'2026 Time Off Request'!$L:$L,'Mar 2026'!S$6)</f>
        <v>0</v>
      </c>
      <c r="T20" s="147">
        <f>COUNTIFS('2026 Time Off Request'!$A:$A,'Mar 2026'!$D20,'2026 Time Off Request'!$L:$L,'Mar 2026'!T$6)</f>
        <v>0</v>
      </c>
      <c r="U20" s="148">
        <f>COUNTIFS('2026 Time Off Request'!$A:$A,'Mar 2026'!$D20,'2026 Time Off Request'!$L:$L,'Mar 2026'!U$6)</f>
        <v>0</v>
      </c>
      <c r="V20" s="148">
        <f>COUNTIFS('2026 Time Off Request'!$A:$A,'Mar 2026'!$D20,'2026 Time Off Request'!$L:$L,'Mar 2026'!V$6)</f>
        <v>0</v>
      </c>
      <c r="W20" s="148">
        <f>COUNTIFS('2026 Time Off Request'!$A:$A,'Mar 2026'!$D20,'2026 Time Off Request'!$L:$L,'Mar 2026'!W$6)</f>
        <v>0</v>
      </c>
      <c r="X20" s="148">
        <f>COUNTIFS('2026 Time Off Request'!$A:$A,'Mar 2026'!$D20,'2026 Time Off Request'!$L:$L,'Mar 2026'!X$6)</f>
        <v>0</v>
      </c>
      <c r="Y20" s="148">
        <f>COUNTIFS('2026 Time Off Request'!$A:$A,'Mar 2026'!$D20,'2026 Time Off Request'!$L:$L,'Mar 2026'!Y$6)</f>
        <v>0</v>
      </c>
      <c r="Z20" s="147">
        <f>COUNTIFS('2026 Time Off Request'!$A:$A,'Mar 2026'!$D20,'2026 Time Off Request'!$L:$L,'Mar 2026'!Z$6)</f>
        <v>0</v>
      </c>
      <c r="AA20" s="147">
        <f>COUNTIFS('2026 Time Off Request'!$A:$A,'Mar 2026'!$D20,'2026 Time Off Request'!$L:$L,'Mar 2026'!AA$6)</f>
        <v>0</v>
      </c>
      <c r="AB20" s="148">
        <f>COUNTIFS('2026 Time Off Request'!$A:$A,'Mar 2026'!$D20,'2026 Time Off Request'!$L:$L,'Mar 2026'!AB$6)</f>
        <v>0</v>
      </c>
      <c r="AC20" s="148">
        <f>COUNTIFS('2026 Time Off Request'!$A:$A,'Mar 2026'!$D20,'2026 Time Off Request'!$L:$L,'Mar 2026'!AC$6)</f>
        <v>0</v>
      </c>
      <c r="AD20" s="148">
        <f>COUNTIFS('2026 Time Off Request'!$A:$A,'Mar 2026'!$D20,'2026 Time Off Request'!$L:$L,'Mar 2026'!AD$6)</f>
        <v>0</v>
      </c>
      <c r="AE20" s="148">
        <f>COUNTIFS('2026 Time Off Request'!$A:$A,'Mar 2026'!$D20,'2026 Time Off Request'!$L:$L,'Mar 2026'!AE$6)</f>
        <v>0</v>
      </c>
      <c r="AF20" s="148">
        <f>COUNTIFS('2026 Time Off Request'!$A:$A,'Mar 2026'!$D20,'2026 Time Off Request'!$L:$L,'Mar 2026'!AF$6)</f>
        <v>0</v>
      </c>
      <c r="AG20" s="147">
        <f>COUNTIFS('2026 Time Off Request'!$A:$A,'Mar 2026'!$D20,'2026 Time Off Request'!$L:$L,'Mar 2026'!AG$6)</f>
        <v>0</v>
      </c>
      <c r="AH20" s="147">
        <f>COUNTIFS('2026 Time Off Request'!$A:$A,'Mar 2026'!$D20,'2026 Time Off Request'!$L:$L,'Mar 2026'!AH$6)</f>
        <v>0</v>
      </c>
      <c r="AI20" s="148">
        <f>COUNTIFS('2026 Time Off Request'!$A:$A,'Mar 2026'!$D20,'2026 Time Off Request'!$L:$L,'Mar 2026'!AI$6)</f>
        <v>0</v>
      </c>
      <c r="AJ20" s="148">
        <f>COUNTIFS('2026 Time Off Request'!$A:$A,'Mar 2026'!$D20,'2026 Time Off Request'!$L:$L,'Mar 2026'!AJ$6)</f>
        <v>0</v>
      </c>
    </row>
    <row r="21" spans="1:36" ht="15.75">
      <c r="A21" s="2">
        <v>15</v>
      </c>
      <c r="B21" s="209" t="s">
        <v>45</v>
      </c>
      <c r="C21" s="210" t="s">
        <v>47</v>
      </c>
      <c r="D21" s="215" t="s">
        <v>48</v>
      </c>
      <c r="E21" s="212">
        <f t="shared" si="0"/>
        <v>1</v>
      </c>
      <c r="F21" s="213">
        <f>COUNTIFS('2026 Time Off Request'!$A:$A,'Mar 2026'!$D21,'2026 Time Off Request'!$L:$L,'Mar 2026'!F$6)</f>
        <v>0</v>
      </c>
      <c r="G21" s="148">
        <f>COUNTIFS('2026 Time Off Request'!$A:$A,'Mar 2026'!$D21,'2026 Time Off Request'!$L:$L,'Mar 2026'!G$6)</f>
        <v>0</v>
      </c>
      <c r="H21" s="148">
        <f>COUNTIFS('2026 Time Off Request'!$A:$A,'Mar 2026'!$D21,'2026 Time Off Request'!$L:$L,'Mar 2026'!H$6)</f>
        <v>0</v>
      </c>
      <c r="I21" s="148">
        <f>COUNTIFS('2026 Time Off Request'!$A:$A,'Mar 2026'!$D21,'2026 Time Off Request'!$L:$L,'Mar 2026'!I$6)</f>
        <v>0</v>
      </c>
      <c r="J21" s="148">
        <f>COUNTIFS('2026 Time Off Request'!$A:$A,'Mar 2026'!$D21,'2026 Time Off Request'!$L:$L,'Mar 2026'!J$6)</f>
        <v>0</v>
      </c>
      <c r="K21" s="148">
        <f>COUNTIFS('2026 Time Off Request'!$A:$A,'Mar 2026'!$D21,'2026 Time Off Request'!$L:$L,'Mar 2026'!K$6)</f>
        <v>1</v>
      </c>
      <c r="L21" s="147">
        <f>COUNTIFS('2026 Time Off Request'!$A:$A,'Mar 2026'!$D21,'2026 Time Off Request'!$L:$L,'Mar 2026'!L$6)</f>
        <v>0</v>
      </c>
      <c r="M21" s="147">
        <f>COUNTIFS('2026 Time Off Request'!$A:$A,'Mar 2026'!$D21,'2026 Time Off Request'!$L:$L,'Mar 2026'!M$6)</f>
        <v>0</v>
      </c>
      <c r="N21" s="148">
        <f>COUNTIFS('2026 Time Off Request'!$A:$A,'Mar 2026'!$D21,'2026 Time Off Request'!$L:$L,'Mar 2026'!N$6)</f>
        <v>0</v>
      </c>
      <c r="O21" s="148">
        <f>COUNTIFS('2026 Time Off Request'!$A:$A,'Mar 2026'!$D21,'2026 Time Off Request'!$L:$L,'Mar 2026'!O$6)</f>
        <v>0</v>
      </c>
      <c r="P21" s="148">
        <f>COUNTIFS('2026 Time Off Request'!$A:$A,'Mar 2026'!$D21,'2026 Time Off Request'!$L:$L,'Mar 2026'!P$6)</f>
        <v>0</v>
      </c>
      <c r="Q21" s="148">
        <f>COUNTIFS('2026 Time Off Request'!$A:$A,'Mar 2026'!$D21,'2026 Time Off Request'!$L:$L,'Mar 2026'!Q$6)</f>
        <v>0</v>
      </c>
      <c r="R21" s="148">
        <f>COUNTIFS('2026 Time Off Request'!$A:$A,'Mar 2026'!$D21,'2026 Time Off Request'!$L:$L,'Mar 2026'!R$6)</f>
        <v>0</v>
      </c>
      <c r="S21" s="147">
        <f>COUNTIFS('2026 Time Off Request'!$A:$A,'Mar 2026'!$D21,'2026 Time Off Request'!$L:$L,'Mar 2026'!S$6)</f>
        <v>0</v>
      </c>
      <c r="T21" s="147">
        <f>COUNTIFS('2026 Time Off Request'!$A:$A,'Mar 2026'!$D21,'2026 Time Off Request'!$L:$L,'Mar 2026'!T$6)</f>
        <v>0</v>
      </c>
      <c r="U21" s="148">
        <f>COUNTIFS('2026 Time Off Request'!$A:$A,'Mar 2026'!$D21,'2026 Time Off Request'!$L:$L,'Mar 2026'!U$6)</f>
        <v>0</v>
      </c>
      <c r="V21" s="148">
        <f>COUNTIFS('2026 Time Off Request'!$A:$A,'Mar 2026'!$D21,'2026 Time Off Request'!$L:$L,'Mar 2026'!V$6)</f>
        <v>0</v>
      </c>
      <c r="W21" s="148">
        <f>COUNTIFS('2026 Time Off Request'!$A:$A,'Mar 2026'!$D21,'2026 Time Off Request'!$L:$L,'Mar 2026'!W$6)</f>
        <v>0</v>
      </c>
      <c r="X21" s="148">
        <f>COUNTIFS('2026 Time Off Request'!$A:$A,'Mar 2026'!$D21,'2026 Time Off Request'!$L:$L,'Mar 2026'!X$6)</f>
        <v>0</v>
      </c>
      <c r="Y21" s="148">
        <f>COUNTIFS('2026 Time Off Request'!$A:$A,'Mar 2026'!$D21,'2026 Time Off Request'!$L:$L,'Mar 2026'!Y$6)</f>
        <v>0</v>
      </c>
      <c r="Z21" s="147">
        <f>COUNTIFS('2026 Time Off Request'!$A:$A,'Mar 2026'!$D21,'2026 Time Off Request'!$L:$L,'Mar 2026'!Z$6)</f>
        <v>0</v>
      </c>
      <c r="AA21" s="147">
        <f>COUNTIFS('2026 Time Off Request'!$A:$A,'Mar 2026'!$D21,'2026 Time Off Request'!$L:$L,'Mar 2026'!AA$6)</f>
        <v>0</v>
      </c>
      <c r="AB21" s="148">
        <f>COUNTIFS('2026 Time Off Request'!$A:$A,'Mar 2026'!$D21,'2026 Time Off Request'!$L:$L,'Mar 2026'!AB$6)</f>
        <v>0</v>
      </c>
      <c r="AC21" s="148">
        <f>COUNTIFS('2026 Time Off Request'!$A:$A,'Mar 2026'!$D21,'2026 Time Off Request'!$L:$L,'Mar 2026'!AC$6)</f>
        <v>0</v>
      </c>
      <c r="AD21" s="148">
        <f>COUNTIFS('2026 Time Off Request'!$A:$A,'Mar 2026'!$D21,'2026 Time Off Request'!$L:$L,'Mar 2026'!AD$6)</f>
        <v>0</v>
      </c>
      <c r="AE21" s="148">
        <f>COUNTIFS('2026 Time Off Request'!$A:$A,'Mar 2026'!$D21,'2026 Time Off Request'!$L:$L,'Mar 2026'!AE$6)</f>
        <v>0</v>
      </c>
      <c r="AF21" s="148">
        <f>COUNTIFS('2026 Time Off Request'!$A:$A,'Mar 2026'!$D21,'2026 Time Off Request'!$L:$L,'Mar 2026'!AF$6)</f>
        <v>0</v>
      </c>
      <c r="AG21" s="147">
        <f>COUNTIFS('2026 Time Off Request'!$A:$A,'Mar 2026'!$D21,'2026 Time Off Request'!$L:$L,'Mar 2026'!AG$6)</f>
        <v>0</v>
      </c>
      <c r="AH21" s="147">
        <f>COUNTIFS('2026 Time Off Request'!$A:$A,'Mar 2026'!$D21,'2026 Time Off Request'!$L:$L,'Mar 2026'!AH$6)</f>
        <v>0</v>
      </c>
      <c r="AI21" s="148">
        <f>COUNTIFS('2026 Time Off Request'!$A:$A,'Mar 2026'!$D21,'2026 Time Off Request'!$L:$L,'Mar 2026'!AI$6)</f>
        <v>0</v>
      </c>
      <c r="AJ21" s="148">
        <f>COUNTIFS('2026 Time Off Request'!$A:$A,'Mar 2026'!$D21,'2026 Time Off Request'!$L:$L,'Mar 2026'!AJ$6)</f>
        <v>0</v>
      </c>
    </row>
    <row r="22" spans="1:36" ht="15.75">
      <c r="A22" s="2">
        <v>16</v>
      </c>
      <c r="B22" s="209" t="s">
        <v>49</v>
      </c>
      <c r="C22" s="210" t="s">
        <v>50</v>
      </c>
      <c r="D22" s="215" t="s">
        <v>51</v>
      </c>
      <c r="E22" s="212">
        <f t="shared" si="0"/>
        <v>0</v>
      </c>
      <c r="F22" s="213">
        <f>COUNTIFS('2026 Time Off Request'!$A:$A,'Mar 2026'!$D22,'2026 Time Off Request'!$L:$L,'Mar 2026'!F$6)</f>
        <v>0</v>
      </c>
      <c r="G22" s="148">
        <f>COUNTIFS('2026 Time Off Request'!$A:$A,'Mar 2026'!$D22,'2026 Time Off Request'!$L:$L,'Mar 2026'!G$6)</f>
        <v>0</v>
      </c>
      <c r="H22" s="148">
        <f>COUNTIFS('2026 Time Off Request'!$A:$A,'Mar 2026'!$D22,'2026 Time Off Request'!$L:$L,'Mar 2026'!H$6)</f>
        <v>0</v>
      </c>
      <c r="I22" s="148">
        <f>COUNTIFS('2026 Time Off Request'!$A:$A,'Mar 2026'!$D22,'2026 Time Off Request'!$L:$L,'Mar 2026'!I$6)</f>
        <v>0</v>
      </c>
      <c r="J22" s="148">
        <f>COUNTIFS('2026 Time Off Request'!$A:$A,'Mar 2026'!$D22,'2026 Time Off Request'!$L:$L,'Mar 2026'!J$6)</f>
        <v>0</v>
      </c>
      <c r="K22" s="148">
        <f>COUNTIFS('2026 Time Off Request'!$A:$A,'Mar 2026'!$D22,'2026 Time Off Request'!$L:$L,'Mar 2026'!K$6)</f>
        <v>0</v>
      </c>
      <c r="L22" s="147">
        <f>COUNTIFS('2026 Time Off Request'!$A:$A,'Mar 2026'!$D22,'2026 Time Off Request'!$L:$L,'Mar 2026'!L$6)</f>
        <v>0</v>
      </c>
      <c r="M22" s="147">
        <f>COUNTIFS('2026 Time Off Request'!$A:$A,'Mar 2026'!$D22,'2026 Time Off Request'!$L:$L,'Mar 2026'!M$6)</f>
        <v>0</v>
      </c>
      <c r="N22" s="148">
        <f>COUNTIFS('2026 Time Off Request'!$A:$A,'Mar 2026'!$D22,'2026 Time Off Request'!$L:$L,'Mar 2026'!N$6)</f>
        <v>0</v>
      </c>
      <c r="O22" s="148">
        <f>COUNTIFS('2026 Time Off Request'!$A:$A,'Mar 2026'!$D22,'2026 Time Off Request'!$L:$L,'Mar 2026'!O$6)</f>
        <v>0</v>
      </c>
      <c r="P22" s="148">
        <f>COUNTIFS('2026 Time Off Request'!$A:$A,'Mar 2026'!$D22,'2026 Time Off Request'!$L:$L,'Mar 2026'!P$6)</f>
        <v>0</v>
      </c>
      <c r="Q22" s="148">
        <f>COUNTIFS('2026 Time Off Request'!$A:$A,'Mar 2026'!$D22,'2026 Time Off Request'!$L:$L,'Mar 2026'!Q$6)</f>
        <v>0</v>
      </c>
      <c r="R22" s="148">
        <f>COUNTIFS('2026 Time Off Request'!$A:$A,'Mar 2026'!$D22,'2026 Time Off Request'!$L:$L,'Mar 2026'!R$6)</f>
        <v>0</v>
      </c>
      <c r="S22" s="147">
        <f>COUNTIFS('2026 Time Off Request'!$A:$A,'Mar 2026'!$D22,'2026 Time Off Request'!$L:$L,'Mar 2026'!S$6)</f>
        <v>0</v>
      </c>
      <c r="T22" s="147">
        <f>COUNTIFS('2026 Time Off Request'!$A:$A,'Mar 2026'!$D22,'2026 Time Off Request'!$L:$L,'Mar 2026'!T$6)</f>
        <v>0</v>
      </c>
      <c r="U22" s="148">
        <f>COUNTIFS('2026 Time Off Request'!$A:$A,'Mar 2026'!$D22,'2026 Time Off Request'!$L:$L,'Mar 2026'!U$6)</f>
        <v>0</v>
      </c>
      <c r="V22" s="148">
        <f>COUNTIFS('2026 Time Off Request'!$A:$A,'Mar 2026'!$D22,'2026 Time Off Request'!$L:$L,'Mar 2026'!V$6)</f>
        <v>0</v>
      </c>
      <c r="W22" s="148">
        <f>COUNTIFS('2026 Time Off Request'!$A:$A,'Mar 2026'!$D22,'2026 Time Off Request'!$L:$L,'Mar 2026'!W$6)</f>
        <v>0</v>
      </c>
      <c r="X22" s="148">
        <f>COUNTIFS('2026 Time Off Request'!$A:$A,'Mar 2026'!$D22,'2026 Time Off Request'!$L:$L,'Mar 2026'!X$6)</f>
        <v>0</v>
      </c>
      <c r="Y22" s="148">
        <f>COUNTIFS('2026 Time Off Request'!$A:$A,'Mar 2026'!$D22,'2026 Time Off Request'!$L:$L,'Mar 2026'!Y$6)</f>
        <v>0</v>
      </c>
      <c r="Z22" s="147">
        <f>COUNTIFS('2026 Time Off Request'!$A:$A,'Mar 2026'!$D22,'2026 Time Off Request'!$L:$L,'Mar 2026'!Z$6)</f>
        <v>0</v>
      </c>
      <c r="AA22" s="147">
        <f>COUNTIFS('2026 Time Off Request'!$A:$A,'Mar 2026'!$D22,'2026 Time Off Request'!$L:$L,'Mar 2026'!AA$6)</f>
        <v>0</v>
      </c>
      <c r="AB22" s="148">
        <f>COUNTIFS('2026 Time Off Request'!$A:$A,'Mar 2026'!$D22,'2026 Time Off Request'!$L:$L,'Mar 2026'!AB$6)</f>
        <v>0</v>
      </c>
      <c r="AC22" s="148">
        <f>COUNTIFS('2026 Time Off Request'!$A:$A,'Mar 2026'!$D22,'2026 Time Off Request'!$L:$L,'Mar 2026'!AC$6)</f>
        <v>0</v>
      </c>
      <c r="AD22" s="148">
        <f>COUNTIFS('2026 Time Off Request'!$A:$A,'Mar 2026'!$D22,'2026 Time Off Request'!$L:$L,'Mar 2026'!AD$6)</f>
        <v>0</v>
      </c>
      <c r="AE22" s="148">
        <f>COUNTIFS('2026 Time Off Request'!$A:$A,'Mar 2026'!$D22,'2026 Time Off Request'!$L:$L,'Mar 2026'!AE$6)</f>
        <v>0</v>
      </c>
      <c r="AF22" s="148">
        <f>COUNTIFS('2026 Time Off Request'!$A:$A,'Mar 2026'!$D22,'2026 Time Off Request'!$L:$L,'Mar 2026'!AF$6)</f>
        <v>0</v>
      </c>
      <c r="AG22" s="147">
        <f>COUNTIFS('2026 Time Off Request'!$A:$A,'Mar 2026'!$D22,'2026 Time Off Request'!$L:$L,'Mar 2026'!AG$6)</f>
        <v>0</v>
      </c>
      <c r="AH22" s="147">
        <f>COUNTIFS('2026 Time Off Request'!$A:$A,'Mar 2026'!$D22,'2026 Time Off Request'!$L:$L,'Mar 2026'!AH$6)</f>
        <v>0</v>
      </c>
      <c r="AI22" s="148">
        <f>COUNTIFS('2026 Time Off Request'!$A:$A,'Mar 2026'!$D22,'2026 Time Off Request'!$L:$L,'Mar 2026'!AI$6)</f>
        <v>0</v>
      </c>
      <c r="AJ22" s="148">
        <f>COUNTIFS('2026 Time Off Request'!$A:$A,'Mar 2026'!$D22,'2026 Time Off Request'!$L:$L,'Mar 2026'!AJ$6)</f>
        <v>0</v>
      </c>
    </row>
    <row r="23" spans="1:36" ht="15.75">
      <c r="A23" s="2">
        <v>17</v>
      </c>
      <c r="B23" s="209" t="s">
        <v>45</v>
      </c>
      <c r="C23" s="210" t="s">
        <v>52</v>
      </c>
      <c r="D23" s="215" t="s">
        <v>53</v>
      </c>
      <c r="E23" s="212">
        <f t="shared" si="0"/>
        <v>0</v>
      </c>
      <c r="F23" s="213">
        <f>COUNTIFS('2026 Time Off Request'!$A:$A,'Mar 2026'!$D23,'2026 Time Off Request'!$L:$L,'Mar 2026'!F$6)</f>
        <v>0</v>
      </c>
      <c r="G23" s="148">
        <f>COUNTIFS('2026 Time Off Request'!$A:$A,'Mar 2026'!$D23,'2026 Time Off Request'!$L:$L,'Mar 2026'!G$6)</f>
        <v>0</v>
      </c>
      <c r="H23" s="148">
        <f>COUNTIFS('2026 Time Off Request'!$A:$A,'Mar 2026'!$D23,'2026 Time Off Request'!$L:$L,'Mar 2026'!H$6)</f>
        <v>0</v>
      </c>
      <c r="I23" s="148">
        <f>COUNTIFS('2026 Time Off Request'!$A:$A,'Mar 2026'!$D23,'2026 Time Off Request'!$L:$L,'Mar 2026'!I$6)</f>
        <v>0</v>
      </c>
      <c r="J23" s="148">
        <f>COUNTIFS('2026 Time Off Request'!$A:$A,'Mar 2026'!$D23,'2026 Time Off Request'!$L:$L,'Mar 2026'!J$6)</f>
        <v>0</v>
      </c>
      <c r="K23" s="148">
        <f>COUNTIFS('2026 Time Off Request'!$A:$A,'Mar 2026'!$D23,'2026 Time Off Request'!$L:$L,'Mar 2026'!K$6)</f>
        <v>0</v>
      </c>
      <c r="L23" s="147">
        <f>COUNTIFS('2026 Time Off Request'!$A:$A,'Mar 2026'!$D23,'2026 Time Off Request'!$L:$L,'Mar 2026'!L$6)</f>
        <v>0</v>
      </c>
      <c r="M23" s="147">
        <f>COUNTIFS('2026 Time Off Request'!$A:$A,'Mar 2026'!$D23,'2026 Time Off Request'!$L:$L,'Mar 2026'!M$6)</f>
        <v>0</v>
      </c>
      <c r="N23" s="148">
        <f>COUNTIFS('2026 Time Off Request'!$A:$A,'Mar 2026'!$D23,'2026 Time Off Request'!$L:$L,'Mar 2026'!N$6)</f>
        <v>0</v>
      </c>
      <c r="O23" s="148">
        <f>COUNTIFS('2026 Time Off Request'!$A:$A,'Mar 2026'!$D23,'2026 Time Off Request'!$L:$L,'Mar 2026'!O$6)</f>
        <v>0</v>
      </c>
      <c r="P23" s="148">
        <f>COUNTIFS('2026 Time Off Request'!$A:$A,'Mar 2026'!$D23,'2026 Time Off Request'!$L:$L,'Mar 2026'!P$6)</f>
        <v>0</v>
      </c>
      <c r="Q23" s="148">
        <f>COUNTIFS('2026 Time Off Request'!$A:$A,'Mar 2026'!$D23,'2026 Time Off Request'!$L:$L,'Mar 2026'!Q$6)</f>
        <v>0</v>
      </c>
      <c r="R23" s="148">
        <f>COUNTIFS('2026 Time Off Request'!$A:$A,'Mar 2026'!$D23,'2026 Time Off Request'!$L:$L,'Mar 2026'!R$6)</f>
        <v>0</v>
      </c>
      <c r="S23" s="147">
        <f>COUNTIFS('2026 Time Off Request'!$A:$A,'Mar 2026'!$D23,'2026 Time Off Request'!$L:$L,'Mar 2026'!S$6)</f>
        <v>0</v>
      </c>
      <c r="T23" s="147">
        <f>COUNTIFS('2026 Time Off Request'!$A:$A,'Mar 2026'!$D23,'2026 Time Off Request'!$L:$L,'Mar 2026'!T$6)</f>
        <v>0</v>
      </c>
      <c r="U23" s="148">
        <f>COUNTIFS('2026 Time Off Request'!$A:$A,'Mar 2026'!$D23,'2026 Time Off Request'!$L:$L,'Mar 2026'!U$6)</f>
        <v>0</v>
      </c>
      <c r="V23" s="148">
        <f>COUNTIFS('2026 Time Off Request'!$A:$A,'Mar 2026'!$D23,'2026 Time Off Request'!$L:$L,'Mar 2026'!V$6)</f>
        <v>0</v>
      </c>
      <c r="W23" s="148">
        <f>COUNTIFS('2026 Time Off Request'!$A:$A,'Mar 2026'!$D23,'2026 Time Off Request'!$L:$L,'Mar 2026'!W$6)</f>
        <v>0</v>
      </c>
      <c r="X23" s="148">
        <f>COUNTIFS('2026 Time Off Request'!$A:$A,'Mar 2026'!$D23,'2026 Time Off Request'!$L:$L,'Mar 2026'!X$6)</f>
        <v>0</v>
      </c>
      <c r="Y23" s="148">
        <f>COUNTIFS('2026 Time Off Request'!$A:$A,'Mar 2026'!$D23,'2026 Time Off Request'!$L:$L,'Mar 2026'!Y$6)</f>
        <v>0</v>
      </c>
      <c r="Z23" s="147">
        <f>COUNTIFS('2026 Time Off Request'!$A:$A,'Mar 2026'!$D23,'2026 Time Off Request'!$L:$L,'Mar 2026'!Z$6)</f>
        <v>0</v>
      </c>
      <c r="AA23" s="147">
        <f>COUNTIFS('2026 Time Off Request'!$A:$A,'Mar 2026'!$D23,'2026 Time Off Request'!$L:$L,'Mar 2026'!AA$6)</f>
        <v>0</v>
      </c>
      <c r="AB23" s="148">
        <f>COUNTIFS('2026 Time Off Request'!$A:$A,'Mar 2026'!$D23,'2026 Time Off Request'!$L:$L,'Mar 2026'!AB$6)</f>
        <v>0</v>
      </c>
      <c r="AC23" s="148">
        <f>COUNTIFS('2026 Time Off Request'!$A:$A,'Mar 2026'!$D23,'2026 Time Off Request'!$L:$L,'Mar 2026'!AC$6)</f>
        <v>0</v>
      </c>
      <c r="AD23" s="148">
        <f>COUNTIFS('2026 Time Off Request'!$A:$A,'Mar 2026'!$D23,'2026 Time Off Request'!$L:$L,'Mar 2026'!AD$6)</f>
        <v>0</v>
      </c>
      <c r="AE23" s="148">
        <f>COUNTIFS('2026 Time Off Request'!$A:$A,'Mar 2026'!$D23,'2026 Time Off Request'!$L:$L,'Mar 2026'!AE$6)</f>
        <v>0</v>
      </c>
      <c r="AF23" s="148">
        <f>COUNTIFS('2026 Time Off Request'!$A:$A,'Mar 2026'!$D23,'2026 Time Off Request'!$L:$L,'Mar 2026'!AF$6)</f>
        <v>0</v>
      </c>
      <c r="AG23" s="147">
        <f>COUNTIFS('2026 Time Off Request'!$A:$A,'Mar 2026'!$D23,'2026 Time Off Request'!$L:$L,'Mar 2026'!AG$6)</f>
        <v>0</v>
      </c>
      <c r="AH23" s="147">
        <f>COUNTIFS('2026 Time Off Request'!$A:$A,'Mar 2026'!$D23,'2026 Time Off Request'!$L:$L,'Mar 2026'!AH$6)</f>
        <v>0</v>
      </c>
      <c r="AI23" s="148">
        <f>COUNTIFS('2026 Time Off Request'!$A:$A,'Mar 2026'!$D23,'2026 Time Off Request'!$L:$L,'Mar 2026'!AI$6)</f>
        <v>0</v>
      </c>
      <c r="AJ23" s="148">
        <f>COUNTIFS('2026 Time Off Request'!$A:$A,'Mar 2026'!$D23,'2026 Time Off Request'!$L:$L,'Mar 2026'!AJ$6)</f>
        <v>0</v>
      </c>
    </row>
    <row r="24" spans="1:36" ht="15.75">
      <c r="A24" s="2"/>
      <c r="B24" s="209" t="s">
        <v>45</v>
      </c>
      <c r="C24" s="210" t="s">
        <v>52</v>
      </c>
      <c r="D24" s="215" t="s">
        <v>54</v>
      </c>
      <c r="E24" s="212">
        <f t="shared" ref="E24:E29" si="1">SUM(F24:AJ24)</f>
        <v>0</v>
      </c>
      <c r="F24" s="213">
        <f>COUNTIFS('2026 Time Off Request'!$A:$A,'Mar 2026'!$D24,'2026 Time Off Request'!$L:$L,'Mar 2026'!F$6)</f>
        <v>0</v>
      </c>
      <c r="G24" s="148">
        <f>COUNTIFS('2026 Time Off Request'!$A:$A,'Mar 2026'!$D24,'2026 Time Off Request'!$L:$L,'Mar 2026'!G$6)</f>
        <v>0</v>
      </c>
      <c r="H24" s="148">
        <f>COUNTIFS('2026 Time Off Request'!$A:$A,'Mar 2026'!$D24,'2026 Time Off Request'!$L:$L,'Mar 2026'!H$6)</f>
        <v>0</v>
      </c>
      <c r="I24" s="148">
        <f>COUNTIFS('2026 Time Off Request'!$A:$A,'Mar 2026'!$D24,'2026 Time Off Request'!$L:$L,'Mar 2026'!I$6)</f>
        <v>0</v>
      </c>
      <c r="J24" s="148">
        <f>COUNTIFS('2026 Time Off Request'!$A:$A,'Mar 2026'!$D24,'2026 Time Off Request'!$L:$L,'Mar 2026'!J$6)</f>
        <v>0</v>
      </c>
      <c r="K24" s="148">
        <f>COUNTIFS('2026 Time Off Request'!$A:$A,'Mar 2026'!$D24,'2026 Time Off Request'!$L:$L,'Mar 2026'!K$6)</f>
        <v>0</v>
      </c>
      <c r="L24" s="147">
        <f>COUNTIFS('2026 Time Off Request'!$A:$A,'Mar 2026'!$D24,'2026 Time Off Request'!$L:$L,'Mar 2026'!L$6)</f>
        <v>0</v>
      </c>
      <c r="M24" s="147">
        <f>COUNTIFS('2026 Time Off Request'!$A:$A,'Mar 2026'!$D24,'2026 Time Off Request'!$L:$L,'Mar 2026'!M$6)</f>
        <v>0</v>
      </c>
      <c r="N24" s="148">
        <f>COUNTIFS('2026 Time Off Request'!$A:$A,'Mar 2026'!$D24,'2026 Time Off Request'!$L:$L,'Mar 2026'!N$6)</f>
        <v>0</v>
      </c>
      <c r="O24" s="148">
        <f>COUNTIFS('2026 Time Off Request'!$A:$A,'Mar 2026'!$D24,'2026 Time Off Request'!$L:$L,'Mar 2026'!O$6)</f>
        <v>0</v>
      </c>
      <c r="P24" s="148">
        <f>COUNTIFS('2026 Time Off Request'!$A:$A,'Mar 2026'!$D24,'2026 Time Off Request'!$L:$L,'Mar 2026'!P$6)</f>
        <v>0</v>
      </c>
      <c r="Q24" s="148">
        <f>COUNTIFS('2026 Time Off Request'!$A:$A,'Mar 2026'!$D24,'2026 Time Off Request'!$L:$L,'Mar 2026'!Q$6)</f>
        <v>0</v>
      </c>
      <c r="R24" s="148">
        <f>COUNTIFS('2026 Time Off Request'!$A:$A,'Mar 2026'!$D24,'2026 Time Off Request'!$L:$L,'Mar 2026'!R$6)</f>
        <v>0</v>
      </c>
      <c r="S24" s="147">
        <f>COUNTIFS('2026 Time Off Request'!$A:$A,'Mar 2026'!$D24,'2026 Time Off Request'!$L:$L,'Mar 2026'!S$6)</f>
        <v>0</v>
      </c>
      <c r="T24" s="147">
        <f>COUNTIFS('2026 Time Off Request'!$A:$A,'Mar 2026'!$D24,'2026 Time Off Request'!$L:$L,'Mar 2026'!T$6)</f>
        <v>0</v>
      </c>
      <c r="U24" s="148">
        <f>COUNTIFS('2026 Time Off Request'!$A:$A,'Mar 2026'!$D24,'2026 Time Off Request'!$L:$L,'Mar 2026'!U$6)</f>
        <v>0</v>
      </c>
      <c r="V24" s="148">
        <f>COUNTIFS('2026 Time Off Request'!$A:$A,'Mar 2026'!$D24,'2026 Time Off Request'!$L:$L,'Mar 2026'!V$6)</f>
        <v>0</v>
      </c>
      <c r="W24" s="148">
        <f>COUNTIFS('2026 Time Off Request'!$A:$A,'Mar 2026'!$D24,'2026 Time Off Request'!$L:$L,'Mar 2026'!W$6)</f>
        <v>0</v>
      </c>
      <c r="X24" s="148">
        <f>COUNTIFS('2026 Time Off Request'!$A:$A,'Mar 2026'!$D24,'2026 Time Off Request'!$L:$L,'Mar 2026'!X$6)</f>
        <v>0</v>
      </c>
      <c r="Y24" s="148">
        <f>COUNTIFS('2026 Time Off Request'!$A:$A,'Mar 2026'!$D24,'2026 Time Off Request'!$L:$L,'Mar 2026'!Y$6)</f>
        <v>0</v>
      </c>
      <c r="Z24" s="147">
        <f>COUNTIFS('2026 Time Off Request'!$A:$A,'Mar 2026'!$D24,'2026 Time Off Request'!$L:$L,'Mar 2026'!Z$6)</f>
        <v>0</v>
      </c>
      <c r="AA24" s="147">
        <f>COUNTIFS('2026 Time Off Request'!$A:$A,'Mar 2026'!$D24,'2026 Time Off Request'!$L:$L,'Mar 2026'!AA$6)</f>
        <v>0</v>
      </c>
      <c r="AB24" s="148">
        <f>COUNTIFS('2026 Time Off Request'!$A:$A,'Mar 2026'!$D24,'2026 Time Off Request'!$L:$L,'Mar 2026'!AB$6)</f>
        <v>0</v>
      </c>
      <c r="AC24" s="148">
        <f>COUNTIFS('2026 Time Off Request'!$A:$A,'Mar 2026'!$D24,'2026 Time Off Request'!$L:$L,'Mar 2026'!AC$6)</f>
        <v>0</v>
      </c>
      <c r="AD24" s="148">
        <f>COUNTIFS('2026 Time Off Request'!$A:$A,'Mar 2026'!$D24,'2026 Time Off Request'!$L:$L,'Mar 2026'!AD$6)</f>
        <v>0</v>
      </c>
      <c r="AE24" s="148">
        <f>COUNTIFS('2026 Time Off Request'!$A:$A,'Mar 2026'!$D24,'2026 Time Off Request'!$L:$L,'Mar 2026'!AE$6)</f>
        <v>0</v>
      </c>
      <c r="AF24" s="148">
        <f>COUNTIFS('2026 Time Off Request'!$A:$A,'Mar 2026'!$D24,'2026 Time Off Request'!$L:$L,'Mar 2026'!AF$6)</f>
        <v>0</v>
      </c>
      <c r="AG24" s="147">
        <f>COUNTIFS('2026 Time Off Request'!$A:$A,'Mar 2026'!$D24,'2026 Time Off Request'!$L:$L,'Mar 2026'!AG$6)</f>
        <v>0</v>
      </c>
      <c r="AH24" s="147">
        <f>COUNTIFS('2026 Time Off Request'!$A:$A,'Mar 2026'!$D24,'2026 Time Off Request'!$L:$L,'Mar 2026'!AH$6)</f>
        <v>0</v>
      </c>
      <c r="AI24" s="148">
        <f>COUNTIFS('2026 Time Off Request'!$A:$A,'Mar 2026'!$D24,'2026 Time Off Request'!$L:$L,'Mar 2026'!AI$6)</f>
        <v>0</v>
      </c>
      <c r="AJ24" s="148">
        <f>COUNTIFS('2026 Time Off Request'!$A:$A,'Mar 2026'!$D24,'2026 Time Off Request'!$L:$L,'Mar 2026'!AJ$6)</f>
        <v>0</v>
      </c>
    </row>
    <row r="25" spans="1:36" ht="15.75">
      <c r="A25" s="2">
        <v>18</v>
      </c>
      <c r="B25" s="209" t="s">
        <v>45</v>
      </c>
      <c r="C25" s="210" t="s">
        <v>55</v>
      </c>
      <c r="D25" s="215" t="s">
        <v>56</v>
      </c>
      <c r="E25" s="212">
        <f t="shared" si="1"/>
        <v>0</v>
      </c>
      <c r="F25" s="213">
        <f>COUNTIFS('2026 Time Off Request'!$A:$A,'Mar 2026'!$D25,'2026 Time Off Request'!$L:$L,'Mar 2026'!F$6)</f>
        <v>0</v>
      </c>
      <c r="G25" s="148">
        <f>COUNTIFS('2026 Time Off Request'!$A:$A,'Mar 2026'!$D25,'2026 Time Off Request'!$L:$L,'Mar 2026'!G$6)</f>
        <v>0</v>
      </c>
      <c r="H25" s="148">
        <f>COUNTIFS('2026 Time Off Request'!$A:$A,'Mar 2026'!$D25,'2026 Time Off Request'!$L:$L,'Mar 2026'!H$6)</f>
        <v>0</v>
      </c>
      <c r="I25" s="148">
        <f>COUNTIFS('2026 Time Off Request'!$A:$A,'Mar 2026'!$D25,'2026 Time Off Request'!$L:$L,'Mar 2026'!I$6)</f>
        <v>0</v>
      </c>
      <c r="J25" s="148">
        <f>COUNTIFS('2026 Time Off Request'!$A:$A,'Mar 2026'!$D25,'2026 Time Off Request'!$L:$L,'Mar 2026'!J$6)</f>
        <v>0</v>
      </c>
      <c r="K25" s="148">
        <f>COUNTIFS('2026 Time Off Request'!$A:$A,'Mar 2026'!$D25,'2026 Time Off Request'!$L:$L,'Mar 2026'!K$6)</f>
        <v>0</v>
      </c>
      <c r="L25" s="147">
        <f>COUNTIFS('2026 Time Off Request'!$A:$A,'Mar 2026'!$D25,'2026 Time Off Request'!$L:$L,'Mar 2026'!L$6)</f>
        <v>0</v>
      </c>
      <c r="M25" s="147">
        <f>COUNTIFS('2026 Time Off Request'!$A:$A,'Mar 2026'!$D25,'2026 Time Off Request'!$L:$L,'Mar 2026'!M$6)</f>
        <v>0</v>
      </c>
      <c r="N25" s="148">
        <f>COUNTIFS('2026 Time Off Request'!$A:$A,'Mar 2026'!$D25,'2026 Time Off Request'!$L:$L,'Mar 2026'!N$6)</f>
        <v>0</v>
      </c>
      <c r="O25" s="148">
        <f>COUNTIFS('2026 Time Off Request'!$A:$A,'Mar 2026'!$D25,'2026 Time Off Request'!$L:$L,'Mar 2026'!O$6)</f>
        <v>0</v>
      </c>
      <c r="P25" s="148">
        <f>COUNTIFS('2026 Time Off Request'!$A:$A,'Mar 2026'!$D25,'2026 Time Off Request'!$L:$L,'Mar 2026'!P$6)</f>
        <v>0</v>
      </c>
      <c r="Q25" s="148">
        <f>COUNTIFS('2026 Time Off Request'!$A:$A,'Mar 2026'!$D25,'2026 Time Off Request'!$L:$L,'Mar 2026'!Q$6)</f>
        <v>0</v>
      </c>
      <c r="R25" s="148">
        <f>COUNTIFS('2026 Time Off Request'!$A:$A,'Mar 2026'!$D25,'2026 Time Off Request'!$L:$L,'Mar 2026'!R$6)</f>
        <v>0</v>
      </c>
      <c r="S25" s="147">
        <f>COUNTIFS('2026 Time Off Request'!$A:$A,'Mar 2026'!$D25,'2026 Time Off Request'!$L:$L,'Mar 2026'!S$6)</f>
        <v>0</v>
      </c>
      <c r="T25" s="147">
        <f>COUNTIFS('2026 Time Off Request'!$A:$A,'Mar 2026'!$D25,'2026 Time Off Request'!$L:$L,'Mar 2026'!T$6)</f>
        <v>0</v>
      </c>
      <c r="U25" s="148">
        <f>COUNTIFS('2026 Time Off Request'!$A:$A,'Mar 2026'!$D25,'2026 Time Off Request'!$L:$L,'Mar 2026'!U$6)</f>
        <v>0</v>
      </c>
      <c r="V25" s="148">
        <f>COUNTIFS('2026 Time Off Request'!$A:$A,'Mar 2026'!$D25,'2026 Time Off Request'!$L:$L,'Mar 2026'!V$6)</f>
        <v>0</v>
      </c>
      <c r="W25" s="148">
        <f>COUNTIFS('2026 Time Off Request'!$A:$A,'Mar 2026'!$D25,'2026 Time Off Request'!$L:$L,'Mar 2026'!W$6)</f>
        <v>0</v>
      </c>
      <c r="X25" s="148">
        <f>COUNTIFS('2026 Time Off Request'!$A:$A,'Mar 2026'!$D25,'2026 Time Off Request'!$L:$L,'Mar 2026'!X$6)</f>
        <v>0</v>
      </c>
      <c r="Y25" s="148">
        <f>COUNTIFS('2026 Time Off Request'!$A:$A,'Mar 2026'!$D25,'2026 Time Off Request'!$L:$L,'Mar 2026'!Y$6)</f>
        <v>0</v>
      </c>
      <c r="Z25" s="147">
        <f>COUNTIFS('2026 Time Off Request'!$A:$A,'Mar 2026'!$D25,'2026 Time Off Request'!$L:$L,'Mar 2026'!Z$6)</f>
        <v>0</v>
      </c>
      <c r="AA25" s="147">
        <f>COUNTIFS('2026 Time Off Request'!$A:$A,'Mar 2026'!$D25,'2026 Time Off Request'!$L:$L,'Mar 2026'!AA$6)</f>
        <v>0</v>
      </c>
      <c r="AB25" s="148">
        <f>COUNTIFS('2026 Time Off Request'!$A:$A,'Mar 2026'!$D25,'2026 Time Off Request'!$L:$L,'Mar 2026'!AB$6)</f>
        <v>0</v>
      </c>
      <c r="AC25" s="148">
        <f>COUNTIFS('2026 Time Off Request'!$A:$A,'Mar 2026'!$D25,'2026 Time Off Request'!$L:$L,'Mar 2026'!AC$6)</f>
        <v>0</v>
      </c>
      <c r="AD25" s="148">
        <f>COUNTIFS('2026 Time Off Request'!$A:$A,'Mar 2026'!$D25,'2026 Time Off Request'!$L:$L,'Mar 2026'!AD$6)</f>
        <v>0</v>
      </c>
      <c r="AE25" s="148">
        <f>COUNTIFS('2026 Time Off Request'!$A:$A,'Mar 2026'!$D25,'2026 Time Off Request'!$L:$L,'Mar 2026'!AE$6)</f>
        <v>0</v>
      </c>
      <c r="AF25" s="148">
        <f>COUNTIFS('2026 Time Off Request'!$A:$A,'Mar 2026'!$D25,'2026 Time Off Request'!$L:$L,'Mar 2026'!AF$6)</f>
        <v>0</v>
      </c>
      <c r="AG25" s="147">
        <f>COUNTIFS('2026 Time Off Request'!$A:$A,'Mar 2026'!$D25,'2026 Time Off Request'!$L:$L,'Mar 2026'!AG$6)</f>
        <v>0</v>
      </c>
      <c r="AH25" s="147">
        <f>COUNTIFS('2026 Time Off Request'!$A:$A,'Mar 2026'!$D25,'2026 Time Off Request'!$L:$L,'Mar 2026'!AH$6)</f>
        <v>0</v>
      </c>
      <c r="AI25" s="148">
        <f>COUNTIFS('2026 Time Off Request'!$A:$A,'Mar 2026'!$D25,'2026 Time Off Request'!$L:$L,'Mar 2026'!AI$6)</f>
        <v>0</v>
      </c>
      <c r="AJ25" s="148">
        <f>COUNTIFS('2026 Time Off Request'!$A:$A,'Mar 2026'!$D25,'2026 Time Off Request'!$L:$L,'Mar 2026'!AJ$6)</f>
        <v>0</v>
      </c>
    </row>
    <row r="26" spans="1:36" ht="15.75">
      <c r="A26" s="2"/>
      <c r="B26" s="209" t="s">
        <v>45</v>
      </c>
      <c r="C26" s="210" t="s">
        <v>55</v>
      </c>
      <c r="D26" s="215" t="s">
        <v>57</v>
      </c>
      <c r="E26" s="212">
        <f t="shared" si="1"/>
        <v>0</v>
      </c>
      <c r="F26" s="213">
        <f>COUNTIFS('2026 Time Off Request'!$A:$A,'Mar 2026'!$D26,'2026 Time Off Request'!$L:$L,'Mar 2026'!F$6)</f>
        <v>0</v>
      </c>
      <c r="G26" s="148">
        <f>COUNTIFS('2026 Time Off Request'!$A:$A,'Mar 2026'!$D26,'2026 Time Off Request'!$L:$L,'Mar 2026'!G$6)</f>
        <v>0</v>
      </c>
      <c r="H26" s="148">
        <f>COUNTIFS('2026 Time Off Request'!$A:$A,'Mar 2026'!$D26,'2026 Time Off Request'!$L:$L,'Mar 2026'!H$6)</f>
        <v>0</v>
      </c>
      <c r="I26" s="148">
        <f>COUNTIFS('2026 Time Off Request'!$A:$A,'Mar 2026'!$D26,'2026 Time Off Request'!$L:$L,'Mar 2026'!I$6)</f>
        <v>0</v>
      </c>
      <c r="J26" s="148">
        <f>COUNTIFS('2026 Time Off Request'!$A:$A,'Mar 2026'!$D26,'2026 Time Off Request'!$L:$L,'Mar 2026'!J$6)</f>
        <v>0</v>
      </c>
      <c r="K26" s="148">
        <f>COUNTIFS('2026 Time Off Request'!$A:$A,'Mar 2026'!$D26,'2026 Time Off Request'!$L:$L,'Mar 2026'!K$6)</f>
        <v>0</v>
      </c>
      <c r="L26" s="147">
        <f>COUNTIFS('2026 Time Off Request'!$A:$A,'Mar 2026'!$D26,'2026 Time Off Request'!$L:$L,'Mar 2026'!L$6)</f>
        <v>0</v>
      </c>
      <c r="M26" s="147">
        <f>COUNTIFS('2026 Time Off Request'!$A:$A,'Mar 2026'!$D26,'2026 Time Off Request'!$L:$L,'Mar 2026'!M$6)</f>
        <v>0</v>
      </c>
      <c r="N26" s="148">
        <f>COUNTIFS('2026 Time Off Request'!$A:$A,'Mar 2026'!$D26,'2026 Time Off Request'!$L:$L,'Mar 2026'!N$6)</f>
        <v>0</v>
      </c>
      <c r="O26" s="148">
        <f>COUNTIFS('2026 Time Off Request'!$A:$A,'Mar 2026'!$D26,'2026 Time Off Request'!$L:$L,'Mar 2026'!O$6)</f>
        <v>0</v>
      </c>
      <c r="P26" s="148">
        <f>COUNTIFS('2026 Time Off Request'!$A:$A,'Mar 2026'!$D26,'2026 Time Off Request'!$L:$L,'Mar 2026'!P$6)</f>
        <v>0</v>
      </c>
      <c r="Q26" s="148">
        <f>COUNTIFS('2026 Time Off Request'!$A:$A,'Mar 2026'!$D26,'2026 Time Off Request'!$L:$L,'Mar 2026'!Q$6)</f>
        <v>0</v>
      </c>
      <c r="R26" s="148">
        <f>COUNTIFS('2026 Time Off Request'!$A:$A,'Mar 2026'!$D26,'2026 Time Off Request'!$L:$L,'Mar 2026'!R$6)</f>
        <v>0</v>
      </c>
      <c r="S26" s="147">
        <f>COUNTIFS('2026 Time Off Request'!$A:$A,'Mar 2026'!$D26,'2026 Time Off Request'!$L:$L,'Mar 2026'!S$6)</f>
        <v>0</v>
      </c>
      <c r="T26" s="147">
        <f>COUNTIFS('2026 Time Off Request'!$A:$A,'Mar 2026'!$D26,'2026 Time Off Request'!$L:$L,'Mar 2026'!T$6)</f>
        <v>0</v>
      </c>
      <c r="U26" s="148">
        <f>COUNTIFS('2026 Time Off Request'!$A:$A,'Mar 2026'!$D26,'2026 Time Off Request'!$L:$L,'Mar 2026'!U$6)</f>
        <v>0</v>
      </c>
      <c r="V26" s="148">
        <f>COUNTIFS('2026 Time Off Request'!$A:$A,'Mar 2026'!$D26,'2026 Time Off Request'!$L:$L,'Mar 2026'!V$6)</f>
        <v>0</v>
      </c>
      <c r="W26" s="148">
        <f>COUNTIFS('2026 Time Off Request'!$A:$A,'Mar 2026'!$D26,'2026 Time Off Request'!$L:$L,'Mar 2026'!W$6)</f>
        <v>0</v>
      </c>
      <c r="X26" s="148">
        <f>COUNTIFS('2026 Time Off Request'!$A:$A,'Mar 2026'!$D26,'2026 Time Off Request'!$L:$L,'Mar 2026'!X$6)</f>
        <v>0</v>
      </c>
      <c r="Y26" s="148">
        <f>COUNTIFS('2026 Time Off Request'!$A:$A,'Mar 2026'!$D26,'2026 Time Off Request'!$L:$L,'Mar 2026'!Y$6)</f>
        <v>0</v>
      </c>
      <c r="Z26" s="147">
        <f>COUNTIFS('2026 Time Off Request'!$A:$A,'Mar 2026'!$D26,'2026 Time Off Request'!$L:$L,'Mar 2026'!Z$6)</f>
        <v>0</v>
      </c>
      <c r="AA26" s="147">
        <f>COUNTIFS('2026 Time Off Request'!$A:$A,'Mar 2026'!$D26,'2026 Time Off Request'!$L:$L,'Mar 2026'!AA$6)</f>
        <v>0</v>
      </c>
      <c r="AB26" s="148">
        <f>COUNTIFS('2026 Time Off Request'!$A:$A,'Mar 2026'!$D26,'2026 Time Off Request'!$L:$L,'Mar 2026'!AB$6)</f>
        <v>0</v>
      </c>
      <c r="AC26" s="148">
        <f>COUNTIFS('2026 Time Off Request'!$A:$A,'Mar 2026'!$D26,'2026 Time Off Request'!$L:$L,'Mar 2026'!AC$6)</f>
        <v>0</v>
      </c>
      <c r="AD26" s="148">
        <f>COUNTIFS('2026 Time Off Request'!$A:$A,'Mar 2026'!$D26,'2026 Time Off Request'!$L:$L,'Mar 2026'!AD$6)</f>
        <v>0</v>
      </c>
      <c r="AE26" s="148">
        <f>COUNTIFS('2026 Time Off Request'!$A:$A,'Mar 2026'!$D26,'2026 Time Off Request'!$L:$L,'Mar 2026'!AE$6)</f>
        <v>0</v>
      </c>
      <c r="AF26" s="148">
        <f>COUNTIFS('2026 Time Off Request'!$A:$A,'Mar 2026'!$D26,'2026 Time Off Request'!$L:$L,'Mar 2026'!AF$6)</f>
        <v>0</v>
      </c>
      <c r="AG26" s="147">
        <f>COUNTIFS('2026 Time Off Request'!$A:$A,'Mar 2026'!$D26,'2026 Time Off Request'!$L:$L,'Mar 2026'!AG$6)</f>
        <v>0</v>
      </c>
      <c r="AH26" s="147">
        <f>COUNTIFS('2026 Time Off Request'!$A:$A,'Mar 2026'!$D26,'2026 Time Off Request'!$L:$L,'Mar 2026'!AH$6)</f>
        <v>0</v>
      </c>
      <c r="AI26" s="148">
        <f>COUNTIFS('2026 Time Off Request'!$A:$A,'Mar 2026'!$D26,'2026 Time Off Request'!$L:$L,'Mar 2026'!AI$6)</f>
        <v>0</v>
      </c>
      <c r="AJ26" s="148">
        <f>COUNTIFS('2026 Time Off Request'!$A:$A,'Mar 2026'!$D26,'2026 Time Off Request'!$L:$L,'Mar 2026'!AJ$6)</f>
        <v>0</v>
      </c>
    </row>
    <row r="27" spans="1:36" ht="15.75">
      <c r="A27" s="2">
        <v>19</v>
      </c>
      <c r="B27" s="209" t="s">
        <v>45</v>
      </c>
      <c r="C27" s="210" t="s">
        <v>58</v>
      </c>
      <c r="D27" s="215" t="s">
        <v>59</v>
      </c>
      <c r="E27" s="212">
        <f t="shared" si="1"/>
        <v>1</v>
      </c>
      <c r="F27" s="213">
        <f>COUNTIFS('2026 Time Off Request'!$A:$A,'Mar 2026'!$D27,'2026 Time Off Request'!$L:$L,'Mar 2026'!F$6)</f>
        <v>0</v>
      </c>
      <c r="G27" s="148">
        <f>COUNTIFS('2026 Time Off Request'!$A:$A,'Mar 2026'!$D27,'2026 Time Off Request'!$L:$L,'Mar 2026'!G$6)</f>
        <v>0</v>
      </c>
      <c r="H27" s="148">
        <f>COUNTIFS('2026 Time Off Request'!$A:$A,'Mar 2026'!$D27,'2026 Time Off Request'!$L:$L,'Mar 2026'!H$6)</f>
        <v>0</v>
      </c>
      <c r="I27" s="148">
        <f>COUNTIFS('2026 Time Off Request'!$A:$A,'Mar 2026'!$D27,'2026 Time Off Request'!$L:$L,'Mar 2026'!I$6)</f>
        <v>0</v>
      </c>
      <c r="J27" s="148">
        <f>COUNTIFS('2026 Time Off Request'!$A:$A,'Mar 2026'!$D27,'2026 Time Off Request'!$L:$L,'Mar 2026'!J$6)</f>
        <v>0</v>
      </c>
      <c r="K27" s="148">
        <f>COUNTIFS('2026 Time Off Request'!$A:$A,'Mar 2026'!$D27,'2026 Time Off Request'!$L:$L,'Mar 2026'!K$6)</f>
        <v>0</v>
      </c>
      <c r="L27" s="147">
        <f>COUNTIFS('2026 Time Off Request'!$A:$A,'Mar 2026'!$D27,'2026 Time Off Request'!$L:$L,'Mar 2026'!L$6)</f>
        <v>0</v>
      </c>
      <c r="M27" s="147">
        <f>COUNTIFS('2026 Time Off Request'!$A:$A,'Mar 2026'!$D27,'2026 Time Off Request'!$L:$L,'Mar 2026'!M$6)</f>
        <v>0</v>
      </c>
      <c r="N27" s="148">
        <f>COUNTIFS('2026 Time Off Request'!$A:$A,'Mar 2026'!$D27,'2026 Time Off Request'!$L:$L,'Mar 2026'!N$6)</f>
        <v>0</v>
      </c>
      <c r="O27" s="148">
        <f>COUNTIFS('2026 Time Off Request'!$A:$A,'Mar 2026'!$D27,'2026 Time Off Request'!$L:$L,'Mar 2026'!O$6)</f>
        <v>0</v>
      </c>
      <c r="P27" s="148">
        <f>COUNTIFS('2026 Time Off Request'!$A:$A,'Mar 2026'!$D27,'2026 Time Off Request'!$L:$L,'Mar 2026'!P$6)</f>
        <v>0</v>
      </c>
      <c r="Q27" s="148">
        <f>COUNTIFS('2026 Time Off Request'!$A:$A,'Mar 2026'!$D27,'2026 Time Off Request'!$L:$L,'Mar 2026'!Q$6)</f>
        <v>0</v>
      </c>
      <c r="R27" s="148">
        <f>COUNTIFS('2026 Time Off Request'!$A:$A,'Mar 2026'!$D27,'2026 Time Off Request'!$L:$L,'Mar 2026'!R$6)</f>
        <v>0</v>
      </c>
      <c r="S27" s="147">
        <f>COUNTIFS('2026 Time Off Request'!$A:$A,'Mar 2026'!$D27,'2026 Time Off Request'!$L:$L,'Mar 2026'!S$6)</f>
        <v>0</v>
      </c>
      <c r="T27" s="147">
        <f>COUNTIFS('2026 Time Off Request'!$A:$A,'Mar 2026'!$D27,'2026 Time Off Request'!$L:$L,'Mar 2026'!T$6)</f>
        <v>0</v>
      </c>
      <c r="U27" s="148">
        <f>COUNTIFS('2026 Time Off Request'!$A:$A,'Mar 2026'!$D27,'2026 Time Off Request'!$L:$L,'Mar 2026'!U$6)</f>
        <v>0</v>
      </c>
      <c r="V27" s="148">
        <f>COUNTIFS('2026 Time Off Request'!$A:$A,'Mar 2026'!$D27,'2026 Time Off Request'!$L:$L,'Mar 2026'!V$6)</f>
        <v>0</v>
      </c>
      <c r="W27" s="148">
        <f>COUNTIFS('2026 Time Off Request'!$A:$A,'Mar 2026'!$D27,'2026 Time Off Request'!$L:$L,'Mar 2026'!W$6)</f>
        <v>0</v>
      </c>
      <c r="X27" s="148">
        <f>COUNTIFS('2026 Time Off Request'!$A:$A,'Mar 2026'!$D27,'2026 Time Off Request'!$L:$L,'Mar 2026'!X$6)</f>
        <v>0</v>
      </c>
      <c r="Y27" s="148">
        <f>COUNTIFS('2026 Time Off Request'!$A:$A,'Mar 2026'!$D27,'2026 Time Off Request'!$L:$L,'Mar 2026'!Y$6)</f>
        <v>0</v>
      </c>
      <c r="Z27" s="147">
        <f>COUNTIFS('2026 Time Off Request'!$A:$A,'Mar 2026'!$D27,'2026 Time Off Request'!$L:$L,'Mar 2026'!Z$6)</f>
        <v>0</v>
      </c>
      <c r="AA27" s="147">
        <f>COUNTIFS('2026 Time Off Request'!$A:$A,'Mar 2026'!$D27,'2026 Time Off Request'!$L:$L,'Mar 2026'!AA$6)</f>
        <v>0</v>
      </c>
      <c r="AB27" s="148">
        <f>COUNTIFS('2026 Time Off Request'!$A:$A,'Mar 2026'!$D27,'2026 Time Off Request'!$L:$L,'Mar 2026'!AB$6)</f>
        <v>1</v>
      </c>
      <c r="AC27" s="148">
        <f>COUNTIFS('2026 Time Off Request'!$A:$A,'Mar 2026'!$D27,'2026 Time Off Request'!$L:$L,'Mar 2026'!AC$6)</f>
        <v>0</v>
      </c>
      <c r="AD27" s="148">
        <f>COUNTIFS('2026 Time Off Request'!$A:$A,'Mar 2026'!$D27,'2026 Time Off Request'!$L:$L,'Mar 2026'!AD$6)</f>
        <v>0</v>
      </c>
      <c r="AE27" s="148">
        <f>COUNTIFS('2026 Time Off Request'!$A:$A,'Mar 2026'!$D27,'2026 Time Off Request'!$L:$L,'Mar 2026'!AE$6)</f>
        <v>0</v>
      </c>
      <c r="AF27" s="148">
        <f>COUNTIFS('2026 Time Off Request'!$A:$A,'Mar 2026'!$D27,'2026 Time Off Request'!$L:$L,'Mar 2026'!AF$6)</f>
        <v>0</v>
      </c>
      <c r="AG27" s="147">
        <f>COUNTIFS('2026 Time Off Request'!$A:$A,'Mar 2026'!$D27,'2026 Time Off Request'!$L:$L,'Mar 2026'!AG$6)</f>
        <v>0</v>
      </c>
      <c r="AH27" s="147">
        <f>COUNTIFS('2026 Time Off Request'!$A:$A,'Mar 2026'!$D27,'2026 Time Off Request'!$L:$L,'Mar 2026'!AH$6)</f>
        <v>0</v>
      </c>
      <c r="AI27" s="148">
        <f>COUNTIFS('2026 Time Off Request'!$A:$A,'Mar 2026'!$D27,'2026 Time Off Request'!$L:$L,'Mar 2026'!AI$6)</f>
        <v>0</v>
      </c>
      <c r="AJ27" s="148">
        <f>COUNTIFS('2026 Time Off Request'!$A:$A,'Mar 2026'!$D27,'2026 Time Off Request'!$L:$L,'Mar 2026'!AJ$6)</f>
        <v>0</v>
      </c>
    </row>
    <row r="28" spans="1:36" ht="15.75">
      <c r="A28" s="2">
        <v>20</v>
      </c>
      <c r="B28" s="209" t="s">
        <v>45</v>
      </c>
      <c r="C28" s="210" t="s">
        <v>60</v>
      </c>
      <c r="D28" s="215" t="s">
        <v>61</v>
      </c>
      <c r="E28" s="212">
        <f t="shared" si="1"/>
        <v>0</v>
      </c>
      <c r="F28" s="213">
        <f>COUNTIFS('2026 Time Off Request'!$A:$A,'Mar 2026'!$D28,'2026 Time Off Request'!$L:$L,'Mar 2026'!F$6)</f>
        <v>0</v>
      </c>
      <c r="G28" s="148">
        <f>COUNTIFS('2026 Time Off Request'!$A:$A,'Mar 2026'!$D28,'2026 Time Off Request'!$L:$L,'Mar 2026'!G$6)</f>
        <v>0</v>
      </c>
      <c r="H28" s="148">
        <f>COUNTIFS('2026 Time Off Request'!$A:$A,'Mar 2026'!$D28,'2026 Time Off Request'!$L:$L,'Mar 2026'!H$6)</f>
        <v>0</v>
      </c>
      <c r="I28" s="148">
        <f>COUNTIFS('2026 Time Off Request'!$A:$A,'Mar 2026'!$D28,'2026 Time Off Request'!$L:$L,'Mar 2026'!I$6)</f>
        <v>0</v>
      </c>
      <c r="J28" s="148">
        <f>COUNTIFS('2026 Time Off Request'!$A:$A,'Mar 2026'!$D28,'2026 Time Off Request'!$L:$L,'Mar 2026'!J$6)</f>
        <v>0</v>
      </c>
      <c r="K28" s="148">
        <f>COUNTIFS('2026 Time Off Request'!$A:$A,'Mar 2026'!$D28,'2026 Time Off Request'!$L:$L,'Mar 2026'!K$6)</f>
        <v>0</v>
      </c>
      <c r="L28" s="147">
        <f>COUNTIFS('2026 Time Off Request'!$A:$A,'Mar 2026'!$D28,'2026 Time Off Request'!$L:$L,'Mar 2026'!L$6)</f>
        <v>0</v>
      </c>
      <c r="M28" s="147">
        <f>COUNTIFS('2026 Time Off Request'!$A:$A,'Mar 2026'!$D28,'2026 Time Off Request'!$L:$L,'Mar 2026'!M$6)</f>
        <v>0</v>
      </c>
      <c r="N28" s="148">
        <f>COUNTIFS('2026 Time Off Request'!$A:$A,'Mar 2026'!$D28,'2026 Time Off Request'!$L:$L,'Mar 2026'!N$6)</f>
        <v>0</v>
      </c>
      <c r="O28" s="148">
        <f>COUNTIFS('2026 Time Off Request'!$A:$A,'Mar 2026'!$D28,'2026 Time Off Request'!$L:$L,'Mar 2026'!O$6)</f>
        <v>0</v>
      </c>
      <c r="P28" s="148">
        <f>COUNTIFS('2026 Time Off Request'!$A:$A,'Mar 2026'!$D28,'2026 Time Off Request'!$L:$L,'Mar 2026'!P$6)</f>
        <v>0</v>
      </c>
      <c r="Q28" s="148">
        <f>COUNTIFS('2026 Time Off Request'!$A:$A,'Mar 2026'!$D28,'2026 Time Off Request'!$L:$L,'Mar 2026'!Q$6)</f>
        <v>0</v>
      </c>
      <c r="R28" s="148">
        <f>COUNTIFS('2026 Time Off Request'!$A:$A,'Mar 2026'!$D28,'2026 Time Off Request'!$L:$L,'Mar 2026'!R$6)</f>
        <v>0</v>
      </c>
      <c r="S28" s="147">
        <f>COUNTIFS('2026 Time Off Request'!$A:$A,'Mar 2026'!$D28,'2026 Time Off Request'!$L:$L,'Mar 2026'!S$6)</f>
        <v>0</v>
      </c>
      <c r="T28" s="147">
        <f>COUNTIFS('2026 Time Off Request'!$A:$A,'Mar 2026'!$D28,'2026 Time Off Request'!$L:$L,'Mar 2026'!T$6)</f>
        <v>0</v>
      </c>
      <c r="U28" s="148">
        <f>COUNTIFS('2026 Time Off Request'!$A:$A,'Mar 2026'!$D28,'2026 Time Off Request'!$L:$L,'Mar 2026'!U$6)</f>
        <v>0</v>
      </c>
      <c r="V28" s="148">
        <f>COUNTIFS('2026 Time Off Request'!$A:$A,'Mar 2026'!$D28,'2026 Time Off Request'!$L:$L,'Mar 2026'!V$6)</f>
        <v>0</v>
      </c>
      <c r="W28" s="148">
        <f>COUNTIFS('2026 Time Off Request'!$A:$A,'Mar 2026'!$D28,'2026 Time Off Request'!$L:$L,'Mar 2026'!W$6)</f>
        <v>0</v>
      </c>
      <c r="X28" s="148">
        <f>COUNTIFS('2026 Time Off Request'!$A:$A,'Mar 2026'!$D28,'2026 Time Off Request'!$L:$L,'Mar 2026'!X$6)</f>
        <v>0</v>
      </c>
      <c r="Y28" s="148">
        <f>COUNTIFS('2026 Time Off Request'!$A:$A,'Mar 2026'!$D28,'2026 Time Off Request'!$L:$L,'Mar 2026'!Y$6)</f>
        <v>0</v>
      </c>
      <c r="Z28" s="147">
        <f>COUNTIFS('2026 Time Off Request'!$A:$A,'Mar 2026'!$D28,'2026 Time Off Request'!$L:$L,'Mar 2026'!Z$6)</f>
        <v>0</v>
      </c>
      <c r="AA28" s="147">
        <f>COUNTIFS('2026 Time Off Request'!$A:$A,'Mar 2026'!$D28,'2026 Time Off Request'!$L:$L,'Mar 2026'!AA$6)</f>
        <v>0</v>
      </c>
      <c r="AB28" s="148">
        <f>COUNTIFS('2026 Time Off Request'!$A:$A,'Mar 2026'!$D28,'2026 Time Off Request'!$L:$L,'Mar 2026'!AB$6)</f>
        <v>0</v>
      </c>
      <c r="AC28" s="148">
        <f>COUNTIFS('2026 Time Off Request'!$A:$A,'Mar 2026'!$D28,'2026 Time Off Request'!$L:$L,'Mar 2026'!AC$6)</f>
        <v>0</v>
      </c>
      <c r="AD28" s="148">
        <f>COUNTIFS('2026 Time Off Request'!$A:$A,'Mar 2026'!$D28,'2026 Time Off Request'!$L:$L,'Mar 2026'!AD$6)</f>
        <v>0</v>
      </c>
      <c r="AE28" s="148">
        <f>COUNTIFS('2026 Time Off Request'!$A:$A,'Mar 2026'!$D28,'2026 Time Off Request'!$L:$L,'Mar 2026'!AE$6)</f>
        <v>0</v>
      </c>
      <c r="AF28" s="148">
        <f>COUNTIFS('2026 Time Off Request'!$A:$A,'Mar 2026'!$D28,'2026 Time Off Request'!$L:$L,'Mar 2026'!AF$6)</f>
        <v>0</v>
      </c>
      <c r="AG28" s="147">
        <f>COUNTIFS('2026 Time Off Request'!$A:$A,'Mar 2026'!$D28,'2026 Time Off Request'!$L:$L,'Mar 2026'!AG$6)</f>
        <v>0</v>
      </c>
      <c r="AH28" s="147">
        <f>COUNTIFS('2026 Time Off Request'!$A:$A,'Mar 2026'!$D28,'2026 Time Off Request'!$L:$L,'Mar 2026'!AH$6)</f>
        <v>0</v>
      </c>
      <c r="AI28" s="148">
        <f>COUNTIFS('2026 Time Off Request'!$A:$A,'Mar 2026'!$D28,'2026 Time Off Request'!$L:$L,'Mar 2026'!AI$6)</f>
        <v>0</v>
      </c>
      <c r="AJ28" s="148">
        <f>COUNTIFS('2026 Time Off Request'!$A:$A,'Mar 2026'!$D28,'2026 Time Off Request'!$L:$L,'Mar 2026'!AJ$6)</f>
        <v>0</v>
      </c>
    </row>
    <row r="29" spans="1:36" ht="15.75">
      <c r="A29" s="2"/>
      <c r="B29" s="209" t="s">
        <v>45</v>
      </c>
      <c r="C29" s="210" t="s">
        <v>62</v>
      </c>
      <c r="D29" s="215" t="s">
        <v>63</v>
      </c>
      <c r="E29" s="212">
        <f t="shared" si="1"/>
        <v>0</v>
      </c>
      <c r="F29" s="213">
        <f>COUNTIFS('2026 Time Off Request'!$A:$A,'Mar 2026'!$D29,'2026 Time Off Request'!$L:$L,'Mar 2026'!F$6)</f>
        <v>0</v>
      </c>
      <c r="G29" s="148">
        <f>COUNTIFS('2026 Time Off Request'!$A:$A,'Mar 2026'!$D29,'2026 Time Off Request'!$L:$L,'Mar 2026'!G$6)</f>
        <v>0</v>
      </c>
      <c r="H29" s="148">
        <f>COUNTIFS('2026 Time Off Request'!$A:$A,'Mar 2026'!$D29,'2026 Time Off Request'!$L:$L,'Mar 2026'!H$6)</f>
        <v>0</v>
      </c>
      <c r="I29" s="148">
        <f>COUNTIFS('2026 Time Off Request'!$A:$A,'Mar 2026'!$D29,'2026 Time Off Request'!$L:$L,'Mar 2026'!I$6)</f>
        <v>0</v>
      </c>
      <c r="J29" s="148">
        <f>COUNTIFS('2026 Time Off Request'!$A:$A,'Mar 2026'!$D29,'2026 Time Off Request'!$L:$L,'Mar 2026'!J$6)</f>
        <v>0</v>
      </c>
      <c r="K29" s="148">
        <f>COUNTIFS('2026 Time Off Request'!$A:$A,'Mar 2026'!$D29,'2026 Time Off Request'!$L:$L,'Mar 2026'!K$6)</f>
        <v>0</v>
      </c>
      <c r="L29" s="147">
        <f>COUNTIFS('2026 Time Off Request'!$A:$A,'Mar 2026'!$D29,'2026 Time Off Request'!$L:$L,'Mar 2026'!L$6)</f>
        <v>0</v>
      </c>
      <c r="M29" s="147">
        <f>COUNTIFS('2026 Time Off Request'!$A:$A,'Mar 2026'!$D29,'2026 Time Off Request'!$L:$L,'Mar 2026'!M$6)</f>
        <v>0</v>
      </c>
      <c r="N29" s="148">
        <f>COUNTIFS('2026 Time Off Request'!$A:$A,'Mar 2026'!$D29,'2026 Time Off Request'!$L:$L,'Mar 2026'!N$6)</f>
        <v>0</v>
      </c>
      <c r="O29" s="148">
        <f>COUNTIFS('2026 Time Off Request'!$A:$A,'Mar 2026'!$D29,'2026 Time Off Request'!$L:$L,'Mar 2026'!O$6)</f>
        <v>0</v>
      </c>
      <c r="P29" s="148">
        <f>COUNTIFS('2026 Time Off Request'!$A:$A,'Mar 2026'!$D29,'2026 Time Off Request'!$L:$L,'Mar 2026'!P$6)</f>
        <v>0</v>
      </c>
      <c r="Q29" s="148">
        <f>COUNTIFS('2026 Time Off Request'!$A:$A,'Mar 2026'!$D29,'2026 Time Off Request'!$L:$L,'Mar 2026'!Q$6)</f>
        <v>0</v>
      </c>
      <c r="R29" s="148">
        <f>COUNTIFS('2026 Time Off Request'!$A:$A,'Mar 2026'!$D29,'2026 Time Off Request'!$L:$L,'Mar 2026'!R$6)</f>
        <v>0</v>
      </c>
      <c r="S29" s="147">
        <f>COUNTIFS('2026 Time Off Request'!$A:$A,'Mar 2026'!$D29,'2026 Time Off Request'!$L:$L,'Mar 2026'!S$6)</f>
        <v>0</v>
      </c>
      <c r="T29" s="147">
        <f>COUNTIFS('2026 Time Off Request'!$A:$A,'Mar 2026'!$D29,'2026 Time Off Request'!$L:$L,'Mar 2026'!T$6)</f>
        <v>0</v>
      </c>
      <c r="U29" s="148">
        <f>COUNTIFS('2026 Time Off Request'!$A:$A,'Mar 2026'!$D29,'2026 Time Off Request'!$L:$L,'Mar 2026'!U$6)</f>
        <v>0</v>
      </c>
      <c r="V29" s="148">
        <f>COUNTIFS('2026 Time Off Request'!$A:$A,'Mar 2026'!$D29,'2026 Time Off Request'!$L:$L,'Mar 2026'!V$6)</f>
        <v>0</v>
      </c>
      <c r="W29" s="148">
        <f>COUNTIFS('2026 Time Off Request'!$A:$A,'Mar 2026'!$D29,'2026 Time Off Request'!$L:$L,'Mar 2026'!W$6)</f>
        <v>0</v>
      </c>
      <c r="X29" s="148">
        <f>COUNTIFS('2026 Time Off Request'!$A:$A,'Mar 2026'!$D29,'2026 Time Off Request'!$L:$L,'Mar 2026'!X$6)</f>
        <v>0</v>
      </c>
      <c r="Y29" s="148">
        <f>COUNTIFS('2026 Time Off Request'!$A:$A,'Mar 2026'!$D29,'2026 Time Off Request'!$L:$L,'Mar 2026'!Y$6)</f>
        <v>0</v>
      </c>
      <c r="Z29" s="147">
        <f>COUNTIFS('2026 Time Off Request'!$A:$A,'Mar 2026'!$D29,'2026 Time Off Request'!$L:$L,'Mar 2026'!Z$6)</f>
        <v>0</v>
      </c>
      <c r="AA29" s="147">
        <f>COUNTIFS('2026 Time Off Request'!$A:$A,'Mar 2026'!$D29,'2026 Time Off Request'!$L:$L,'Mar 2026'!AA$6)</f>
        <v>0</v>
      </c>
      <c r="AB29" s="148">
        <f>COUNTIFS('2026 Time Off Request'!$A:$A,'Mar 2026'!$D29,'2026 Time Off Request'!$L:$L,'Mar 2026'!AB$6)</f>
        <v>0</v>
      </c>
      <c r="AC29" s="148">
        <f>COUNTIFS('2026 Time Off Request'!$A:$A,'Mar 2026'!$D29,'2026 Time Off Request'!$L:$L,'Mar 2026'!AC$6)</f>
        <v>0</v>
      </c>
      <c r="AD29" s="148">
        <f>COUNTIFS('2026 Time Off Request'!$A:$A,'Mar 2026'!$D29,'2026 Time Off Request'!$L:$L,'Mar 2026'!AD$6)</f>
        <v>0</v>
      </c>
      <c r="AE29" s="148">
        <f>COUNTIFS('2026 Time Off Request'!$A:$A,'Mar 2026'!$D29,'2026 Time Off Request'!$L:$L,'Mar 2026'!AE$6)</f>
        <v>0</v>
      </c>
      <c r="AF29" s="148">
        <f>COUNTIFS('2026 Time Off Request'!$A:$A,'Mar 2026'!$D29,'2026 Time Off Request'!$L:$L,'Mar 2026'!AF$6)</f>
        <v>0</v>
      </c>
      <c r="AG29" s="147">
        <f>COUNTIFS('2026 Time Off Request'!$A:$A,'Mar 2026'!$D29,'2026 Time Off Request'!$L:$L,'Mar 2026'!AG$6)</f>
        <v>0</v>
      </c>
      <c r="AH29" s="147">
        <f>COUNTIFS('2026 Time Off Request'!$A:$A,'Mar 2026'!$D29,'2026 Time Off Request'!$L:$L,'Mar 2026'!AH$6)</f>
        <v>0</v>
      </c>
      <c r="AI29" s="148">
        <f>COUNTIFS('2026 Time Off Request'!$A:$A,'Mar 2026'!$D29,'2026 Time Off Request'!$L:$L,'Mar 2026'!AI$6)</f>
        <v>0</v>
      </c>
      <c r="AJ29" s="148">
        <f>COUNTIFS('2026 Time Off Request'!$A:$A,'Mar 2026'!$D29,'2026 Time Off Request'!$L:$L,'Mar 2026'!AJ$6)</f>
        <v>0</v>
      </c>
    </row>
    <row r="30" spans="1:36" ht="15.75">
      <c r="A30" s="2">
        <v>21</v>
      </c>
      <c r="B30" s="209" t="s">
        <v>49</v>
      </c>
      <c r="C30" s="210" t="s">
        <v>64</v>
      </c>
      <c r="D30" s="215" t="s">
        <v>65</v>
      </c>
      <c r="E30" s="212">
        <f t="shared" si="0"/>
        <v>1</v>
      </c>
      <c r="F30" s="213">
        <f>COUNTIFS('2026 Time Off Request'!$A:$A,'Mar 2026'!$D30,'2026 Time Off Request'!$L:$L,'Mar 2026'!F$6)</f>
        <v>0</v>
      </c>
      <c r="G30" s="148">
        <f>COUNTIFS('2026 Time Off Request'!$A:$A,'Mar 2026'!$D30,'2026 Time Off Request'!$L:$L,'Mar 2026'!G$6)</f>
        <v>0</v>
      </c>
      <c r="H30" s="148">
        <f>COUNTIFS('2026 Time Off Request'!$A:$A,'Mar 2026'!$D30,'2026 Time Off Request'!$L:$L,'Mar 2026'!H$6)</f>
        <v>0</v>
      </c>
      <c r="I30" s="148">
        <f>COUNTIFS('2026 Time Off Request'!$A:$A,'Mar 2026'!$D30,'2026 Time Off Request'!$L:$L,'Mar 2026'!I$6)</f>
        <v>0</v>
      </c>
      <c r="J30" s="148">
        <f>COUNTIFS('2026 Time Off Request'!$A:$A,'Mar 2026'!$D30,'2026 Time Off Request'!$L:$L,'Mar 2026'!J$6)</f>
        <v>0</v>
      </c>
      <c r="K30" s="148">
        <f>COUNTIFS('2026 Time Off Request'!$A:$A,'Mar 2026'!$D30,'2026 Time Off Request'!$L:$L,'Mar 2026'!K$6)</f>
        <v>0</v>
      </c>
      <c r="L30" s="147">
        <f>COUNTIFS('2026 Time Off Request'!$A:$A,'Mar 2026'!$D30,'2026 Time Off Request'!$L:$L,'Mar 2026'!L$6)</f>
        <v>0</v>
      </c>
      <c r="M30" s="147">
        <f>COUNTIFS('2026 Time Off Request'!$A:$A,'Mar 2026'!$D30,'2026 Time Off Request'!$L:$L,'Mar 2026'!M$6)</f>
        <v>0</v>
      </c>
      <c r="N30" s="148">
        <f>COUNTIFS('2026 Time Off Request'!$A:$A,'Mar 2026'!$D30,'2026 Time Off Request'!$L:$L,'Mar 2026'!N$6)</f>
        <v>0</v>
      </c>
      <c r="O30" s="148">
        <f>COUNTIFS('2026 Time Off Request'!$A:$A,'Mar 2026'!$D30,'2026 Time Off Request'!$L:$L,'Mar 2026'!O$6)</f>
        <v>0</v>
      </c>
      <c r="P30" s="148">
        <f>COUNTIFS('2026 Time Off Request'!$A:$A,'Mar 2026'!$D30,'2026 Time Off Request'!$L:$L,'Mar 2026'!P$6)</f>
        <v>0</v>
      </c>
      <c r="Q30" s="148">
        <f>COUNTIFS('2026 Time Off Request'!$A:$A,'Mar 2026'!$D30,'2026 Time Off Request'!$L:$L,'Mar 2026'!Q$6)</f>
        <v>0</v>
      </c>
      <c r="R30" s="148">
        <f>COUNTIFS('2026 Time Off Request'!$A:$A,'Mar 2026'!$D30,'2026 Time Off Request'!$L:$L,'Mar 2026'!R$6)</f>
        <v>1</v>
      </c>
      <c r="S30" s="147">
        <f>COUNTIFS('2026 Time Off Request'!$A:$A,'Mar 2026'!$D30,'2026 Time Off Request'!$L:$L,'Mar 2026'!S$6)</f>
        <v>0</v>
      </c>
      <c r="T30" s="147">
        <f>COUNTIFS('2026 Time Off Request'!$A:$A,'Mar 2026'!$D30,'2026 Time Off Request'!$L:$L,'Mar 2026'!T$6)</f>
        <v>0</v>
      </c>
      <c r="U30" s="148">
        <f>COUNTIFS('2026 Time Off Request'!$A:$A,'Mar 2026'!$D30,'2026 Time Off Request'!$L:$L,'Mar 2026'!U$6)</f>
        <v>0</v>
      </c>
      <c r="V30" s="148">
        <f>COUNTIFS('2026 Time Off Request'!$A:$A,'Mar 2026'!$D30,'2026 Time Off Request'!$L:$L,'Mar 2026'!V$6)</f>
        <v>0</v>
      </c>
      <c r="W30" s="148">
        <f>COUNTIFS('2026 Time Off Request'!$A:$A,'Mar 2026'!$D30,'2026 Time Off Request'!$L:$L,'Mar 2026'!W$6)</f>
        <v>0</v>
      </c>
      <c r="X30" s="148">
        <f>COUNTIFS('2026 Time Off Request'!$A:$A,'Mar 2026'!$D30,'2026 Time Off Request'!$L:$L,'Mar 2026'!X$6)</f>
        <v>0</v>
      </c>
      <c r="Y30" s="148">
        <f>COUNTIFS('2026 Time Off Request'!$A:$A,'Mar 2026'!$D30,'2026 Time Off Request'!$L:$L,'Mar 2026'!Y$6)</f>
        <v>0</v>
      </c>
      <c r="Z30" s="147">
        <f>COUNTIFS('2026 Time Off Request'!$A:$A,'Mar 2026'!$D30,'2026 Time Off Request'!$L:$L,'Mar 2026'!Z$6)</f>
        <v>0</v>
      </c>
      <c r="AA30" s="147">
        <f>COUNTIFS('2026 Time Off Request'!$A:$A,'Mar 2026'!$D30,'2026 Time Off Request'!$L:$L,'Mar 2026'!AA$6)</f>
        <v>0</v>
      </c>
      <c r="AB30" s="148">
        <f>COUNTIFS('2026 Time Off Request'!$A:$A,'Mar 2026'!$D30,'2026 Time Off Request'!$L:$L,'Mar 2026'!AB$6)</f>
        <v>0</v>
      </c>
      <c r="AC30" s="148">
        <f>COUNTIFS('2026 Time Off Request'!$A:$A,'Mar 2026'!$D30,'2026 Time Off Request'!$L:$L,'Mar 2026'!AC$6)</f>
        <v>0</v>
      </c>
      <c r="AD30" s="148">
        <f>COUNTIFS('2026 Time Off Request'!$A:$A,'Mar 2026'!$D30,'2026 Time Off Request'!$L:$L,'Mar 2026'!AD$6)</f>
        <v>0</v>
      </c>
      <c r="AE30" s="148">
        <f>COUNTIFS('2026 Time Off Request'!$A:$A,'Mar 2026'!$D30,'2026 Time Off Request'!$L:$L,'Mar 2026'!AE$6)</f>
        <v>0</v>
      </c>
      <c r="AF30" s="148">
        <f>COUNTIFS('2026 Time Off Request'!$A:$A,'Mar 2026'!$D30,'2026 Time Off Request'!$L:$L,'Mar 2026'!AF$6)</f>
        <v>0</v>
      </c>
      <c r="AG30" s="147">
        <f>COUNTIFS('2026 Time Off Request'!$A:$A,'Mar 2026'!$D30,'2026 Time Off Request'!$L:$L,'Mar 2026'!AG$6)</f>
        <v>0</v>
      </c>
      <c r="AH30" s="147">
        <f>COUNTIFS('2026 Time Off Request'!$A:$A,'Mar 2026'!$D30,'2026 Time Off Request'!$L:$L,'Mar 2026'!AH$6)</f>
        <v>0</v>
      </c>
      <c r="AI30" s="148">
        <f>COUNTIFS('2026 Time Off Request'!$A:$A,'Mar 2026'!$D30,'2026 Time Off Request'!$L:$L,'Mar 2026'!AI$6)</f>
        <v>0</v>
      </c>
      <c r="AJ30" s="148">
        <f>COUNTIFS('2026 Time Off Request'!$A:$A,'Mar 2026'!$D30,'2026 Time Off Request'!$L:$L,'Mar 2026'!AJ$6)</f>
        <v>0</v>
      </c>
    </row>
    <row r="31" spans="1:36" ht="15.75">
      <c r="A31" s="2">
        <v>22</v>
      </c>
      <c r="B31" s="209" t="s">
        <v>49</v>
      </c>
      <c r="C31" s="210" t="s">
        <v>66</v>
      </c>
      <c r="D31" s="215" t="s">
        <v>67</v>
      </c>
      <c r="E31" s="212">
        <f t="shared" si="0"/>
        <v>1</v>
      </c>
      <c r="F31" s="213">
        <f>COUNTIFS('2026 Time Off Request'!$A:$A,'Mar 2026'!$D31,'2026 Time Off Request'!$L:$L,'Mar 2026'!F$6)</f>
        <v>0</v>
      </c>
      <c r="G31" s="148">
        <f>COUNTIFS('2026 Time Off Request'!$A:$A,'Mar 2026'!$D31,'2026 Time Off Request'!$L:$L,'Mar 2026'!G$6)</f>
        <v>0</v>
      </c>
      <c r="H31" s="148">
        <f>COUNTIFS('2026 Time Off Request'!$A:$A,'Mar 2026'!$D31,'2026 Time Off Request'!$L:$L,'Mar 2026'!H$6)</f>
        <v>0</v>
      </c>
      <c r="I31" s="148">
        <f>COUNTIFS('2026 Time Off Request'!$A:$A,'Mar 2026'!$D31,'2026 Time Off Request'!$L:$L,'Mar 2026'!I$6)</f>
        <v>0</v>
      </c>
      <c r="J31" s="148">
        <f>COUNTIFS('2026 Time Off Request'!$A:$A,'Mar 2026'!$D31,'2026 Time Off Request'!$L:$L,'Mar 2026'!J$6)</f>
        <v>0</v>
      </c>
      <c r="K31" s="148">
        <f>COUNTIFS('2026 Time Off Request'!$A:$A,'Mar 2026'!$D31,'2026 Time Off Request'!$L:$L,'Mar 2026'!K$6)</f>
        <v>0</v>
      </c>
      <c r="L31" s="147">
        <f>COUNTIFS('2026 Time Off Request'!$A:$A,'Mar 2026'!$D31,'2026 Time Off Request'!$L:$L,'Mar 2026'!L$6)</f>
        <v>0</v>
      </c>
      <c r="M31" s="147">
        <f>COUNTIFS('2026 Time Off Request'!$A:$A,'Mar 2026'!$D31,'2026 Time Off Request'!$L:$L,'Mar 2026'!M$6)</f>
        <v>0</v>
      </c>
      <c r="N31" s="148">
        <f>COUNTIFS('2026 Time Off Request'!$A:$A,'Mar 2026'!$D31,'2026 Time Off Request'!$L:$L,'Mar 2026'!N$6)</f>
        <v>0</v>
      </c>
      <c r="O31" s="148">
        <f>COUNTIFS('2026 Time Off Request'!$A:$A,'Mar 2026'!$D31,'2026 Time Off Request'!$L:$L,'Mar 2026'!O$6)</f>
        <v>0</v>
      </c>
      <c r="P31" s="148">
        <f>COUNTIFS('2026 Time Off Request'!$A:$A,'Mar 2026'!$D31,'2026 Time Off Request'!$L:$L,'Mar 2026'!P$6)</f>
        <v>0</v>
      </c>
      <c r="Q31" s="148">
        <f>COUNTIFS('2026 Time Off Request'!$A:$A,'Mar 2026'!$D31,'2026 Time Off Request'!$L:$L,'Mar 2026'!Q$6)</f>
        <v>0</v>
      </c>
      <c r="R31" s="148">
        <f>COUNTIFS('2026 Time Off Request'!$A:$A,'Mar 2026'!$D31,'2026 Time Off Request'!$L:$L,'Mar 2026'!R$6)</f>
        <v>0</v>
      </c>
      <c r="S31" s="147">
        <f>COUNTIFS('2026 Time Off Request'!$A:$A,'Mar 2026'!$D31,'2026 Time Off Request'!$L:$L,'Mar 2026'!S$6)</f>
        <v>0</v>
      </c>
      <c r="T31" s="147">
        <f>COUNTIFS('2026 Time Off Request'!$A:$A,'Mar 2026'!$D31,'2026 Time Off Request'!$L:$L,'Mar 2026'!T$6)</f>
        <v>0</v>
      </c>
      <c r="U31" s="148">
        <f>COUNTIFS('2026 Time Off Request'!$A:$A,'Mar 2026'!$D31,'2026 Time Off Request'!$L:$L,'Mar 2026'!U$6)</f>
        <v>0</v>
      </c>
      <c r="V31" s="148">
        <f>COUNTIFS('2026 Time Off Request'!$A:$A,'Mar 2026'!$D31,'2026 Time Off Request'!$L:$L,'Mar 2026'!V$6)</f>
        <v>0</v>
      </c>
      <c r="W31" s="148">
        <f>COUNTIFS('2026 Time Off Request'!$A:$A,'Mar 2026'!$D31,'2026 Time Off Request'!$L:$L,'Mar 2026'!W$6)</f>
        <v>1</v>
      </c>
      <c r="X31" s="148">
        <f>COUNTIFS('2026 Time Off Request'!$A:$A,'Mar 2026'!$D31,'2026 Time Off Request'!$L:$L,'Mar 2026'!X$6)</f>
        <v>0</v>
      </c>
      <c r="Y31" s="148">
        <f>COUNTIFS('2026 Time Off Request'!$A:$A,'Mar 2026'!$D31,'2026 Time Off Request'!$L:$L,'Mar 2026'!Y$6)</f>
        <v>0</v>
      </c>
      <c r="Z31" s="147">
        <f>COUNTIFS('2026 Time Off Request'!$A:$A,'Mar 2026'!$D31,'2026 Time Off Request'!$L:$L,'Mar 2026'!Z$6)</f>
        <v>0</v>
      </c>
      <c r="AA31" s="147">
        <f>COUNTIFS('2026 Time Off Request'!$A:$A,'Mar 2026'!$D31,'2026 Time Off Request'!$L:$L,'Mar 2026'!AA$6)</f>
        <v>0</v>
      </c>
      <c r="AB31" s="148">
        <f>COUNTIFS('2026 Time Off Request'!$A:$A,'Mar 2026'!$D31,'2026 Time Off Request'!$L:$L,'Mar 2026'!AB$6)</f>
        <v>0</v>
      </c>
      <c r="AC31" s="148">
        <f>COUNTIFS('2026 Time Off Request'!$A:$A,'Mar 2026'!$D31,'2026 Time Off Request'!$L:$L,'Mar 2026'!AC$6)</f>
        <v>0</v>
      </c>
      <c r="AD31" s="148">
        <f>COUNTIFS('2026 Time Off Request'!$A:$A,'Mar 2026'!$D31,'2026 Time Off Request'!$L:$L,'Mar 2026'!AD$6)</f>
        <v>0</v>
      </c>
      <c r="AE31" s="148">
        <f>COUNTIFS('2026 Time Off Request'!$A:$A,'Mar 2026'!$D31,'2026 Time Off Request'!$L:$L,'Mar 2026'!AE$6)</f>
        <v>0</v>
      </c>
      <c r="AF31" s="148">
        <f>COUNTIFS('2026 Time Off Request'!$A:$A,'Mar 2026'!$D31,'2026 Time Off Request'!$L:$L,'Mar 2026'!AF$6)</f>
        <v>0</v>
      </c>
      <c r="AG31" s="147">
        <f>COUNTIFS('2026 Time Off Request'!$A:$A,'Mar 2026'!$D31,'2026 Time Off Request'!$L:$L,'Mar 2026'!AG$6)</f>
        <v>0</v>
      </c>
      <c r="AH31" s="147">
        <f>COUNTIFS('2026 Time Off Request'!$A:$A,'Mar 2026'!$D31,'2026 Time Off Request'!$L:$L,'Mar 2026'!AH$6)</f>
        <v>0</v>
      </c>
      <c r="AI31" s="148">
        <f>COUNTIFS('2026 Time Off Request'!$A:$A,'Mar 2026'!$D31,'2026 Time Off Request'!$L:$L,'Mar 2026'!AI$6)</f>
        <v>0</v>
      </c>
      <c r="AJ31" s="148">
        <f>COUNTIFS('2026 Time Off Request'!$A:$A,'Mar 2026'!$D31,'2026 Time Off Request'!$L:$L,'Mar 2026'!AJ$6)</f>
        <v>0</v>
      </c>
    </row>
    <row r="32" spans="1:36" ht="15.75">
      <c r="A32" s="2">
        <v>23</v>
      </c>
      <c r="B32" s="209" t="s">
        <v>45</v>
      </c>
      <c r="C32" s="210" t="s">
        <v>68</v>
      </c>
      <c r="D32" s="215" t="s">
        <v>69</v>
      </c>
      <c r="E32" s="212">
        <f t="shared" si="0"/>
        <v>1</v>
      </c>
      <c r="F32" s="213">
        <f>COUNTIFS('2026 Time Off Request'!$A:$A,'Mar 2026'!$D32,'2026 Time Off Request'!$L:$L,'Mar 2026'!F$6)</f>
        <v>0</v>
      </c>
      <c r="G32" s="148">
        <f>COUNTIFS('2026 Time Off Request'!$A:$A,'Mar 2026'!$D32,'2026 Time Off Request'!$L:$L,'Mar 2026'!G$6)</f>
        <v>0</v>
      </c>
      <c r="H32" s="148">
        <f>COUNTIFS('2026 Time Off Request'!$A:$A,'Mar 2026'!$D32,'2026 Time Off Request'!$L:$L,'Mar 2026'!H$6)</f>
        <v>0</v>
      </c>
      <c r="I32" s="148">
        <f>COUNTIFS('2026 Time Off Request'!$A:$A,'Mar 2026'!$D32,'2026 Time Off Request'!$L:$L,'Mar 2026'!I$6)</f>
        <v>0</v>
      </c>
      <c r="J32" s="148">
        <f>COUNTIFS('2026 Time Off Request'!$A:$A,'Mar 2026'!$D32,'2026 Time Off Request'!$L:$L,'Mar 2026'!J$6)</f>
        <v>0</v>
      </c>
      <c r="K32" s="148">
        <f>COUNTIFS('2026 Time Off Request'!$A:$A,'Mar 2026'!$D32,'2026 Time Off Request'!$L:$L,'Mar 2026'!K$6)</f>
        <v>0</v>
      </c>
      <c r="L32" s="147">
        <f>COUNTIFS('2026 Time Off Request'!$A:$A,'Mar 2026'!$D32,'2026 Time Off Request'!$L:$L,'Mar 2026'!L$6)</f>
        <v>0</v>
      </c>
      <c r="M32" s="147">
        <f>COUNTIFS('2026 Time Off Request'!$A:$A,'Mar 2026'!$D32,'2026 Time Off Request'!$L:$L,'Mar 2026'!M$6)</f>
        <v>0</v>
      </c>
      <c r="N32" s="148">
        <f>COUNTIFS('2026 Time Off Request'!$A:$A,'Mar 2026'!$D32,'2026 Time Off Request'!$L:$L,'Mar 2026'!N$6)</f>
        <v>0</v>
      </c>
      <c r="O32" s="148">
        <f>COUNTIFS('2026 Time Off Request'!$A:$A,'Mar 2026'!$D32,'2026 Time Off Request'!$L:$L,'Mar 2026'!O$6)</f>
        <v>1</v>
      </c>
      <c r="P32" s="148">
        <f>COUNTIFS('2026 Time Off Request'!$A:$A,'Mar 2026'!$D32,'2026 Time Off Request'!$L:$L,'Mar 2026'!P$6)</f>
        <v>0</v>
      </c>
      <c r="Q32" s="148">
        <f>COUNTIFS('2026 Time Off Request'!$A:$A,'Mar 2026'!$D32,'2026 Time Off Request'!$L:$L,'Mar 2026'!Q$6)</f>
        <v>0</v>
      </c>
      <c r="R32" s="148">
        <f>COUNTIFS('2026 Time Off Request'!$A:$A,'Mar 2026'!$D32,'2026 Time Off Request'!$L:$L,'Mar 2026'!R$6)</f>
        <v>0</v>
      </c>
      <c r="S32" s="147">
        <f>COUNTIFS('2026 Time Off Request'!$A:$A,'Mar 2026'!$D32,'2026 Time Off Request'!$L:$L,'Mar 2026'!S$6)</f>
        <v>0</v>
      </c>
      <c r="T32" s="147">
        <f>COUNTIFS('2026 Time Off Request'!$A:$A,'Mar 2026'!$D32,'2026 Time Off Request'!$L:$L,'Mar 2026'!T$6)</f>
        <v>0</v>
      </c>
      <c r="U32" s="148">
        <f>COUNTIFS('2026 Time Off Request'!$A:$A,'Mar 2026'!$D32,'2026 Time Off Request'!$L:$L,'Mar 2026'!U$6)</f>
        <v>0</v>
      </c>
      <c r="V32" s="148">
        <f>COUNTIFS('2026 Time Off Request'!$A:$A,'Mar 2026'!$D32,'2026 Time Off Request'!$L:$L,'Mar 2026'!V$6)</f>
        <v>0</v>
      </c>
      <c r="W32" s="148">
        <f>COUNTIFS('2026 Time Off Request'!$A:$A,'Mar 2026'!$D32,'2026 Time Off Request'!$L:$L,'Mar 2026'!W$6)</f>
        <v>0</v>
      </c>
      <c r="X32" s="148">
        <f>COUNTIFS('2026 Time Off Request'!$A:$A,'Mar 2026'!$D32,'2026 Time Off Request'!$L:$L,'Mar 2026'!X$6)</f>
        <v>0</v>
      </c>
      <c r="Y32" s="148">
        <f>COUNTIFS('2026 Time Off Request'!$A:$A,'Mar 2026'!$D32,'2026 Time Off Request'!$L:$L,'Mar 2026'!Y$6)</f>
        <v>0</v>
      </c>
      <c r="Z32" s="147">
        <f>COUNTIFS('2026 Time Off Request'!$A:$A,'Mar 2026'!$D32,'2026 Time Off Request'!$L:$L,'Mar 2026'!Z$6)</f>
        <v>0</v>
      </c>
      <c r="AA32" s="147">
        <f>COUNTIFS('2026 Time Off Request'!$A:$A,'Mar 2026'!$D32,'2026 Time Off Request'!$L:$L,'Mar 2026'!AA$6)</f>
        <v>0</v>
      </c>
      <c r="AB32" s="148">
        <f>COUNTIFS('2026 Time Off Request'!$A:$A,'Mar 2026'!$D32,'2026 Time Off Request'!$L:$L,'Mar 2026'!AB$6)</f>
        <v>0</v>
      </c>
      <c r="AC32" s="148">
        <f>COUNTIFS('2026 Time Off Request'!$A:$A,'Mar 2026'!$D32,'2026 Time Off Request'!$L:$L,'Mar 2026'!AC$6)</f>
        <v>0</v>
      </c>
      <c r="AD32" s="148">
        <f>COUNTIFS('2026 Time Off Request'!$A:$A,'Mar 2026'!$D32,'2026 Time Off Request'!$L:$L,'Mar 2026'!AD$6)</f>
        <v>0</v>
      </c>
      <c r="AE32" s="148">
        <f>COUNTIFS('2026 Time Off Request'!$A:$A,'Mar 2026'!$D32,'2026 Time Off Request'!$L:$L,'Mar 2026'!AE$6)</f>
        <v>0</v>
      </c>
      <c r="AF32" s="148">
        <f>COUNTIFS('2026 Time Off Request'!$A:$A,'Mar 2026'!$D32,'2026 Time Off Request'!$L:$L,'Mar 2026'!AF$6)</f>
        <v>0</v>
      </c>
      <c r="AG32" s="147">
        <f>COUNTIFS('2026 Time Off Request'!$A:$A,'Mar 2026'!$D32,'2026 Time Off Request'!$L:$L,'Mar 2026'!AG$6)</f>
        <v>0</v>
      </c>
      <c r="AH32" s="147">
        <f>COUNTIFS('2026 Time Off Request'!$A:$A,'Mar 2026'!$D32,'2026 Time Off Request'!$L:$L,'Mar 2026'!AH$6)</f>
        <v>0</v>
      </c>
      <c r="AI32" s="148">
        <f>COUNTIFS('2026 Time Off Request'!$A:$A,'Mar 2026'!$D32,'2026 Time Off Request'!$L:$L,'Mar 2026'!AI$6)</f>
        <v>0</v>
      </c>
      <c r="AJ32" s="148">
        <f>COUNTIFS('2026 Time Off Request'!$A:$A,'Mar 2026'!$D32,'2026 Time Off Request'!$L:$L,'Mar 2026'!AJ$6)</f>
        <v>0</v>
      </c>
    </row>
    <row r="33" spans="1:36" ht="15.75">
      <c r="A33" s="2">
        <v>24</v>
      </c>
      <c r="B33" s="209" t="s">
        <v>45</v>
      </c>
      <c r="C33" s="210" t="s">
        <v>70</v>
      </c>
      <c r="D33" s="215" t="s">
        <v>71</v>
      </c>
      <c r="E33" s="212">
        <f t="shared" si="0"/>
        <v>0</v>
      </c>
      <c r="F33" s="213">
        <f>COUNTIFS('2026 Time Off Request'!$A:$A,'Mar 2026'!$D33,'2026 Time Off Request'!$L:$L,'Mar 2026'!F$6)</f>
        <v>0</v>
      </c>
      <c r="G33" s="148">
        <f>COUNTIFS('2026 Time Off Request'!$A:$A,'Mar 2026'!$D33,'2026 Time Off Request'!$L:$L,'Mar 2026'!G$6)</f>
        <v>0</v>
      </c>
      <c r="H33" s="148">
        <f>COUNTIFS('2026 Time Off Request'!$A:$A,'Mar 2026'!$D33,'2026 Time Off Request'!$L:$L,'Mar 2026'!H$6)</f>
        <v>0</v>
      </c>
      <c r="I33" s="148">
        <f>COUNTIFS('2026 Time Off Request'!$A:$A,'Mar 2026'!$D33,'2026 Time Off Request'!$L:$L,'Mar 2026'!I$6)</f>
        <v>0</v>
      </c>
      <c r="J33" s="148">
        <f>COUNTIFS('2026 Time Off Request'!$A:$A,'Mar 2026'!$D33,'2026 Time Off Request'!$L:$L,'Mar 2026'!J$6)</f>
        <v>0</v>
      </c>
      <c r="K33" s="148">
        <f>COUNTIFS('2026 Time Off Request'!$A:$A,'Mar 2026'!$D33,'2026 Time Off Request'!$L:$L,'Mar 2026'!K$6)</f>
        <v>0</v>
      </c>
      <c r="L33" s="147">
        <f>COUNTIFS('2026 Time Off Request'!$A:$A,'Mar 2026'!$D33,'2026 Time Off Request'!$L:$L,'Mar 2026'!L$6)</f>
        <v>0</v>
      </c>
      <c r="M33" s="147">
        <f>COUNTIFS('2026 Time Off Request'!$A:$A,'Mar 2026'!$D33,'2026 Time Off Request'!$L:$L,'Mar 2026'!M$6)</f>
        <v>0</v>
      </c>
      <c r="N33" s="148">
        <f>COUNTIFS('2026 Time Off Request'!$A:$A,'Mar 2026'!$D33,'2026 Time Off Request'!$L:$L,'Mar 2026'!N$6)</f>
        <v>0</v>
      </c>
      <c r="O33" s="148">
        <f>COUNTIFS('2026 Time Off Request'!$A:$A,'Mar 2026'!$D33,'2026 Time Off Request'!$L:$L,'Mar 2026'!O$6)</f>
        <v>0</v>
      </c>
      <c r="P33" s="148">
        <f>COUNTIFS('2026 Time Off Request'!$A:$A,'Mar 2026'!$D33,'2026 Time Off Request'!$L:$L,'Mar 2026'!P$6)</f>
        <v>0</v>
      </c>
      <c r="Q33" s="148">
        <f>COUNTIFS('2026 Time Off Request'!$A:$A,'Mar 2026'!$D33,'2026 Time Off Request'!$L:$L,'Mar 2026'!Q$6)</f>
        <v>0</v>
      </c>
      <c r="R33" s="148">
        <f>COUNTIFS('2026 Time Off Request'!$A:$A,'Mar 2026'!$D33,'2026 Time Off Request'!$L:$L,'Mar 2026'!R$6)</f>
        <v>0</v>
      </c>
      <c r="S33" s="147">
        <f>COUNTIFS('2026 Time Off Request'!$A:$A,'Mar 2026'!$D33,'2026 Time Off Request'!$L:$L,'Mar 2026'!S$6)</f>
        <v>0</v>
      </c>
      <c r="T33" s="147">
        <f>COUNTIFS('2026 Time Off Request'!$A:$A,'Mar 2026'!$D33,'2026 Time Off Request'!$L:$L,'Mar 2026'!T$6)</f>
        <v>0</v>
      </c>
      <c r="U33" s="148">
        <f>COUNTIFS('2026 Time Off Request'!$A:$A,'Mar 2026'!$D33,'2026 Time Off Request'!$L:$L,'Mar 2026'!U$6)</f>
        <v>0</v>
      </c>
      <c r="V33" s="148">
        <f>COUNTIFS('2026 Time Off Request'!$A:$A,'Mar 2026'!$D33,'2026 Time Off Request'!$L:$L,'Mar 2026'!V$6)</f>
        <v>0</v>
      </c>
      <c r="W33" s="148">
        <f>COUNTIFS('2026 Time Off Request'!$A:$A,'Mar 2026'!$D33,'2026 Time Off Request'!$L:$L,'Mar 2026'!W$6)</f>
        <v>0</v>
      </c>
      <c r="X33" s="148">
        <f>COUNTIFS('2026 Time Off Request'!$A:$A,'Mar 2026'!$D33,'2026 Time Off Request'!$L:$L,'Mar 2026'!X$6)</f>
        <v>0</v>
      </c>
      <c r="Y33" s="148">
        <f>COUNTIFS('2026 Time Off Request'!$A:$A,'Mar 2026'!$D33,'2026 Time Off Request'!$L:$L,'Mar 2026'!Y$6)</f>
        <v>0</v>
      </c>
      <c r="Z33" s="147">
        <f>COUNTIFS('2026 Time Off Request'!$A:$A,'Mar 2026'!$D33,'2026 Time Off Request'!$L:$L,'Mar 2026'!Z$6)</f>
        <v>0</v>
      </c>
      <c r="AA33" s="147">
        <f>COUNTIFS('2026 Time Off Request'!$A:$A,'Mar 2026'!$D33,'2026 Time Off Request'!$L:$L,'Mar 2026'!AA$6)</f>
        <v>0</v>
      </c>
      <c r="AB33" s="148">
        <f>COUNTIFS('2026 Time Off Request'!$A:$A,'Mar 2026'!$D33,'2026 Time Off Request'!$L:$L,'Mar 2026'!AB$6)</f>
        <v>0</v>
      </c>
      <c r="AC33" s="148">
        <f>COUNTIFS('2026 Time Off Request'!$A:$A,'Mar 2026'!$D33,'2026 Time Off Request'!$L:$L,'Mar 2026'!AC$6)</f>
        <v>0</v>
      </c>
      <c r="AD33" s="148">
        <f>COUNTIFS('2026 Time Off Request'!$A:$A,'Mar 2026'!$D33,'2026 Time Off Request'!$L:$L,'Mar 2026'!AD$6)</f>
        <v>0</v>
      </c>
      <c r="AE33" s="148">
        <f>COUNTIFS('2026 Time Off Request'!$A:$A,'Mar 2026'!$D33,'2026 Time Off Request'!$L:$L,'Mar 2026'!AE$6)</f>
        <v>0</v>
      </c>
      <c r="AF33" s="148">
        <f>COUNTIFS('2026 Time Off Request'!$A:$A,'Mar 2026'!$D33,'2026 Time Off Request'!$L:$L,'Mar 2026'!AF$6)</f>
        <v>0</v>
      </c>
      <c r="AG33" s="147">
        <f>COUNTIFS('2026 Time Off Request'!$A:$A,'Mar 2026'!$D33,'2026 Time Off Request'!$L:$L,'Mar 2026'!AG$6)</f>
        <v>0</v>
      </c>
      <c r="AH33" s="147">
        <f>COUNTIFS('2026 Time Off Request'!$A:$A,'Mar 2026'!$D33,'2026 Time Off Request'!$L:$L,'Mar 2026'!AH$6)</f>
        <v>0</v>
      </c>
      <c r="AI33" s="148">
        <f>COUNTIFS('2026 Time Off Request'!$A:$A,'Mar 2026'!$D33,'2026 Time Off Request'!$L:$L,'Mar 2026'!AI$6)</f>
        <v>0</v>
      </c>
      <c r="AJ33" s="148">
        <f>COUNTIFS('2026 Time Off Request'!$A:$A,'Mar 2026'!$D33,'2026 Time Off Request'!$L:$L,'Mar 2026'!AJ$6)</f>
        <v>0</v>
      </c>
    </row>
    <row r="34" spans="1:36" ht="15.75">
      <c r="A34" s="2">
        <v>25</v>
      </c>
      <c r="B34" s="209" t="s">
        <v>45</v>
      </c>
      <c r="C34" s="210" t="s">
        <v>70</v>
      </c>
      <c r="D34" s="215" t="s">
        <v>72</v>
      </c>
      <c r="E34" s="212">
        <f t="shared" si="0"/>
        <v>0</v>
      </c>
      <c r="F34" s="213">
        <f>COUNTIFS('2026 Time Off Request'!$A:$A,'Mar 2026'!$D34,'2026 Time Off Request'!$L:$L,'Mar 2026'!F$6)</f>
        <v>0</v>
      </c>
      <c r="G34" s="148">
        <f>COUNTIFS('2026 Time Off Request'!$A:$A,'Mar 2026'!$D34,'2026 Time Off Request'!$L:$L,'Mar 2026'!G$6)</f>
        <v>0</v>
      </c>
      <c r="H34" s="148">
        <f>COUNTIFS('2026 Time Off Request'!$A:$A,'Mar 2026'!$D34,'2026 Time Off Request'!$L:$L,'Mar 2026'!H$6)</f>
        <v>0</v>
      </c>
      <c r="I34" s="148">
        <f>COUNTIFS('2026 Time Off Request'!$A:$A,'Mar 2026'!$D34,'2026 Time Off Request'!$L:$L,'Mar 2026'!I$6)</f>
        <v>0</v>
      </c>
      <c r="J34" s="148">
        <f>COUNTIFS('2026 Time Off Request'!$A:$A,'Mar 2026'!$D34,'2026 Time Off Request'!$L:$L,'Mar 2026'!J$6)</f>
        <v>0</v>
      </c>
      <c r="K34" s="148">
        <f>COUNTIFS('2026 Time Off Request'!$A:$A,'Mar 2026'!$D34,'2026 Time Off Request'!$L:$L,'Mar 2026'!K$6)</f>
        <v>0</v>
      </c>
      <c r="L34" s="147">
        <f>COUNTIFS('2026 Time Off Request'!$A:$A,'Mar 2026'!$D34,'2026 Time Off Request'!$L:$L,'Mar 2026'!L$6)</f>
        <v>0</v>
      </c>
      <c r="M34" s="147">
        <f>COUNTIFS('2026 Time Off Request'!$A:$A,'Mar 2026'!$D34,'2026 Time Off Request'!$L:$L,'Mar 2026'!M$6)</f>
        <v>0</v>
      </c>
      <c r="N34" s="148">
        <f>COUNTIFS('2026 Time Off Request'!$A:$A,'Mar 2026'!$D34,'2026 Time Off Request'!$L:$L,'Mar 2026'!N$6)</f>
        <v>0</v>
      </c>
      <c r="O34" s="148">
        <f>COUNTIFS('2026 Time Off Request'!$A:$A,'Mar 2026'!$D34,'2026 Time Off Request'!$L:$L,'Mar 2026'!O$6)</f>
        <v>0</v>
      </c>
      <c r="P34" s="148">
        <f>COUNTIFS('2026 Time Off Request'!$A:$A,'Mar 2026'!$D34,'2026 Time Off Request'!$L:$L,'Mar 2026'!P$6)</f>
        <v>0</v>
      </c>
      <c r="Q34" s="148">
        <f>COUNTIFS('2026 Time Off Request'!$A:$A,'Mar 2026'!$D34,'2026 Time Off Request'!$L:$L,'Mar 2026'!Q$6)</f>
        <v>0</v>
      </c>
      <c r="R34" s="148">
        <f>COUNTIFS('2026 Time Off Request'!$A:$A,'Mar 2026'!$D34,'2026 Time Off Request'!$L:$L,'Mar 2026'!R$6)</f>
        <v>0</v>
      </c>
      <c r="S34" s="147">
        <f>COUNTIFS('2026 Time Off Request'!$A:$A,'Mar 2026'!$D34,'2026 Time Off Request'!$L:$L,'Mar 2026'!S$6)</f>
        <v>0</v>
      </c>
      <c r="T34" s="147">
        <f>COUNTIFS('2026 Time Off Request'!$A:$A,'Mar 2026'!$D34,'2026 Time Off Request'!$L:$L,'Mar 2026'!T$6)</f>
        <v>0</v>
      </c>
      <c r="U34" s="148">
        <f>COUNTIFS('2026 Time Off Request'!$A:$A,'Mar 2026'!$D34,'2026 Time Off Request'!$L:$L,'Mar 2026'!U$6)</f>
        <v>0</v>
      </c>
      <c r="V34" s="148">
        <f>COUNTIFS('2026 Time Off Request'!$A:$A,'Mar 2026'!$D34,'2026 Time Off Request'!$L:$L,'Mar 2026'!V$6)</f>
        <v>0</v>
      </c>
      <c r="W34" s="148">
        <f>COUNTIFS('2026 Time Off Request'!$A:$A,'Mar 2026'!$D34,'2026 Time Off Request'!$L:$L,'Mar 2026'!W$6)</f>
        <v>0</v>
      </c>
      <c r="X34" s="148">
        <f>COUNTIFS('2026 Time Off Request'!$A:$A,'Mar 2026'!$D34,'2026 Time Off Request'!$L:$L,'Mar 2026'!X$6)</f>
        <v>0</v>
      </c>
      <c r="Y34" s="148">
        <f>COUNTIFS('2026 Time Off Request'!$A:$A,'Mar 2026'!$D34,'2026 Time Off Request'!$L:$L,'Mar 2026'!Y$6)</f>
        <v>0</v>
      </c>
      <c r="Z34" s="147">
        <f>COUNTIFS('2026 Time Off Request'!$A:$A,'Mar 2026'!$D34,'2026 Time Off Request'!$L:$L,'Mar 2026'!Z$6)</f>
        <v>0</v>
      </c>
      <c r="AA34" s="147">
        <f>COUNTIFS('2026 Time Off Request'!$A:$A,'Mar 2026'!$D34,'2026 Time Off Request'!$L:$L,'Mar 2026'!AA$6)</f>
        <v>0</v>
      </c>
      <c r="AB34" s="148">
        <f>COUNTIFS('2026 Time Off Request'!$A:$A,'Mar 2026'!$D34,'2026 Time Off Request'!$L:$L,'Mar 2026'!AB$6)</f>
        <v>0</v>
      </c>
      <c r="AC34" s="148">
        <f>COUNTIFS('2026 Time Off Request'!$A:$A,'Mar 2026'!$D34,'2026 Time Off Request'!$L:$L,'Mar 2026'!AC$6)</f>
        <v>0</v>
      </c>
      <c r="AD34" s="148">
        <f>COUNTIFS('2026 Time Off Request'!$A:$A,'Mar 2026'!$D34,'2026 Time Off Request'!$L:$L,'Mar 2026'!AD$6)</f>
        <v>0</v>
      </c>
      <c r="AE34" s="148">
        <f>COUNTIFS('2026 Time Off Request'!$A:$A,'Mar 2026'!$D34,'2026 Time Off Request'!$L:$L,'Mar 2026'!AE$6)</f>
        <v>0</v>
      </c>
      <c r="AF34" s="148">
        <f>COUNTIFS('2026 Time Off Request'!$A:$A,'Mar 2026'!$D34,'2026 Time Off Request'!$L:$L,'Mar 2026'!AF$6)</f>
        <v>0</v>
      </c>
      <c r="AG34" s="147">
        <f>COUNTIFS('2026 Time Off Request'!$A:$A,'Mar 2026'!$D34,'2026 Time Off Request'!$L:$L,'Mar 2026'!AG$6)</f>
        <v>0</v>
      </c>
      <c r="AH34" s="147">
        <f>COUNTIFS('2026 Time Off Request'!$A:$A,'Mar 2026'!$D34,'2026 Time Off Request'!$L:$L,'Mar 2026'!AH$6)</f>
        <v>0</v>
      </c>
      <c r="AI34" s="148">
        <f>COUNTIFS('2026 Time Off Request'!$A:$A,'Mar 2026'!$D34,'2026 Time Off Request'!$L:$L,'Mar 2026'!AI$6)</f>
        <v>0</v>
      </c>
      <c r="AJ34" s="148">
        <f>COUNTIFS('2026 Time Off Request'!$A:$A,'Mar 2026'!$D34,'2026 Time Off Request'!$L:$L,'Mar 2026'!AJ$6)</f>
        <v>0</v>
      </c>
    </row>
    <row r="35" spans="1:36" ht="15.75">
      <c r="A35" s="2">
        <v>26</v>
      </c>
      <c r="B35" s="209" t="s">
        <v>45</v>
      </c>
      <c r="C35" s="210" t="s">
        <v>73</v>
      </c>
      <c r="D35" s="215" t="s">
        <v>74</v>
      </c>
      <c r="E35" s="212">
        <f t="shared" ref="E35" si="2">SUM(F35:AJ35)</f>
        <v>0</v>
      </c>
      <c r="F35" s="213">
        <f>COUNTIFS('2026 Time Off Request'!$A:$A,'Mar 2026'!$D35,'2026 Time Off Request'!$L:$L,'Mar 2026'!F$6)</f>
        <v>0</v>
      </c>
      <c r="G35" s="148">
        <f>COUNTIFS('2026 Time Off Request'!$A:$A,'Mar 2026'!$D35,'2026 Time Off Request'!$L:$L,'Mar 2026'!G$6)</f>
        <v>0</v>
      </c>
      <c r="H35" s="148">
        <f>COUNTIFS('2026 Time Off Request'!$A:$A,'Mar 2026'!$D35,'2026 Time Off Request'!$L:$L,'Mar 2026'!H$6)</f>
        <v>0</v>
      </c>
      <c r="I35" s="148">
        <f>COUNTIFS('2026 Time Off Request'!$A:$A,'Mar 2026'!$D35,'2026 Time Off Request'!$L:$L,'Mar 2026'!I$6)</f>
        <v>0</v>
      </c>
      <c r="J35" s="148">
        <f>COUNTIFS('2026 Time Off Request'!$A:$A,'Mar 2026'!$D35,'2026 Time Off Request'!$L:$L,'Mar 2026'!J$6)</f>
        <v>0</v>
      </c>
      <c r="K35" s="148">
        <f>COUNTIFS('2026 Time Off Request'!$A:$A,'Mar 2026'!$D35,'2026 Time Off Request'!$L:$L,'Mar 2026'!K$6)</f>
        <v>0</v>
      </c>
      <c r="L35" s="147">
        <f>COUNTIFS('2026 Time Off Request'!$A:$A,'Mar 2026'!$D35,'2026 Time Off Request'!$L:$L,'Mar 2026'!L$6)</f>
        <v>0</v>
      </c>
      <c r="M35" s="147">
        <f>COUNTIFS('2026 Time Off Request'!$A:$A,'Mar 2026'!$D35,'2026 Time Off Request'!$L:$L,'Mar 2026'!M$6)</f>
        <v>0</v>
      </c>
      <c r="N35" s="148">
        <f>COUNTIFS('2026 Time Off Request'!$A:$A,'Mar 2026'!$D35,'2026 Time Off Request'!$L:$L,'Mar 2026'!N$6)</f>
        <v>0</v>
      </c>
      <c r="O35" s="148">
        <f>COUNTIFS('2026 Time Off Request'!$A:$A,'Mar 2026'!$D35,'2026 Time Off Request'!$L:$L,'Mar 2026'!O$6)</f>
        <v>0</v>
      </c>
      <c r="P35" s="148">
        <f>COUNTIFS('2026 Time Off Request'!$A:$A,'Mar 2026'!$D35,'2026 Time Off Request'!$L:$L,'Mar 2026'!P$6)</f>
        <v>0</v>
      </c>
      <c r="Q35" s="148">
        <f>COUNTIFS('2026 Time Off Request'!$A:$A,'Mar 2026'!$D35,'2026 Time Off Request'!$L:$L,'Mar 2026'!Q$6)</f>
        <v>0</v>
      </c>
      <c r="R35" s="148">
        <f>COUNTIFS('2026 Time Off Request'!$A:$A,'Mar 2026'!$D35,'2026 Time Off Request'!$L:$L,'Mar 2026'!R$6)</f>
        <v>0</v>
      </c>
      <c r="S35" s="147">
        <f>COUNTIFS('2026 Time Off Request'!$A:$A,'Mar 2026'!$D35,'2026 Time Off Request'!$L:$L,'Mar 2026'!S$6)</f>
        <v>0</v>
      </c>
      <c r="T35" s="147">
        <f>COUNTIFS('2026 Time Off Request'!$A:$A,'Mar 2026'!$D35,'2026 Time Off Request'!$L:$L,'Mar 2026'!T$6)</f>
        <v>0</v>
      </c>
      <c r="U35" s="148">
        <f>COUNTIFS('2026 Time Off Request'!$A:$A,'Mar 2026'!$D35,'2026 Time Off Request'!$L:$L,'Mar 2026'!U$6)</f>
        <v>0</v>
      </c>
      <c r="V35" s="148">
        <f>COUNTIFS('2026 Time Off Request'!$A:$A,'Mar 2026'!$D35,'2026 Time Off Request'!$L:$L,'Mar 2026'!V$6)</f>
        <v>0</v>
      </c>
      <c r="W35" s="148">
        <f>COUNTIFS('2026 Time Off Request'!$A:$A,'Mar 2026'!$D35,'2026 Time Off Request'!$L:$L,'Mar 2026'!W$6)</f>
        <v>0</v>
      </c>
      <c r="X35" s="148">
        <f>COUNTIFS('2026 Time Off Request'!$A:$A,'Mar 2026'!$D35,'2026 Time Off Request'!$L:$L,'Mar 2026'!X$6)</f>
        <v>0</v>
      </c>
      <c r="Y35" s="148">
        <f>COUNTIFS('2026 Time Off Request'!$A:$A,'Mar 2026'!$D35,'2026 Time Off Request'!$L:$L,'Mar 2026'!Y$6)</f>
        <v>0</v>
      </c>
      <c r="Z35" s="147">
        <f>COUNTIFS('2026 Time Off Request'!$A:$A,'Mar 2026'!$D35,'2026 Time Off Request'!$L:$L,'Mar 2026'!Z$6)</f>
        <v>0</v>
      </c>
      <c r="AA35" s="147">
        <f>COUNTIFS('2026 Time Off Request'!$A:$A,'Mar 2026'!$D35,'2026 Time Off Request'!$L:$L,'Mar 2026'!AA$6)</f>
        <v>0</v>
      </c>
      <c r="AB35" s="148">
        <f>COUNTIFS('2026 Time Off Request'!$A:$A,'Mar 2026'!$D35,'2026 Time Off Request'!$L:$L,'Mar 2026'!AB$6)</f>
        <v>0</v>
      </c>
      <c r="AC35" s="148">
        <f>COUNTIFS('2026 Time Off Request'!$A:$A,'Mar 2026'!$D35,'2026 Time Off Request'!$L:$L,'Mar 2026'!AC$6)</f>
        <v>0</v>
      </c>
      <c r="AD35" s="148">
        <f>COUNTIFS('2026 Time Off Request'!$A:$A,'Mar 2026'!$D35,'2026 Time Off Request'!$L:$L,'Mar 2026'!AD$6)</f>
        <v>0</v>
      </c>
      <c r="AE35" s="148">
        <f>COUNTIFS('2026 Time Off Request'!$A:$A,'Mar 2026'!$D35,'2026 Time Off Request'!$L:$L,'Mar 2026'!AE$6)</f>
        <v>0</v>
      </c>
      <c r="AF35" s="148">
        <f>COUNTIFS('2026 Time Off Request'!$A:$A,'Mar 2026'!$D35,'2026 Time Off Request'!$L:$L,'Mar 2026'!AF$6)</f>
        <v>0</v>
      </c>
      <c r="AG35" s="147">
        <f>COUNTIFS('2026 Time Off Request'!$A:$A,'Mar 2026'!$D35,'2026 Time Off Request'!$L:$L,'Mar 2026'!AG$6)</f>
        <v>0</v>
      </c>
      <c r="AH35" s="147">
        <f>COUNTIFS('2026 Time Off Request'!$A:$A,'Mar 2026'!$D35,'2026 Time Off Request'!$L:$L,'Mar 2026'!AH$6)</f>
        <v>0</v>
      </c>
      <c r="AI35" s="148">
        <f>COUNTIFS('2026 Time Off Request'!$A:$A,'Mar 2026'!$D35,'2026 Time Off Request'!$L:$L,'Mar 2026'!AI$6)</f>
        <v>0</v>
      </c>
      <c r="AJ35" s="148">
        <f>COUNTIFS('2026 Time Off Request'!$A:$A,'Mar 2026'!$D35,'2026 Time Off Request'!$L:$L,'Mar 2026'!AJ$6)</f>
        <v>0</v>
      </c>
    </row>
    <row r="36" spans="1:36" ht="15.75">
      <c r="A36" s="2">
        <v>27</v>
      </c>
      <c r="B36" s="209" t="s">
        <v>49</v>
      </c>
      <c r="C36" s="210" t="s">
        <v>75</v>
      </c>
      <c r="D36" s="215" t="s">
        <v>76</v>
      </c>
      <c r="E36" s="212">
        <f t="shared" si="0"/>
        <v>0</v>
      </c>
      <c r="F36" s="213">
        <f>COUNTIFS('2026 Time Off Request'!$A:$A,'Mar 2026'!$D36,'2026 Time Off Request'!$L:$L,'Mar 2026'!F$6)</f>
        <v>0</v>
      </c>
      <c r="G36" s="148">
        <f>COUNTIFS('2026 Time Off Request'!$A:$A,'Mar 2026'!$D36,'2026 Time Off Request'!$L:$L,'Mar 2026'!G$6)</f>
        <v>0</v>
      </c>
      <c r="H36" s="148">
        <f>COUNTIFS('2026 Time Off Request'!$A:$A,'Mar 2026'!$D36,'2026 Time Off Request'!$L:$L,'Mar 2026'!H$6)</f>
        <v>0</v>
      </c>
      <c r="I36" s="148">
        <f>COUNTIFS('2026 Time Off Request'!$A:$A,'Mar 2026'!$D36,'2026 Time Off Request'!$L:$L,'Mar 2026'!I$6)</f>
        <v>0</v>
      </c>
      <c r="J36" s="148">
        <f>COUNTIFS('2026 Time Off Request'!$A:$A,'Mar 2026'!$D36,'2026 Time Off Request'!$L:$L,'Mar 2026'!J$6)</f>
        <v>0</v>
      </c>
      <c r="K36" s="148">
        <f>COUNTIFS('2026 Time Off Request'!$A:$A,'Mar 2026'!$D36,'2026 Time Off Request'!$L:$L,'Mar 2026'!K$6)</f>
        <v>0</v>
      </c>
      <c r="L36" s="147">
        <f>COUNTIFS('2026 Time Off Request'!$A:$A,'Mar 2026'!$D36,'2026 Time Off Request'!$L:$L,'Mar 2026'!L$6)</f>
        <v>0</v>
      </c>
      <c r="M36" s="147">
        <f>COUNTIFS('2026 Time Off Request'!$A:$A,'Mar 2026'!$D36,'2026 Time Off Request'!$L:$L,'Mar 2026'!M$6)</f>
        <v>0</v>
      </c>
      <c r="N36" s="148">
        <f>COUNTIFS('2026 Time Off Request'!$A:$A,'Mar 2026'!$D36,'2026 Time Off Request'!$L:$L,'Mar 2026'!N$6)</f>
        <v>0</v>
      </c>
      <c r="O36" s="148">
        <f>COUNTIFS('2026 Time Off Request'!$A:$A,'Mar 2026'!$D36,'2026 Time Off Request'!$L:$L,'Mar 2026'!O$6)</f>
        <v>0</v>
      </c>
      <c r="P36" s="148">
        <f>COUNTIFS('2026 Time Off Request'!$A:$A,'Mar 2026'!$D36,'2026 Time Off Request'!$L:$L,'Mar 2026'!P$6)</f>
        <v>0</v>
      </c>
      <c r="Q36" s="148">
        <f>COUNTIFS('2026 Time Off Request'!$A:$A,'Mar 2026'!$D36,'2026 Time Off Request'!$L:$L,'Mar 2026'!Q$6)</f>
        <v>0</v>
      </c>
      <c r="R36" s="148">
        <f>COUNTIFS('2026 Time Off Request'!$A:$A,'Mar 2026'!$D36,'2026 Time Off Request'!$L:$L,'Mar 2026'!R$6)</f>
        <v>0</v>
      </c>
      <c r="S36" s="147">
        <f>COUNTIFS('2026 Time Off Request'!$A:$A,'Mar 2026'!$D36,'2026 Time Off Request'!$L:$L,'Mar 2026'!S$6)</f>
        <v>0</v>
      </c>
      <c r="T36" s="147">
        <f>COUNTIFS('2026 Time Off Request'!$A:$A,'Mar 2026'!$D36,'2026 Time Off Request'!$L:$L,'Mar 2026'!T$6)</f>
        <v>0</v>
      </c>
      <c r="U36" s="148">
        <f>COUNTIFS('2026 Time Off Request'!$A:$A,'Mar 2026'!$D36,'2026 Time Off Request'!$L:$L,'Mar 2026'!U$6)</f>
        <v>0</v>
      </c>
      <c r="V36" s="148">
        <f>COUNTIFS('2026 Time Off Request'!$A:$A,'Mar 2026'!$D36,'2026 Time Off Request'!$L:$L,'Mar 2026'!V$6)</f>
        <v>0</v>
      </c>
      <c r="W36" s="148">
        <f>COUNTIFS('2026 Time Off Request'!$A:$A,'Mar 2026'!$D36,'2026 Time Off Request'!$L:$L,'Mar 2026'!W$6)</f>
        <v>0</v>
      </c>
      <c r="X36" s="148">
        <f>COUNTIFS('2026 Time Off Request'!$A:$A,'Mar 2026'!$D36,'2026 Time Off Request'!$L:$L,'Mar 2026'!X$6)</f>
        <v>0</v>
      </c>
      <c r="Y36" s="148">
        <f>COUNTIFS('2026 Time Off Request'!$A:$A,'Mar 2026'!$D36,'2026 Time Off Request'!$L:$L,'Mar 2026'!Y$6)</f>
        <v>0</v>
      </c>
      <c r="Z36" s="147">
        <f>COUNTIFS('2026 Time Off Request'!$A:$A,'Mar 2026'!$D36,'2026 Time Off Request'!$L:$L,'Mar 2026'!Z$6)</f>
        <v>0</v>
      </c>
      <c r="AA36" s="147">
        <f>COUNTIFS('2026 Time Off Request'!$A:$A,'Mar 2026'!$D36,'2026 Time Off Request'!$L:$L,'Mar 2026'!AA$6)</f>
        <v>0</v>
      </c>
      <c r="AB36" s="148">
        <f>COUNTIFS('2026 Time Off Request'!$A:$A,'Mar 2026'!$D36,'2026 Time Off Request'!$L:$L,'Mar 2026'!AB$6)</f>
        <v>0</v>
      </c>
      <c r="AC36" s="148">
        <f>COUNTIFS('2026 Time Off Request'!$A:$A,'Mar 2026'!$D36,'2026 Time Off Request'!$L:$L,'Mar 2026'!AC$6)</f>
        <v>0</v>
      </c>
      <c r="AD36" s="148">
        <f>COUNTIFS('2026 Time Off Request'!$A:$A,'Mar 2026'!$D36,'2026 Time Off Request'!$L:$L,'Mar 2026'!AD$6)</f>
        <v>0</v>
      </c>
      <c r="AE36" s="148">
        <f>COUNTIFS('2026 Time Off Request'!$A:$A,'Mar 2026'!$D36,'2026 Time Off Request'!$L:$L,'Mar 2026'!AE$6)</f>
        <v>0</v>
      </c>
      <c r="AF36" s="148">
        <f>COUNTIFS('2026 Time Off Request'!$A:$A,'Mar 2026'!$D36,'2026 Time Off Request'!$L:$L,'Mar 2026'!AF$6)</f>
        <v>0</v>
      </c>
      <c r="AG36" s="147">
        <f>COUNTIFS('2026 Time Off Request'!$A:$A,'Mar 2026'!$D36,'2026 Time Off Request'!$L:$L,'Mar 2026'!AG$6)</f>
        <v>0</v>
      </c>
      <c r="AH36" s="147">
        <f>COUNTIFS('2026 Time Off Request'!$A:$A,'Mar 2026'!$D36,'2026 Time Off Request'!$L:$L,'Mar 2026'!AH$6)</f>
        <v>0</v>
      </c>
      <c r="AI36" s="148">
        <f>COUNTIFS('2026 Time Off Request'!$A:$A,'Mar 2026'!$D36,'2026 Time Off Request'!$L:$L,'Mar 2026'!AI$6)</f>
        <v>0</v>
      </c>
      <c r="AJ36" s="148">
        <f>COUNTIFS('2026 Time Off Request'!$A:$A,'Mar 2026'!$D36,'2026 Time Off Request'!$L:$L,'Mar 2026'!AJ$6)</f>
        <v>0</v>
      </c>
    </row>
    <row r="37" spans="1:36" ht="15.75">
      <c r="A37" s="2">
        <v>28</v>
      </c>
      <c r="B37" s="209" t="s">
        <v>45</v>
      </c>
      <c r="C37" s="210" t="s">
        <v>77</v>
      </c>
      <c r="D37" s="215" t="s">
        <v>78</v>
      </c>
      <c r="E37" s="212">
        <f t="shared" si="0"/>
        <v>0</v>
      </c>
      <c r="F37" s="213">
        <f>COUNTIFS('2026 Time Off Request'!$A:$A,'Mar 2026'!$D37,'2026 Time Off Request'!$L:$L,'Mar 2026'!F$6)</f>
        <v>0</v>
      </c>
      <c r="G37" s="148">
        <f>COUNTIFS('2026 Time Off Request'!$A:$A,'Mar 2026'!$D37,'2026 Time Off Request'!$L:$L,'Mar 2026'!G$6)</f>
        <v>0</v>
      </c>
      <c r="H37" s="148">
        <f>COUNTIFS('2026 Time Off Request'!$A:$A,'Mar 2026'!$D37,'2026 Time Off Request'!$L:$L,'Mar 2026'!H$6)</f>
        <v>0</v>
      </c>
      <c r="I37" s="148">
        <f>COUNTIFS('2026 Time Off Request'!$A:$A,'Mar 2026'!$D37,'2026 Time Off Request'!$L:$L,'Mar 2026'!I$6)</f>
        <v>0</v>
      </c>
      <c r="J37" s="148">
        <f>COUNTIFS('2026 Time Off Request'!$A:$A,'Mar 2026'!$D37,'2026 Time Off Request'!$L:$L,'Mar 2026'!J$6)</f>
        <v>0</v>
      </c>
      <c r="K37" s="148">
        <f>COUNTIFS('2026 Time Off Request'!$A:$A,'Mar 2026'!$D37,'2026 Time Off Request'!$L:$L,'Mar 2026'!K$6)</f>
        <v>0</v>
      </c>
      <c r="L37" s="147">
        <f>COUNTIFS('2026 Time Off Request'!$A:$A,'Mar 2026'!$D37,'2026 Time Off Request'!$L:$L,'Mar 2026'!L$6)</f>
        <v>0</v>
      </c>
      <c r="M37" s="147">
        <f>COUNTIFS('2026 Time Off Request'!$A:$A,'Mar 2026'!$D37,'2026 Time Off Request'!$L:$L,'Mar 2026'!M$6)</f>
        <v>0</v>
      </c>
      <c r="N37" s="148">
        <f>COUNTIFS('2026 Time Off Request'!$A:$A,'Mar 2026'!$D37,'2026 Time Off Request'!$L:$L,'Mar 2026'!N$6)</f>
        <v>0</v>
      </c>
      <c r="O37" s="148">
        <f>COUNTIFS('2026 Time Off Request'!$A:$A,'Mar 2026'!$D37,'2026 Time Off Request'!$L:$L,'Mar 2026'!O$6)</f>
        <v>0</v>
      </c>
      <c r="P37" s="148">
        <f>COUNTIFS('2026 Time Off Request'!$A:$A,'Mar 2026'!$D37,'2026 Time Off Request'!$L:$L,'Mar 2026'!P$6)</f>
        <v>0</v>
      </c>
      <c r="Q37" s="148">
        <f>COUNTIFS('2026 Time Off Request'!$A:$A,'Mar 2026'!$D37,'2026 Time Off Request'!$L:$L,'Mar 2026'!Q$6)</f>
        <v>0</v>
      </c>
      <c r="R37" s="148">
        <f>COUNTIFS('2026 Time Off Request'!$A:$A,'Mar 2026'!$D37,'2026 Time Off Request'!$L:$L,'Mar 2026'!R$6)</f>
        <v>0</v>
      </c>
      <c r="S37" s="147">
        <f>COUNTIFS('2026 Time Off Request'!$A:$A,'Mar 2026'!$D37,'2026 Time Off Request'!$L:$L,'Mar 2026'!S$6)</f>
        <v>0</v>
      </c>
      <c r="T37" s="147">
        <f>COUNTIFS('2026 Time Off Request'!$A:$A,'Mar 2026'!$D37,'2026 Time Off Request'!$L:$L,'Mar 2026'!T$6)</f>
        <v>0</v>
      </c>
      <c r="U37" s="148">
        <f>COUNTIFS('2026 Time Off Request'!$A:$A,'Mar 2026'!$D37,'2026 Time Off Request'!$L:$L,'Mar 2026'!U$6)</f>
        <v>0</v>
      </c>
      <c r="V37" s="148">
        <f>COUNTIFS('2026 Time Off Request'!$A:$A,'Mar 2026'!$D37,'2026 Time Off Request'!$L:$L,'Mar 2026'!V$6)</f>
        <v>0</v>
      </c>
      <c r="W37" s="148">
        <f>COUNTIFS('2026 Time Off Request'!$A:$A,'Mar 2026'!$D37,'2026 Time Off Request'!$L:$L,'Mar 2026'!W$6)</f>
        <v>0</v>
      </c>
      <c r="X37" s="148">
        <f>COUNTIFS('2026 Time Off Request'!$A:$A,'Mar 2026'!$D37,'2026 Time Off Request'!$L:$L,'Mar 2026'!X$6)</f>
        <v>0</v>
      </c>
      <c r="Y37" s="148">
        <f>COUNTIFS('2026 Time Off Request'!$A:$A,'Mar 2026'!$D37,'2026 Time Off Request'!$L:$L,'Mar 2026'!Y$6)</f>
        <v>0</v>
      </c>
      <c r="Z37" s="147">
        <f>COUNTIFS('2026 Time Off Request'!$A:$A,'Mar 2026'!$D37,'2026 Time Off Request'!$L:$L,'Mar 2026'!Z$6)</f>
        <v>0</v>
      </c>
      <c r="AA37" s="147">
        <f>COUNTIFS('2026 Time Off Request'!$A:$A,'Mar 2026'!$D37,'2026 Time Off Request'!$L:$L,'Mar 2026'!AA$6)</f>
        <v>0</v>
      </c>
      <c r="AB37" s="148">
        <f>COUNTIFS('2026 Time Off Request'!$A:$A,'Mar 2026'!$D37,'2026 Time Off Request'!$L:$L,'Mar 2026'!AB$6)</f>
        <v>0</v>
      </c>
      <c r="AC37" s="148">
        <f>COUNTIFS('2026 Time Off Request'!$A:$A,'Mar 2026'!$D37,'2026 Time Off Request'!$L:$L,'Mar 2026'!AC$6)</f>
        <v>0</v>
      </c>
      <c r="AD37" s="148">
        <f>COUNTIFS('2026 Time Off Request'!$A:$A,'Mar 2026'!$D37,'2026 Time Off Request'!$L:$L,'Mar 2026'!AD$6)</f>
        <v>0</v>
      </c>
      <c r="AE37" s="148">
        <f>COUNTIFS('2026 Time Off Request'!$A:$A,'Mar 2026'!$D37,'2026 Time Off Request'!$L:$L,'Mar 2026'!AE$6)</f>
        <v>0</v>
      </c>
      <c r="AF37" s="148">
        <f>COUNTIFS('2026 Time Off Request'!$A:$A,'Mar 2026'!$D37,'2026 Time Off Request'!$L:$L,'Mar 2026'!AF$6)</f>
        <v>0</v>
      </c>
      <c r="AG37" s="147">
        <f>COUNTIFS('2026 Time Off Request'!$A:$A,'Mar 2026'!$D37,'2026 Time Off Request'!$L:$L,'Mar 2026'!AG$6)</f>
        <v>0</v>
      </c>
      <c r="AH37" s="147">
        <f>COUNTIFS('2026 Time Off Request'!$A:$A,'Mar 2026'!$D37,'2026 Time Off Request'!$L:$L,'Mar 2026'!AH$6)</f>
        <v>0</v>
      </c>
      <c r="AI37" s="148">
        <f>COUNTIFS('2026 Time Off Request'!$A:$A,'Mar 2026'!$D37,'2026 Time Off Request'!$L:$L,'Mar 2026'!AI$6)</f>
        <v>0</v>
      </c>
      <c r="AJ37" s="148">
        <f>COUNTIFS('2026 Time Off Request'!$A:$A,'Mar 2026'!$D37,'2026 Time Off Request'!$L:$L,'Mar 2026'!AJ$6)</f>
        <v>0</v>
      </c>
    </row>
    <row r="38" spans="1:36" ht="15.75">
      <c r="A38" s="2">
        <v>29</v>
      </c>
      <c r="B38" s="209" t="s">
        <v>45</v>
      </c>
      <c r="C38" s="210" t="s">
        <v>77</v>
      </c>
      <c r="D38" s="215" t="s">
        <v>79</v>
      </c>
      <c r="E38" s="212">
        <f t="shared" si="0"/>
        <v>0</v>
      </c>
      <c r="F38" s="213">
        <f>COUNTIFS('2026 Time Off Request'!$A:$A,'Mar 2026'!$D38,'2026 Time Off Request'!$L:$L,'Mar 2026'!F$6)</f>
        <v>0</v>
      </c>
      <c r="G38" s="148">
        <f>COUNTIFS('2026 Time Off Request'!$A:$A,'Mar 2026'!$D38,'2026 Time Off Request'!$L:$L,'Mar 2026'!G$6)</f>
        <v>0</v>
      </c>
      <c r="H38" s="148">
        <f>COUNTIFS('2026 Time Off Request'!$A:$A,'Mar 2026'!$D38,'2026 Time Off Request'!$L:$L,'Mar 2026'!H$6)</f>
        <v>0</v>
      </c>
      <c r="I38" s="148">
        <f>COUNTIFS('2026 Time Off Request'!$A:$A,'Mar 2026'!$D38,'2026 Time Off Request'!$L:$L,'Mar 2026'!I$6)</f>
        <v>0</v>
      </c>
      <c r="J38" s="148">
        <f>COUNTIFS('2026 Time Off Request'!$A:$A,'Mar 2026'!$D38,'2026 Time Off Request'!$L:$L,'Mar 2026'!J$6)</f>
        <v>0</v>
      </c>
      <c r="K38" s="148">
        <f>COUNTIFS('2026 Time Off Request'!$A:$A,'Mar 2026'!$D38,'2026 Time Off Request'!$L:$L,'Mar 2026'!K$6)</f>
        <v>0</v>
      </c>
      <c r="L38" s="147">
        <f>COUNTIFS('2026 Time Off Request'!$A:$A,'Mar 2026'!$D38,'2026 Time Off Request'!$L:$L,'Mar 2026'!L$6)</f>
        <v>0</v>
      </c>
      <c r="M38" s="147">
        <f>COUNTIFS('2026 Time Off Request'!$A:$A,'Mar 2026'!$D38,'2026 Time Off Request'!$L:$L,'Mar 2026'!M$6)</f>
        <v>0</v>
      </c>
      <c r="N38" s="148">
        <f>COUNTIFS('2026 Time Off Request'!$A:$A,'Mar 2026'!$D38,'2026 Time Off Request'!$L:$L,'Mar 2026'!N$6)</f>
        <v>0</v>
      </c>
      <c r="O38" s="148">
        <f>COUNTIFS('2026 Time Off Request'!$A:$A,'Mar 2026'!$D38,'2026 Time Off Request'!$L:$L,'Mar 2026'!O$6)</f>
        <v>0</v>
      </c>
      <c r="P38" s="148">
        <f>COUNTIFS('2026 Time Off Request'!$A:$A,'Mar 2026'!$D38,'2026 Time Off Request'!$L:$L,'Mar 2026'!P$6)</f>
        <v>0</v>
      </c>
      <c r="Q38" s="148">
        <f>COUNTIFS('2026 Time Off Request'!$A:$A,'Mar 2026'!$D38,'2026 Time Off Request'!$L:$L,'Mar 2026'!Q$6)</f>
        <v>0</v>
      </c>
      <c r="R38" s="148">
        <f>COUNTIFS('2026 Time Off Request'!$A:$A,'Mar 2026'!$D38,'2026 Time Off Request'!$L:$L,'Mar 2026'!R$6)</f>
        <v>0</v>
      </c>
      <c r="S38" s="147">
        <f>COUNTIFS('2026 Time Off Request'!$A:$A,'Mar 2026'!$D38,'2026 Time Off Request'!$L:$L,'Mar 2026'!S$6)</f>
        <v>0</v>
      </c>
      <c r="T38" s="147">
        <f>COUNTIFS('2026 Time Off Request'!$A:$A,'Mar 2026'!$D38,'2026 Time Off Request'!$L:$L,'Mar 2026'!T$6)</f>
        <v>0</v>
      </c>
      <c r="U38" s="148">
        <f>COUNTIFS('2026 Time Off Request'!$A:$A,'Mar 2026'!$D38,'2026 Time Off Request'!$L:$L,'Mar 2026'!U$6)</f>
        <v>0</v>
      </c>
      <c r="V38" s="148">
        <f>COUNTIFS('2026 Time Off Request'!$A:$A,'Mar 2026'!$D38,'2026 Time Off Request'!$L:$L,'Mar 2026'!V$6)</f>
        <v>0</v>
      </c>
      <c r="W38" s="148">
        <f>COUNTIFS('2026 Time Off Request'!$A:$A,'Mar 2026'!$D38,'2026 Time Off Request'!$L:$L,'Mar 2026'!W$6)</f>
        <v>0</v>
      </c>
      <c r="X38" s="148">
        <f>COUNTIFS('2026 Time Off Request'!$A:$A,'Mar 2026'!$D38,'2026 Time Off Request'!$L:$L,'Mar 2026'!X$6)</f>
        <v>0</v>
      </c>
      <c r="Y38" s="148">
        <f>COUNTIFS('2026 Time Off Request'!$A:$A,'Mar 2026'!$D38,'2026 Time Off Request'!$L:$L,'Mar 2026'!Y$6)</f>
        <v>0</v>
      </c>
      <c r="Z38" s="147">
        <f>COUNTIFS('2026 Time Off Request'!$A:$A,'Mar 2026'!$D38,'2026 Time Off Request'!$L:$L,'Mar 2026'!Z$6)</f>
        <v>0</v>
      </c>
      <c r="AA38" s="147">
        <f>COUNTIFS('2026 Time Off Request'!$A:$A,'Mar 2026'!$D38,'2026 Time Off Request'!$L:$L,'Mar 2026'!AA$6)</f>
        <v>0</v>
      </c>
      <c r="AB38" s="148">
        <f>COUNTIFS('2026 Time Off Request'!$A:$A,'Mar 2026'!$D38,'2026 Time Off Request'!$L:$L,'Mar 2026'!AB$6)</f>
        <v>0</v>
      </c>
      <c r="AC38" s="148">
        <f>COUNTIFS('2026 Time Off Request'!$A:$A,'Mar 2026'!$D38,'2026 Time Off Request'!$L:$L,'Mar 2026'!AC$6)</f>
        <v>0</v>
      </c>
      <c r="AD38" s="148">
        <f>COUNTIFS('2026 Time Off Request'!$A:$A,'Mar 2026'!$D38,'2026 Time Off Request'!$L:$L,'Mar 2026'!AD$6)</f>
        <v>0</v>
      </c>
      <c r="AE38" s="148">
        <f>COUNTIFS('2026 Time Off Request'!$A:$A,'Mar 2026'!$D38,'2026 Time Off Request'!$L:$L,'Mar 2026'!AE$6)</f>
        <v>0</v>
      </c>
      <c r="AF38" s="148">
        <f>COUNTIFS('2026 Time Off Request'!$A:$A,'Mar 2026'!$D38,'2026 Time Off Request'!$L:$L,'Mar 2026'!AF$6)</f>
        <v>0</v>
      </c>
      <c r="AG38" s="147">
        <f>COUNTIFS('2026 Time Off Request'!$A:$A,'Mar 2026'!$D38,'2026 Time Off Request'!$L:$L,'Mar 2026'!AG$6)</f>
        <v>0</v>
      </c>
      <c r="AH38" s="147">
        <f>COUNTIFS('2026 Time Off Request'!$A:$A,'Mar 2026'!$D38,'2026 Time Off Request'!$L:$L,'Mar 2026'!AH$6)</f>
        <v>0</v>
      </c>
      <c r="AI38" s="148">
        <f>COUNTIFS('2026 Time Off Request'!$A:$A,'Mar 2026'!$D38,'2026 Time Off Request'!$L:$L,'Mar 2026'!AI$6)</f>
        <v>0</v>
      </c>
      <c r="AJ38" s="148">
        <f>COUNTIFS('2026 Time Off Request'!$A:$A,'Mar 2026'!$D38,'2026 Time Off Request'!$L:$L,'Mar 2026'!AJ$6)</f>
        <v>0</v>
      </c>
    </row>
    <row r="39" spans="1:36" ht="15.75">
      <c r="A39" s="2">
        <v>30</v>
      </c>
      <c r="B39" s="209" t="s">
        <v>45</v>
      </c>
      <c r="C39" s="210" t="s">
        <v>77</v>
      </c>
      <c r="D39" s="215" t="s">
        <v>80</v>
      </c>
      <c r="E39" s="212">
        <f>SUM(F39:AJ39)</f>
        <v>5</v>
      </c>
      <c r="F39" s="213">
        <f>COUNTIFS('2026 Time Off Request'!$A:$A,'Mar 2026'!$D39,'2026 Time Off Request'!$L:$L,'Mar 2026'!F$6)</f>
        <v>0</v>
      </c>
      <c r="G39" s="148">
        <f>COUNTIFS('2026 Time Off Request'!$A:$A,'Mar 2026'!$D39,'2026 Time Off Request'!$L:$L,'Mar 2026'!G$6)</f>
        <v>0</v>
      </c>
      <c r="H39" s="148">
        <f>COUNTIFS('2026 Time Off Request'!$A:$A,'Mar 2026'!$D39,'2026 Time Off Request'!$L:$L,'Mar 2026'!H$6)</f>
        <v>0</v>
      </c>
      <c r="I39" s="148">
        <f>COUNTIFS('2026 Time Off Request'!$A:$A,'Mar 2026'!$D39,'2026 Time Off Request'!$L:$L,'Mar 2026'!I$6)</f>
        <v>0</v>
      </c>
      <c r="J39" s="148">
        <f>COUNTIFS('2026 Time Off Request'!$A:$A,'Mar 2026'!$D39,'2026 Time Off Request'!$L:$L,'Mar 2026'!J$6)</f>
        <v>0</v>
      </c>
      <c r="K39" s="148">
        <f>COUNTIFS('2026 Time Off Request'!$A:$A,'Mar 2026'!$D39,'2026 Time Off Request'!$L:$L,'Mar 2026'!K$6)</f>
        <v>0</v>
      </c>
      <c r="L39" s="147">
        <f>COUNTIFS('2026 Time Off Request'!$A:$A,'Mar 2026'!$D39,'2026 Time Off Request'!$L:$L,'Mar 2026'!L$6)</f>
        <v>0</v>
      </c>
      <c r="M39" s="147">
        <f>COUNTIFS('2026 Time Off Request'!$A:$A,'Mar 2026'!$D39,'2026 Time Off Request'!$L:$L,'Mar 2026'!M$6)</f>
        <v>0</v>
      </c>
      <c r="N39" s="148">
        <f>COUNTIFS('2026 Time Off Request'!$A:$A,'Mar 2026'!$D39,'2026 Time Off Request'!$L:$L,'Mar 2026'!N$6)</f>
        <v>0</v>
      </c>
      <c r="O39" s="148">
        <f>COUNTIFS('2026 Time Off Request'!$A:$A,'Mar 2026'!$D39,'2026 Time Off Request'!$L:$L,'Mar 2026'!O$6)</f>
        <v>0</v>
      </c>
      <c r="P39" s="148">
        <f>COUNTIFS('2026 Time Off Request'!$A:$A,'Mar 2026'!$D39,'2026 Time Off Request'!$L:$L,'Mar 2026'!P$6)</f>
        <v>0</v>
      </c>
      <c r="Q39" s="148">
        <f>COUNTIFS('2026 Time Off Request'!$A:$A,'Mar 2026'!$D39,'2026 Time Off Request'!$L:$L,'Mar 2026'!Q$6)</f>
        <v>0</v>
      </c>
      <c r="R39" s="148">
        <f>COUNTIFS('2026 Time Off Request'!$A:$A,'Mar 2026'!$D39,'2026 Time Off Request'!$L:$L,'Mar 2026'!R$6)</f>
        <v>0</v>
      </c>
      <c r="S39" s="147">
        <f>COUNTIFS('2026 Time Off Request'!$A:$A,'Mar 2026'!$D39,'2026 Time Off Request'!$L:$L,'Mar 2026'!S$6)</f>
        <v>0</v>
      </c>
      <c r="T39" s="147">
        <f>COUNTIFS('2026 Time Off Request'!$A:$A,'Mar 2026'!$D39,'2026 Time Off Request'!$L:$L,'Mar 2026'!T$6)</f>
        <v>0</v>
      </c>
      <c r="U39" s="148">
        <f>COUNTIFS('2026 Time Off Request'!$A:$A,'Mar 2026'!$D39,'2026 Time Off Request'!$L:$L,'Mar 2026'!U$6)</f>
        <v>1</v>
      </c>
      <c r="V39" s="148">
        <f>COUNTIFS('2026 Time Off Request'!$A:$A,'Mar 2026'!$D39,'2026 Time Off Request'!$L:$L,'Mar 2026'!V$6)</f>
        <v>1</v>
      </c>
      <c r="W39" s="148">
        <f>COUNTIFS('2026 Time Off Request'!$A:$A,'Mar 2026'!$D39,'2026 Time Off Request'!$L:$L,'Mar 2026'!W$6)</f>
        <v>1</v>
      </c>
      <c r="X39" s="148">
        <f>COUNTIFS('2026 Time Off Request'!$A:$A,'Mar 2026'!$D39,'2026 Time Off Request'!$L:$L,'Mar 2026'!X$6)</f>
        <v>1</v>
      </c>
      <c r="Y39" s="148">
        <f>COUNTIFS('2026 Time Off Request'!$A:$A,'Mar 2026'!$D39,'2026 Time Off Request'!$L:$L,'Mar 2026'!Y$6)</f>
        <v>1</v>
      </c>
      <c r="Z39" s="147">
        <f>COUNTIFS('2026 Time Off Request'!$A:$A,'Mar 2026'!$D39,'2026 Time Off Request'!$L:$L,'Mar 2026'!Z$6)</f>
        <v>0</v>
      </c>
      <c r="AA39" s="147">
        <f>COUNTIFS('2026 Time Off Request'!$A:$A,'Mar 2026'!$D39,'2026 Time Off Request'!$L:$L,'Mar 2026'!AA$6)</f>
        <v>0</v>
      </c>
      <c r="AB39" s="148">
        <f>COUNTIFS('2026 Time Off Request'!$A:$A,'Mar 2026'!$D39,'2026 Time Off Request'!$L:$L,'Mar 2026'!AB$6)</f>
        <v>0</v>
      </c>
      <c r="AC39" s="148">
        <f>COUNTIFS('2026 Time Off Request'!$A:$A,'Mar 2026'!$D39,'2026 Time Off Request'!$L:$L,'Mar 2026'!AC$6)</f>
        <v>0</v>
      </c>
      <c r="AD39" s="148">
        <f>COUNTIFS('2026 Time Off Request'!$A:$A,'Mar 2026'!$D39,'2026 Time Off Request'!$L:$L,'Mar 2026'!AD$6)</f>
        <v>0</v>
      </c>
      <c r="AE39" s="148">
        <f>COUNTIFS('2026 Time Off Request'!$A:$A,'Mar 2026'!$D39,'2026 Time Off Request'!$L:$L,'Mar 2026'!AE$6)</f>
        <v>0</v>
      </c>
      <c r="AF39" s="148">
        <f>COUNTIFS('2026 Time Off Request'!$A:$A,'Mar 2026'!$D39,'2026 Time Off Request'!$L:$L,'Mar 2026'!AF$6)</f>
        <v>0</v>
      </c>
      <c r="AG39" s="147">
        <f>COUNTIFS('2026 Time Off Request'!$A:$A,'Mar 2026'!$D39,'2026 Time Off Request'!$L:$L,'Mar 2026'!AG$6)</f>
        <v>0</v>
      </c>
      <c r="AH39" s="147">
        <f>COUNTIFS('2026 Time Off Request'!$A:$A,'Mar 2026'!$D39,'2026 Time Off Request'!$L:$L,'Mar 2026'!AH$6)</f>
        <v>0</v>
      </c>
      <c r="AI39" s="148">
        <f>COUNTIFS('2026 Time Off Request'!$A:$A,'Mar 2026'!$D39,'2026 Time Off Request'!$L:$L,'Mar 2026'!AI$6)</f>
        <v>0</v>
      </c>
      <c r="AJ39" s="148">
        <f>COUNTIFS('2026 Time Off Request'!$A:$A,'Mar 2026'!$D39,'2026 Time Off Request'!$L:$L,'Mar 2026'!AJ$6)</f>
        <v>0</v>
      </c>
    </row>
    <row r="40" spans="1:36" ht="15.75">
      <c r="A40" s="2">
        <v>31</v>
      </c>
      <c r="B40" s="209" t="s">
        <v>49</v>
      </c>
      <c r="C40" s="210" t="s">
        <v>81</v>
      </c>
      <c r="D40" s="215" t="s">
        <v>82</v>
      </c>
      <c r="E40" s="212">
        <f t="shared" si="0"/>
        <v>0</v>
      </c>
      <c r="F40" s="213">
        <f>COUNTIFS('2026 Time Off Request'!$A:$A,'Mar 2026'!$D40,'2026 Time Off Request'!$L:$L,'Mar 2026'!F$6)</f>
        <v>0</v>
      </c>
      <c r="G40" s="148">
        <f>COUNTIFS('2026 Time Off Request'!$A:$A,'Mar 2026'!$D40,'2026 Time Off Request'!$L:$L,'Mar 2026'!G$6)</f>
        <v>0</v>
      </c>
      <c r="H40" s="148">
        <f>COUNTIFS('2026 Time Off Request'!$A:$A,'Mar 2026'!$D40,'2026 Time Off Request'!$L:$L,'Mar 2026'!H$6)</f>
        <v>0</v>
      </c>
      <c r="I40" s="148">
        <f>COUNTIFS('2026 Time Off Request'!$A:$A,'Mar 2026'!$D40,'2026 Time Off Request'!$L:$L,'Mar 2026'!I$6)</f>
        <v>0</v>
      </c>
      <c r="J40" s="148">
        <f>COUNTIFS('2026 Time Off Request'!$A:$A,'Mar 2026'!$D40,'2026 Time Off Request'!$L:$L,'Mar 2026'!J$6)</f>
        <v>0</v>
      </c>
      <c r="K40" s="148">
        <f>COUNTIFS('2026 Time Off Request'!$A:$A,'Mar 2026'!$D40,'2026 Time Off Request'!$L:$L,'Mar 2026'!K$6)</f>
        <v>0</v>
      </c>
      <c r="L40" s="147">
        <f>COUNTIFS('2026 Time Off Request'!$A:$A,'Mar 2026'!$D40,'2026 Time Off Request'!$L:$L,'Mar 2026'!L$6)</f>
        <v>0</v>
      </c>
      <c r="M40" s="147">
        <f>COUNTIFS('2026 Time Off Request'!$A:$A,'Mar 2026'!$D40,'2026 Time Off Request'!$L:$L,'Mar 2026'!M$6)</f>
        <v>0</v>
      </c>
      <c r="N40" s="148">
        <f>COUNTIFS('2026 Time Off Request'!$A:$A,'Mar 2026'!$D40,'2026 Time Off Request'!$L:$L,'Mar 2026'!N$6)</f>
        <v>0</v>
      </c>
      <c r="O40" s="148">
        <f>COUNTIFS('2026 Time Off Request'!$A:$A,'Mar 2026'!$D40,'2026 Time Off Request'!$L:$L,'Mar 2026'!O$6)</f>
        <v>0</v>
      </c>
      <c r="P40" s="148">
        <f>COUNTIFS('2026 Time Off Request'!$A:$A,'Mar 2026'!$D40,'2026 Time Off Request'!$L:$L,'Mar 2026'!P$6)</f>
        <v>0</v>
      </c>
      <c r="Q40" s="148">
        <f>COUNTIFS('2026 Time Off Request'!$A:$A,'Mar 2026'!$D40,'2026 Time Off Request'!$L:$L,'Mar 2026'!Q$6)</f>
        <v>0</v>
      </c>
      <c r="R40" s="148">
        <f>COUNTIFS('2026 Time Off Request'!$A:$A,'Mar 2026'!$D40,'2026 Time Off Request'!$L:$L,'Mar 2026'!R$6)</f>
        <v>0</v>
      </c>
      <c r="S40" s="147">
        <f>COUNTIFS('2026 Time Off Request'!$A:$A,'Mar 2026'!$D40,'2026 Time Off Request'!$L:$L,'Mar 2026'!S$6)</f>
        <v>0</v>
      </c>
      <c r="T40" s="147">
        <f>COUNTIFS('2026 Time Off Request'!$A:$A,'Mar 2026'!$D40,'2026 Time Off Request'!$L:$L,'Mar 2026'!T$6)</f>
        <v>0</v>
      </c>
      <c r="U40" s="148">
        <f>COUNTIFS('2026 Time Off Request'!$A:$A,'Mar 2026'!$D40,'2026 Time Off Request'!$L:$L,'Mar 2026'!U$6)</f>
        <v>0</v>
      </c>
      <c r="V40" s="148">
        <f>COUNTIFS('2026 Time Off Request'!$A:$A,'Mar 2026'!$D40,'2026 Time Off Request'!$L:$L,'Mar 2026'!V$6)</f>
        <v>0</v>
      </c>
      <c r="W40" s="148">
        <f>COUNTIFS('2026 Time Off Request'!$A:$A,'Mar 2026'!$D40,'2026 Time Off Request'!$L:$L,'Mar 2026'!W$6)</f>
        <v>0</v>
      </c>
      <c r="X40" s="148">
        <f>COUNTIFS('2026 Time Off Request'!$A:$A,'Mar 2026'!$D40,'2026 Time Off Request'!$L:$L,'Mar 2026'!X$6)</f>
        <v>0</v>
      </c>
      <c r="Y40" s="148">
        <f>COUNTIFS('2026 Time Off Request'!$A:$A,'Mar 2026'!$D40,'2026 Time Off Request'!$L:$L,'Mar 2026'!Y$6)</f>
        <v>0</v>
      </c>
      <c r="Z40" s="147">
        <f>COUNTIFS('2026 Time Off Request'!$A:$A,'Mar 2026'!$D40,'2026 Time Off Request'!$L:$L,'Mar 2026'!Z$6)</f>
        <v>0</v>
      </c>
      <c r="AA40" s="147">
        <f>COUNTIFS('2026 Time Off Request'!$A:$A,'Mar 2026'!$D40,'2026 Time Off Request'!$L:$L,'Mar 2026'!AA$6)</f>
        <v>0</v>
      </c>
      <c r="AB40" s="148">
        <f>COUNTIFS('2026 Time Off Request'!$A:$A,'Mar 2026'!$D40,'2026 Time Off Request'!$L:$L,'Mar 2026'!AB$6)</f>
        <v>0</v>
      </c>
      <c r="AC40" s="148">
        <f>COUNTIFS('2026 Time Off Request'!$A:$A,'Mar 2026'!$D40,'2026 Time Off Request'!$L:$L,'Mar 2026'!AC$6)</f>
        <v>0</v>
      </c>
      <c r="AD40" s="148">
        <f>COUNTIFS('2026 Time Off Request'!$A:$A,'Mar 2026'!$D40,'2026 Time Off Request'!$L:$L,'Mar 2026'!AD$6)</f>
        <v>0</v>
      </c>
      <c r="AE40" s="148">
        <f>COUNTIFS('2026 Time Off Request'!$A:$A,'Mar 2026'!$D40,'2026 Time Off Request'!$L:$L,'Mar 2026'!AE$6)</f>
        <v>0</v>
      </c>
      <c r="AF40" s="148">
        <f>COUNTIFS('2026 Time Off Request'!$A:$A,'Mar 2026'!$D40,'2026 Time Off Request'!$L:$L,'Mar 2026'!AF$6)</f>
        <v>0</v>
      </c>
      <c r="AG40" s="147">
        <f>COUNTIFS('2026 Time Off Request'!$A:$A,'Mar 2026'!$D40,'2026 Time Off Request'!$L:$L,'Mar 2026'!AG$6)</f>
        <v>0</v>
      </c>
      <c r="AH40" s="147">
        <f>COUNTIFS('2026 Time Off Request'!$A:$A,'Mar 2026'!$D40,'2026 Time Off Request'!$L:$L,'Mar 2026'!AH$6)</f>
        <v>0</v>
      </c>
      <c r="AI40" s="148">
        <f>COUNTIFS('2026 Time Off Request'!$A:$A,'Mar 2026'!$D40,'2026 Time Off Request'!$L:$L,'Mar 2026'!AI$6)</f>
        <v>0</v>
      </c>
      <c r="AJ40" s="148">
        <f>COUNTIFS('2026 Time Off Request'!$A:$A,'Mar 2026'!$D40,'2026 Time Off Request'!$L:$L,'Mar 2026'!AJ$6)</f>
        <v>0</v>
      </c>
    </row>
    <row r="41" spans="1:36" ht="15.75">
      <c r="A41" s="2">
        <v>32</v>
      </c>
      <c r="B41" s="209" t="s">
        <v>45</v>
      </c>
      <c r="C41" s="210" t="s">
        <v>83</v>
      </c>
      <c r="D41" s="215" t="s">
        <v>84</v>
      </c>
      <c r="E41" s="212">
        <f t="shared" si="0"/>
        <v>0</v>
      </c>
      <c r="F41" s="213">
        <f>COUNTIFS('2026 Time Off Request'!$A:$A,'Mar 2026'!$D41,'2026 Time Off Request'!$L:$L,'Mar 2026'!F$6)</f>
        <v>0</v>
      </c>
      <c r="G41" s="148">
        <f>COUNTIFS('2026 Time Off Request'!$A:$A,'Mar 2026'!$D41,'2026 Time Off Request'!$L:$L,'Mar 2026'!G$6)</f>
        <v>0</v>
      </c>
      <c r="H41" s="148">
        <f>COUNTIFS('2026 Time Off Request'!$A:$A,'Mar 2026'!$D41,'2026 Time Off Request'!$L:$L,'Mar 2026'!H$6)</f>
        <v>0</v>
      </c>
      <c r="I41" s="148">
        <f>COUNTIFS('2026 Time Off Request'!$A:$A,'Mar 2026'!$D41,'2026 Time Off Request'!$L:$L,'Mar 2026'!I$6)</f>
        <v>0</v>
      </c>
      <c r="J41" s="148">
        <f>COUNTIFS('2026 Time Off Request'!$A:$A,'Mar 2026'!$D41,'2026 Time Off Request'!$L:$L,'Mar 2026'!J$6)</f>
        <v>0</v>
      </c>
      <c r="K41" s="148">
        <f>COUNTIFS('2026 Time Off Request'!$A:$A,'Mar 2026'!$D41,'2026 Time Off Request'!$L:$L,'Mar 2026'!K$6)</f>
        <v>0</v>
      </c>
      <c r="L41" s="147">
        <f>COUNTIFS('2026 Time Off Request'!$A:$A,'Mar 2026'!$D41,'2026 Time Off Request'!$L:$L,'Mar 2026'!L$6)</f>
        <v>0</v>
      </c>
      <c r="M41" s="147">
        <f>COUNTIFS('2026 Time Off Request'!$A:$A,'Mar 2026'!$D41,'2026 Time Off Request'!$L:$L,'Mar 2026'!M$6)</f>
        <v>0</v>
      </c>
      <c r="N41" s="148">
        <f>COUNTIFS('2026 Time Off Request'!$A:$A,'Mar 2026'!$D41,'2026 Time Off Request'!$L:$L,'Mar 2026'!N$6)</f>
        <v>0</v>
      </c>
      <c r="O41" s="148">
        <f>COUNTIFS('2026 Time Off Request'!$A:$A,'Mar 2026'!$D41,'2026 Time Off Request'!$L:$L,'Mar 2026'!O$6)</f>
        <v>0</v>
      </c>
      <c r="P41" s="148">
        <f>COUNTIFS('2026 Time Off Request'!$A:$A,'Mar 2026'!$D41,'2026 Time Off Request'!$L:$L,'Mar 2026'!P$6)</f>
        <v>0</v>
      </c>
      <c r="Q41" s="148">
        <f>COUNTIFS('2026 Time Off Request'!$A:$A,'Mar 2026'!$D41,'2026 Time Off Request'!$L:$L,'Mar 2026'!Q$6)</f>
        <v>0</v>
      </c>
      <c r="R41" s="148">
        <f>COUNTIFS('2026 Time Off Request'!$A:$A,'Mar 2026'!$D41,'2026 Time Off Request'!$L:$L,'Mar 2026'!R$6)</f>
        <v>0</v>
      </c>
      <c r="S41" s="147">
        <f>COUNTIFS('2026 Time Off Request'!$A:$A,'Mar 2026'!$D41,'2026 Time Off Request'!$L:$L,'Mar 2026'!S$6)</f>
        <v>0</v>
      </c>
      <c r="T41" s="147">
        <f>COUNTIFS('2026 Time Off Request'!$A:$A,'Mar 2026'!$D41,'2026 Time Off Request'!$L:$L,'Mar 2026'!T$6)</f>
        <v>0</v>
      </c>
      <c r="U41" s="148">
        <f>COUNTIFS('2026 Time Off Request'!$A:$A,'Mar 2026'!$D41,'2026 Time Off Request'!$L:$L,'Mar 2026'!U$6)</f>
        <v>0</v>
      </c>
      <c r="V41" s="148">
        <f>COUNTIFS('2026 Time Off Request'!$A:$A,'Mar 2026'!$D41,'2026 Time Off Request'!$L:$L,'Mar 2026'!V$6)</f>
        <v>0</v>
      </c>
      <c r="W41" s="148">
        <f>COUNTIFS('2026 Time Off Request'!$A:$A,'Mar 2026'!$D41,'2026 Time Off Request'!$L:$L,'Mar 2026'!W$6)</f>
        <v>0</v>
      </c>
      <c r="X41" s="148">
        <f>COUNTIFS('2026 Time Off Request'!$A:$A,'Mar 2026'!$D41,'2026 Time Off Request'!$L:$L,'Mar 2026'!X$6)</f>
        <v>0</v>
      </c>
      <c r="Y41" s="148">
        <f>COUNTIFS('2026 Time Off Request'!$A:$A,'Mar 2026'!$D41,'2026 Time Off Request'!$L:$L,'Mar 2026'!Y$6)</f>
        <v>0</v>
      </c>
      <c r="Z41" s="147">
        <f>COUNTIFS('2026 Time Off Request'!$A:$A,'Mar 2026'!$D41,'2026 Time Off Request'!$L:$L,'Mar 2026'!Z$6)</f>
        <v>0</v>
      </c>
      <c r="AA41" s="147">
        <f>COUNTIFS('2026 Time Off Request'!$A:$A,'Mar 2026'!$D41,'2026 Time Off Request'!$L:$L,'Mar 2026'!AA$6)</f>
        <v>0</v>
      </c>
      <c r="AB41" s="148">
        <f>COUNTIFS('2026 Time Off Request'!$A:$A,'Mar 2026'!$D41,'2026 Time Off Request'!$L:$L,'Mar 2026'!AB$6)</f>
        <v>0</v>
      </c>
      <c r="AC41" s="148">
        <f>COUNTIFS('2026 Time Off Request'!$A:$A,'Mar 2026'!$D41,'2026 Time Off Request'!$L:$L,'Mar 2026'!AC$6)</f>
        <v>0</v>
      </c>
      <c r="AD41" s="148">
        <f>COUNTIFS('2026 Time Off Request'!$A:$A,'Mar 2026'!$D41,'2026 Time Off Request'!$L:$L,'Mar 2026'!AD$6)</f>
        <v>0</v>
      </c>
      <c r="AE41" s="148">
        <f>COUNTIFS('2026 Time Off Request'!$A:$A,'Mar 2026'!$D41,'2026 Time Off Request'!$L:$L,'Mar 2026'!AE$6)</f>
        <v>0</v>
      </c>
      <c r="AF41" s="148">
        <f>COUNTIFS('2026 Time Off Request'!$A:$A,'Mar 2026'!$D41,'2026 Time Off Request'!$L:$L,'Mar 2026'!AF$6)</f>
        <v>0</v>
      </c>
      <c r="AG41" s="147">
        <f>COUNTIFS('2026 Time Off Request'!$A:$A,'Mar 2026'!$D41,'2026 Time Off Request'!$L:$L,'Mar 2026'!AG$6)</f>
        <v>0</v>
      </c>
      <c r="AH41" s="147">
        <f>COUNTIFS('2026 Time Off Request'!$A:$A,'Mar 2026'!$D41,'2026 Time Off Request'!$L:$L,'Mar 2026'!AH$6)</f>
        <v>0</v>
      </c>
      <c r="AI41" s="148">
        <f>COUNTIFS('2026 Time Off Request'!$A:$A,'Mar 2026'!$D41,'2026 Time Off Request'!$L:$L,'Mar 2026'!AI$6)</f>
        <v>0</v>
      </c>
      <c r="AJ41" s="148">
        <f>COUNTIFS('2026 Time Off Request'!$A:$A,'Mar 2026'!$D41,'2026 Time Off Request'!$L:$L,'Mar 2026'!AJ$6)</f>
        <v>0</v>
      </c>
    </row>
    <row r="42" spans="1:36" ht="15.75">
      <c r="A42" s="2">
        <v>33</v>
      </c>
      <c r="B42" s="209" t="s">
        <v>45</v>
      </c>
      <c r="C42" s="210" t="s">
        <v>85</v>
      </c>
      <c r="D42" s="215" t="s">
        <v>86</v>
      </c>
      <c r="E42" s="212">
        <f t="shared" si="0"/>
        <v>0</v>
      </c>
      <c r="F42" s="213">
        <f>COUNTIFS('2026 Time Off Request'!$A:$A,'Mar 2026'!$D42,'2026 Time Off Request'!$L:$L,'Mar 2026'!F$6)</f>
        <v>0</v>
      </c>
      <c r="G42" s="148">
        <f>COUNTIFS('2026 Time Off Request'!$A:$A,'Mar 2026'!$D42,'2026 Time Off Request'!$L:$L,'Mar 2026'!G$6)</f>
        <v>0</v>
      </c>
      <c r="H42" s="148">
        <f>COUNTIFS('2026 Time Off Request'!$A:$A,'Mar 2026'!$D42,'2026 Time Off Request'!$L:$L,'Mar 2026'!H$6)</f>
        <v>0</v>
      </c>
      <c r="I42" s="148">
        <f>COUNTIFS('2026 Time Off Request'!$A:$A,'Mar 2026'!$D42,'2026 Time Off Request'!$L:$L,'Mar 2026'!I$6)</f>
        <v>0</v>
      </c>
      <c r="J42" s="148">
        <f>COUNTIFS('2026 Time Off Request'!$A:$A,'Mar 2026'!$D42,'2026 Time Off Request'!$L:$L,'Mar 2026'!J$6)</f>
        <v>0</v>
      </c>
      <c r="K42" s="148">
        <f>COUNTIFS('2026 Time Off Request'!$A:$A,'Mar 2026'!$D42,'2026 Time Off Request'!$L:$L,'Mar 2026'!K$6)</f>
        <v>0</v>
      </c>
      <c r="L42" s="147">
        <f>COUNTIFS('2026 Time Off Request'!$A:$A,'Mar 2026'!$D42,'2026 Time Off Request'!$L:$L,'Mar 2026'!L$6)</f>
        <v>0</v>
      </c>
      <c r="M42" s="147">
        <f>COUNTIFS('2026 Time Off Request'!$A:$A,'Mar 2026'!$D42,'2026 Time Off Request'!$L:$L,'Mar 2026'!M$6)</f>
        <v>0</v>
      </c>
      <c r="N42" s="148">
        <f>COUNTIFS('2026 Time Off Request'!$A:$A,'Mar 2026'!$D42,'2026 Time Off Request'!$L:$L,'Mar 2026'!N$6)</f>
        <v>0</v>
      </c>
      <c r="O42" s="148">
        <f>COUNTIFS('2026 Time Off Request'!$A:$A,'Mar 2026'!$D42,'2026 Time Off Request'!$L:$L,'Mar 2026'!O$6)</f>
        <v>0</v>
      </c>
      <c r="P42" s="148">
        <f>COUNTIFS('2026 Time Off Request'!$A:$A,'Mar 2026'!$D42,'2026 Time Off Request'!$L:$L,'Mar 2026'!P$6)</f>
        <v>0</v>
      </c>
      <c r="Q42" s="148">
        <f>COUNTIFS('2026 Time Off Request'!$A:$A,'Mar 2026'!$D42,'2026 Time Off Request'!$L:$L,'Mar 2026'!Q$6)</f>
        <v>0</v>
      </c>
      <c r="R42" s="148">
        <f>COUNTIFS('2026 Time Off Request'!$A:$A,'Mar 2026'!$D42,'2026 Time Off Request'!$L:$L,'Mar 2026'!R$6)</f>
        <v>0</v>
      </c>
      <c r="S42" s="147">
        <f>COUNTIFS('2026 Time Off Request'!$A:$A,'Mar 2026'!$D42,'2026 Time Off Request'!$L:$L,'Mar 2026'!S$6)</f>
        <v>0</v>
      </c>
      <c r="T42" s="147">
        <f>COUNTIFS('2026 Time Off Request'!$A:$A,'Mar 2026'!$D42,'2026 Time Off Request'!$L:$L,'Mar 2026'!T$6)</f>
        <v>0</v>
      </c>
      <c r="U42" s="148">
        <f>COUNTIFS('2026 Time Off Request'!$A:$A,'Mar 2026'!$D42,'2026 Time Off Request'!$L:$L,'Mar 2026'!U$6)</f>
        <v>0</v>
      </c>
      <c r="V42" s="148">
        <f>COUNTIFS('2026 Time Off Request'!$A:$A,'Mar 2026'!$D42,'2026 Time Off Request'!$L:$L,'Mar 2026'!V$6)</f>
        <v>0</v>
      </c>
      <c r="W42" s="148">
        <f>COUNTIFS('2026 Time Off Request'!$A:$A,'Mar 2026'!$D42,'2026 Time Off Request'!$L:$L,'Mar 2026'!W$6)</f>
        <v>0</v>
      </c>
      <c r="X42" s="148">
        <f>COUNTIFS('2026 Time Off Request'!$A:$A,'Mar 2026'!$D42,'2026 Time Off Request'!$L:$L,'Mar 2026'!X$6)</f>
        <v>0</v>
      </c>
      <c r="Y42" s="148">
        <f>COUNTIFS('2026 Time Off Request'!$A:$A,'Mar 2026'!$D42,'2026 Time Off Request'!$L:$L,'Mar 2026'!Y$6)</f>
        <v>0</v>
      </c>
      <c r="Z42" s="147">
        <f>COUNTIFS('2026 Time Off Request'!$A:$A,'Mar 2026'!$D42,'2026 Time Off Request'!$L:$L,'Mar 2026'!Z$6)</f>
        <v>0</v>
      </c>
      <c r="AA42" s="147">
        <f>COUNTIFS('2026 Time Off Request'!$A:$A,'Mar 2026'!$D42,'2026 Time Off Request'!$L:$L,'Mar 2026'!AA$6)</f>
        <v>0</v>
      </c>
      <c r="AB42" s="148">
        <f>COUNTIFS('2026 Time Off Request'!$A:$A,'Mar 2026'!$D42,'2026 Time Off Request'!$L:$L,'Mar 2026'!AB$6)</f>
        <v>0</v>
      </c>
      <c r="AC42" s="148">
        <f>COUNTIFS('2026 Time Off Request'!$A:$A,'Mar 2026'!$D42,'2026 Time Off Request'!$L:$L,'Mar 2026'!AC$6)</f>
        <v>0</v>
      </c>
      <c r="AD42" s="148">
        <f>COUNTIFS('2026 Time Off Request'!$A:$A,'Mar 2026'!$D42,'2026 Time Off Request'!$L:$L,'Mar 2026'!AD$6)</f>
        <v>0</v>
      </c>
      <c r="AE42" s="148">
        <f>COUNTIFS('2026 Time Off Request'!$A:$A,'Mar 2026'!$D42,'2026 Time Off Request'!$L:$L,'Mar 2026'!AE$6)</f>
        <v>0</v>
      </c>
      <c r="AF42" s="148">
        <f>COUNTIFS('2026 Time Off Request'!$A:$A,'Mar 2026'!$D42,'2026 Time Off Request'!$L:$L,'Mar 2026'!AF$6)</f>
        <v>0</v>
      </c>
      <c r="AG42" s="147">
        <f>COUNTIFS('2026 Time Off Request'!$A:$A,'Mar 2026'!$D42,'2026 Time Off Request'!$L:$L,'Mar 2026'!AG$6)</f>
        <v>0</v>
      </c>
      <c r="AH42" s="147">
        <f>COUNTIFS('2026 Time Off Request'!$A:$A,'Mar 2026'!$D42,'2026 Time Off Request'!$L:$L,'Mar 2026'!AH$6)</f>
        <v>0</v>
      </c>
      <c r="AI42" s="148">
        <f>COUNTIFS('2026 Time Off Request'!$A:$A,'Mar 2026'!$D42,'2026 Time Off Request'!$L:$L,'Mar 2026'!AI$6)</f>
        <v>0</v>
      </c>
      <c r="AJ42" s="148">
        <f>COUNTIFS('2026 Time Off Request'!$A:$A,'Mar 2026'!$D42,'2026 Time Off Request'!$L:$L,'Mar 2026'!AJ$6)</f>
        <v>0</v>
      </c>
    </row>
    <row r="43" spans="1:36" ht="15.75">
      <c r="A43" s="2">
        <v>34</v>
      </c>
      <c r="B43" s="209" t="s">
        <v>45</v>
      </c>
      <c r="C43" s="210" t="s">
        <v>87</v>
      </c>
      <c r="D43" s="215" t="s">
        <v>88</v>
      </c>
      <c r="E43" s="212">
        <f t="shared" si="0"/>
        <v>0</v>
      </c>
      <c r="F43" s="213">
        <f>COUNTIFS('2026 Time Off Request'!$A:$A,'Mar 2026'!$D43,'2026 Time Off Request'!$L:$L,'Mar 2026'!F$6)</f>
        <v>0</v>
      </c>
      <c r="G43" s="148">
        <f>COUNTIFS('2026 Time Off Request'!$A:$A,'Mar 2026'!$D43,'2026 Time Off Request'!$L:$L,'Mar 2026'!G$6)</f>
        <v>0</v>
      </c>
      <c r="H43" s="148">
        <f>COUNTIFS('2026 Time Off Request'!$A:$A,'Mar 2026'!$D43,'2026 Time Off Request'!$L:$L,'Mar 2026'!H$6)</f>
        <v>0</v>
      </c>
      <c r="I43" s="148">
        <f>COUNTIFS('2026 Time Off Request'!$A:$A,'Mar 2026'!$D43,'2026 Time Off Request'!$L:$L,'Mar 2026'!I$6)</f>
        <v>0</v>
      </c>
      <c r="J43" s="148">
        <f>COUNTIFS('2026 Time Off Request'!$A:$A,'Mar 2026'!$D43,'2026 Time Off Request'!$L:$L,'Mar 2026'!J$6)</f>
        <v>0</v>
      </c>
      <c r="K43" s="148">
        <f>COUNTIFS('2026 Time Off Request'!$A:$A,'Mar 2026'!$D43,'2026 Time Off Request'!$L:$L,'Mar 2026'!K$6)</f>
        <v>0</v>
      </c>
      <c r="L43" s="147">
        <f>COUNTIFS('2026 Time Off Request'!$A:$A,'Mar 2026'!$D43,'2026 Time Off Request'!$L:$L,'Mar 2026'!L$6)</f>
        <v>0</v>
      </c>
      <c r="M43" s="147">
        <f>COUNTIFS('2026 Time Off Request'!$A:$A,'Mar 2026'!$D43,'2026 Time Off Request'!$L:$L,'Mar 2026'!M$6)</f>
        <v>0</v>
      </c>
      <c r="N43" s="148">
        <f>COUNTIFS('2026 Time Off Request'!$A:$A,'Mar 2026'!$D43,'2026 Time Off Request'!$L:$L,'Mar 2026'!N$6)</f>
        <v>0</v>
      </c>
      <c r="O43" s="148">
        <f>COUNTIFS('2026 Time Off Request'!$A:$A,'Mar 2026'!$D43,'2026 Time Off Request'!$L:$L,'Mar 2026'!O$6)</f>
        <v>0</v>
      </c>
      <c r="P43" s="148">
        <f>COUNTIFS('2026 Time Off Request'!$A:$A,'Mar 2026'!$D43,'2026 Time Off Request'!$L:$L,'Mar 2026'!P$6)</f>
        <v>0</v>
      </c>
      <c r="Q43" s="148">
        <f>COUNTIFS('2026 Time Off Request'!$A:$A,'Mar 2026'!$D43,'2026 Time Off Request'!$L:$L,'Mar 2026'!Q$6)</f>
        <v>0</v>
      </c>
      <c r="R43" s="148">
        <f>COUNTIFS('2026 Time Off Request'!$A:$A,'Mar 2026'!$D43,'2026 Time Off Request'!$L:$L,'Mar 2026'!R$6)</f>
        <v>0</v>
      </c>
      <c r="S43" s="147">
        <f>COUNTIFS('2026 Time Off Request'!$A:$A,'Mar 2026'!$D43,'2026 Time Off Request'!$L:$L,'Mar 2026'!S$6)</f>
        <v>0</v>
      </c>
      <c r="T43" s="147">
        <f>COUNTIFS('2026 Time Off Request'!$A:$A,'Mar 2026'!$D43,'2026 Time Off Request'!$L:$L,'Mar 2026'!T$6)</f>
        <v>0</v>
      </c>
      <c r="U43" s="148">
        <f>COUNTIFS('2026 Time Off Request'!$A:$A,'Mar 2026'!$D43,'2026 Time Off Request'!$L:$L,'Mar 2026'!U$6)</f>
        <v>0</v>
      </c>
      <c r="V43" s="148">
        <f>COUNTIFS('2026 Time Off Request'!$A:$A,'Mar 2026'!$D43,'2026 Time Off Request'!$L:$L,'Mar 2026'!V$6)</f>
        <v>0</v>
      </c>
      <c r="W43" s="148">
        <f>COUNTIFS('2026 Time Off Request'!$A:$A,'Mar 2026'!$D43,'2026 Time Off Request'!$L:$L,'Mar 2026'!W$6)</f>
        <v>0</v>
      </c>
      <c r="X43" s="148">
        <f>COUNTIFS('2026 Time Off Request'!$A:$A,'Mar 2026'!$D43,'2026 Time Off Request'!$L:$L,'Mar 2026'!X$6)</f>
        <v>0</v>
      </c>
      <c r="Y43" s="148">
        <f>COUNTIFS('2026 Time Off Request'!$A:$A,'Mar 2026'!$D43,'2026 Time Off Request'!$L:$L,'Mar 2026'!Y$6)</f>
        <v>0</v>
      </c>
      <c r="Z43" s="147">
        <f>COUNTIFS('2026 Time Off Request'!$A:$A,'Mar 2026'!$D43,'2026 Time Off Request'!$L:$L,'Mar 2026'!Z$6)</f>
        <v>0</v>
      </c>
      <c r="AA43" s="147">
        <f>COUNTIFS('2026 Time Off Request'!$A:$A,'Mar 2026'!$D43,'2026 Time Off Request'!$L:$L,'Mar 2026'!AA$6)</f>
        <v>0</v>
      </c>
      <c r="AB43" s="148">
        <f>COUNTIFS('2026 Time Off Request'!$A:$A,'Mar 2026'!$D43,'2026 Time Off Request'!$L:$L,'Mar 2026'!AB$6)</f>
        <v>0</v>
      </c>
      <c r="AC43" s="148">
        <f>COUNTIFS('2026 Time Off Request'!$A:$A,'Mar 2026'!$D43,'2026 Time Off Request'!$L:$L,'Mar 2026'!AC$6)</f>
        <v>0</v>
      </c>
      <c r="AD43" s="148">
        <f>COUNTIFS('2026 Time Off Request'!$A:$A,'Mar 2026'!$D43,'2026 Time Off Request'!$L:$L,'Mar 2026'!AD$6)</f>
        <v>0</v>
      </c>
      <c r="AE43" s="148">
        <f>COUNTIFS('2026 Time Off Request'!$A:$A,'Mar 2026'!$D43,'2026 Time Off Request'!$L:$L,'Mar 2026'!AE$6)</f>
        <v>0</v>
      </c>
      <c r="AF43" s="148">
        <f>COUNTIFS('2026 Time Off Request'!$A:$A,'Mar 2026'!$D43,'2026 Time Off Request'!$L:$L,'Mar 2026'!AF$6)</f>
        <v>0</v>
      </c>
      <c r="AG43" s="147">
        <f>COUNTIFS('2026 Time Off Request'!$A:$A,'Mar 2026'!$D43,'2026 Time Off Request'!$L:$L,'Mar 2026'!AG$6)</f>
        <v>0</v>
      </c>
      <c r="AH43" s="147">
        <f>COUNTIFS('2026 Time Off Request'!$A:$A,'Mar 2026'!$D43,'2026 Time Off Request'!$L:$L,'Mar 2026'!AH$6)</f>
        <v>0</v>
      </c>
      <c r="AI43" s="148">
        <f>COUNTIFS('2026 Time Off Request'!$A:$A,'Mar 2026'!$D43,'2026 Time Off Request'!$L:$L,'Mar 2026'!AI$6)</f>
        <v>0</v>
      </c>
      <c r="AJ43" s="148">
        <f>COUNTIFS('2026 Time Off Request'!$A:$A,'Mar 2026'!$D43,'2026 Time Off Request'!$L:$L,'Mar 2026'!AJ$6)</f>
        <v>0</v>
      </c>
    </row>
    <row r="44" spans="1:36" ht="15.75">
      <c r="A44" s="2">
        <v>35</v>
      </c>
      <c r="B44" s="209" t="s">
        <v>45</v>
      </c>
      <c r="C44" s="210" t="s">
        <v>89</v>
      </c>
      <c r="D44" s="215" t="s">
        <v>90</v>
      </c>
      <c r="E44" s="212">
        <f t="shared" si="0"/>
        <v>1</v>
      </c>
      <c r="F44" s="213">
        <f>COUNTIFS('2026 Time Off Request'!$A:$A,'Mar 2026'!$D44,'2026 Time Off Request'!$L:$L,'Mar 2026'!F$6)</f>
        <v>0</v>
      </c>
      <c r="G44" s="148">
        <f>COUNTIFS('2026 Time Off Request'!$A:$A,'Mar 2026'!$D44,'2026 Time Off Request'!$L:$L,'Mar 2026'!G$6)</f>
        <v>1</v>
      </c>
      <c r="H44" s="148">
        <f>COUNTIFS('2026 Time Off Request'!$A:$A,'Mar 2026'!$D44,'2026 Time Off Request'!$L:$L,'Mar 2026'!H$6)</f>
        <v>0</v>
      </c>
      <c r="I44" s="148">
        <f>COUNTIFS('2026 Time Off Request'!$A:$A,'Mar 2026'!$D44,'2026 Time Off Request'!$L:$L,'Mar 2026'!I$6)</f>
        <v>0</v>
      </c>
      <c r="J44" s="148">
        <f>COUNTIFS('2026 Time Off Request'!$A:$A,'Mar 2026'!$D44,'2026 Time Off Request'!$L:$L,'Mar 2026'!J$6)</f>
        <v>0</v>
      </c>
      <c r="K44" s="148">
        <f>COUNTIFS('2026 Time Off Request'!$A:$A,'Mar 2026'!$D44,'2026 Time Off Request'!$L:$L,'Mar 2026'!K$6)</f>
        <v>0</v>
      </c>
      <c r="L44" s="147">
        <f>COUNTIFS('2026 Time Off Request'!$A:$A,'Mar 2026'!$D44,'2026 Time Off Request'!$L:$L,'Mar 2026'!L$6)</f>
        <v>0</v>
      </c>
      <c r="M44" s="147">
        <f>COUNTIFS('2026 Time Off Request'!$A:$A,'Mar 2026'!$D44,'2026 Time Off Request'!$L:$L,'Mar 2026'!M$6)</f>
        <v>0</v>
      </c>
      <c r="N44" s="148">
        <f>COUNTIFS('2026 Time Off Request'!$A:$A,'Mar 2026'!$D44,'2026 Time Off Request'!$L:$L,'Mar 2026'!N$6)</f>
        <v>0</v>
      </c>
      <c r="O44" s="148">
        <f>COUNTIFS('2026 Time Off Request'!$A:$A,'Mar 2026'!$D44,'2026 Time Off Request'!$L:$L,'Mar 2026'!O$6)</f>
        <v>0</v>
      </c>
      <c r="P44" s="148">
        <f>COUNTIFS('2026 Time Off Request'!$A:$A,'Mar 2026'!$D44,'2026 Time Off Request'!$L:$L,'Mar 2026'!P$6)</f>
        <v>0</v>
      </c>
      <c r="Q44" s="148">
        <f>COUNTIFS('2026 Time Off Request'!$A:$A,'Mar 2026'!$D44,'2026 Time Off Request'!$L:$L,'Mar 2026'!Q$6)</f>
        <v>0</v>
      </c>
      <c r="R44" s="148">
        <f>COUNTIFS('2026 Time Off Request'!$A:$A,'Mar 2026'!$D44,'2026 Time Off Request'!$L:$L,'Mar 2026'!R$6)</f>
        <v>0</v>
      </c>
      <c r="S44" s="147">
        <f>COUNTIFS('2026 Time Off Request'!$A:$A,'Mar 2026'!$D44,'2026 Time Off Request'!$L:$L,'Mar 2026'!S$6)</f>
        <v>0</v>
      </c>
      <c r="T44" s="147">
        <f>COUNTIFS('2026 Time Off Request'!$A:$A,'Mar 2026'!$D44,'2026 Time Off Request'!$L:$L,'Mar 2026'!T$6)</f>
        <v>0</v>
      </c>
      <c r="U44" s="148">
        <f>COUNTIFS('2026 Time Off Request'!$A:$A,'Mar 2026'!$D44,'2026 Time Off Request'!$L:$L,'Mar 2026'!U$6)</f>
        <v>0</v>
      </c>
      <c r="V44" s="148">
        <f>COUNTIFS('2026 Time Off Request'!$A:$A,'Mar 2026'!$D44,'2026 Time Off Request'!$L:$L,'Mar 2026'!V$6)</f>
        <v>0</v>
      </c>
      <c r="W44" s="148">
        <f>COUNTIFS('2026 Time Off Request'!$A:$A,'Mar 2026'!$D44,'2026 Time Off Request'!$L:$L,'Mar 2026'!W$6)</f>
        <v>0</v>
      </c>
      <c r="X44" s="148">
        <f>COUNTIFS('2026 Time Off Request'!$A:$A,'Mar 2026'!$D44,'2026 Time Off Request'!$L:$L,'Mar 2026'!X$6)</f>
        <v>0</v>
      </c>
      <c r="Y44" s="148">
        <f>COUNTIFS('2026 Time Off Request'!$A:$A,'Mar 2026'!$D44,'2026 Time Off Request'!$L:$L,'Mar 2026'!Y$6)</f>
        <v>0</v>
      </c>
      <c r="Z44" s="147">
        <f>COUNTIFS('2026 Time Off Request'!$A:$A,'Mar 2026'!$D44,'2026 Time Off Request'!$L:$L,'Mar 2026'!Z$6)</f>
        <v>0</v>
      </c>
      <c r="AA44" s="147">
        <f>COUNTIFS('2026 Time Off Request'!$A:$A,'Mar 2026'!$D44,'2026 Time Off Request'!$L:$L,'Mar 2026'!AA$6)</f>
        <v>0</v>
      </c>
      <c r="AB44" s="148">
        <f>COUNTIFS('2026 Time Off Request'!$A:$A,'Mar 2026'!$D44,'2026 Time Off Request'!$L:$L,'Mar 2026'!AB$6)</f>
        <v>0</v>
      </c>
      <c r="AC44" s="148">
        <f>COUNTIFS('2026 Time Off Request'!$A:$A,'Mar 2026'!$D44,'2026 Time Off Request'!$L:$L,'Mar 2026'!AC$6)</f>
        <v>0</v>
      </c>
      <c r="AD44" s="148">
        <f>COUNTIFS('2026 Time Off Request'!$A:$A,'Mar 2026'!$D44,'2026 Time Off Request'!$L:$L,'Mar 2026'!AD$6)</f>
        <v>0</v>
      </c>
      <c r="AE44" s="148">
        <f>COUNTIFS('2026 Time Off Request'!$A:$A,'Mar 2026'!$D44,'2026 Time Off Request'!$L:$L,'Mar 2026'!AE$6)</f>
        <v>0</v>
      </c>
      <c r="AF44" s="148">
        <f>COUNTIFS('2026 Time Off Request'!$A:$A,'Mar 2026'!$D44,'2026 Time Off Request'!$L:$L,'Mar 2026'!AF$6)</f>
        <v>0</v>
      </c>
      <c r="AG44" s="147">
        <f>COUNTIFS('2026 Time Off Request'!$A:$A,'Mar 2026'!$D44,'2026 Time Off Request'!$L:$L,'Mar 2026'!AG$6)</f>
        <v>0</v>
      </c>
      <c r="AH44" s="147">
        <f>COUNTIFS('2026 Time Off Request'!$A:$A,'Mar 2026'!$D44,'2026 Time Off Request'!$L:$L,'Mar 2026'!AH$6)</f>
        <v>0</v>
      </c>
      <c r="AI44" s="148">
        <f>COUNTIFS('2026 Time Off Request'!$A:$A,'Mar 2026'!$D44,'2026 Time Off Request'!$L:$L,'Mar 2026'!AI$6)</f>
        <v>0</v>
      </c>
      <c r="AJ44" s="148">
        <f>COUNTIFS('2026 Time Off Request'!$A:$A,'Mar 2026'!$D44,'2026 Time Off Request'!$L:$L,'Mar 2026'!AJ$6)</f>
        <v>0</v>
      </c>
    </row>
    <row r="45" spans="1:36" ht="15.75">
      <c r="A45" s="2">
        <v>36</v>
      </c>
      <c r="B45" s="209" t="s">
        <v>45</v>
      </c>
      <c r="C45" s="210" t="s">
        <v>89</v>
      </c>
      <c r="D45" s="215" t="s">
        <v>91</v>
      </c>
      <c r="E45" s="212">
        <f t="shared" si="0"/>
        <v>0</v>
      </c>
      <c r="F45" s="213">
        <f>COUNTIFS('2026 Time Off Request'!$A:$A,'Mar 2026'!$D45,'2026 Time Off Request'!$L:$L,'Mar 2026'!F$6)</f>
        <v>0</v>
      </c>
      <c r="G45" s="148">
        <f>COUNTIFS('2026 Time Off Request'!$A:$A,'Mar 2026'!$D45,'2026 Time Off Request'!$L:$L,'Mar 2026'!G$6)</f>
        <v>0</v>
      </c>
      <c r="H45" s="148">
        <f>COUNTIFS('2026 Time Off Request'!$A:$A,'Mar 2026'!$D45,'2026 Time Off Request'!$L:$L,'Mar 2026'!H$6)</f>
        <v>0</v>
      </c>
      <c r="I45" s="148">
        <f>COUNTIFS('2026 Time Off Request'!$A:$A,'Mar 2026'!$D45,'2026 Time Off Request'!$L:$L,'Mar 2026'!I$6)</f>
        <v>0</v>
      </c>
      <c r="J45" s="148">
        <f>COUNTIFS('2026 Time Off Request'!$A:$A,'Mar 2026'!$D45,'2026 Time Off Request'!$L:$L,'Mar 2026'!J$6)</f>
        <v>0</v>
      </c>
      <c r="K45" s="148">
        <f>COUNTIFS('2026 Time Off Request'!$A:$A,'Mar 2026'!$D45,'2026 Time Off Request'!$L:$L,'Mar 2026'!K$6)</f>
        <v>0</v>
      </c>
      <c r="L45" s="147">
        <f>COUNTIFS('2026 Time Off Request'!$A:$A,'Mar 2026'!$D45,'2026 Time Off Request'!$L:$L,'Mar 2026'!L$6)</f>
        <v>0</v>
      </c>
      <c r="M45" s="147">
        <f>COUNTIFS('2026 Time Off Request'!$A:$A,'Mar 2026'!$D45,'2026 Time Off Request'!$L:$L,'Mar 2026'!M$6)</f>
        <v>0</v>
      </c>
      <c r="N45" s="148">
        <f>COUNTIFS('2026 Time Off Request'!$A:$A,'Mar 2026'!$D45,'2026 Time Off Request'!$L:$L,'Mar 2026'!N$6)</f>
        <v>0</v>
      </c>
      <c r="O45" s="148">
        <f>COUNTIFS('2026 Time Off Request'!$A:$A,'Mar 2026'!$D45,'2026 Time Off Request'!$L:$L,'Mar 2026'!O$6)</f>
        <v>0</v>
      </c>
      <c r="P45" s="148">
        <f>COUNTIFS('2026 Time Off Request'!$A:$A,'Mar 2026'!$D45,'2026 Time Off Request'!$L:$L,'Mar 2026'!P$6)</f>
        <v>0</v>
      </c>
      <c r="Q45" s="148">
        <f>COUNTIFS('2026 Time Off Request'!$A:$A,'Mar 2026'!$D45,'2026 Time Off Request'!$L:$L,'Mar 2026'!Q$6)</f>
        <v>0</v>
      </c>
      <c r="R45" s="148">
        <f>COUNTIFS('2026 Time Off Request'!$A:$A,'Mar 2026'!$D45,'2026 Time Off Request'!$L:$L,'Mar 2026'!R$6)</f>
        <v>0</v>
      </c>
      <c r="S45" s="147">
        <f>COUNTIFS('2026 Time Off Request'!$A:$A,'Mar 2026'!$D45,'2026 Time Off Request'!$L:$L,'Mar 2026'!S$6)</f>
        <v>0</v>
      </c>
      <c r="T45" s="147">
        <f>COUNTIFS('2026 Time Off Request'!$A:$A,'Mar 2026'!$D45,'2026 Time Off Request'!$L:$L,'Mar 2026'!T$6)</f>
        <v>0</v>
      </c>
      <c r="U45" s="148">
        <f>COUNTIFS('2026 Time Off Request'!$A:$A,'Mar 2026'!$D45,'2026 Time Off Request'!$L:$L,'Mar 2026'!U$6)</f>
        <v>0</v>
      </c>
      <c r="V45" s="148">
        <f>COUNTIFS('2026 Time Off Request'!$A:$A,'Mar 2026'!$D45,'2026 Time Off Request'!$L:$L,'Mar 2026'!V$6)</f>
        <v>0</v>
      </c>
      <c r="W45" s="148">
        <f>COUNTIFS('2026 Time Off Request'!$A:$A,'Mar 2026'!$D45,'2026 Time Off Request'!$L:$L,'Mar 2026'!W$6)</f>
        <v>0</v>
      </c>
      <c r="X45" s="148">
        <f>COUNTIFS('2026 Time Off Request'!$A:$A,'Mar 2026'!$D45,'2026 Time Off Request'!$L:$L,'Mar 2026'!X$6)</f>
        <v>0</v>
      </c>
      <c r="Y45" s="148">
        <f>COUNTIFS('2026 Time Off Request'!$A:$A,'Mar 2026'!$D45,'2026 Time Off Request'!$L:$L,'Mar 2026'!Y$6)</f>
        <v>0</v>
      </c>
      <c r="Z45" s="147">
        <f>COUNTIFS('2026 Time Off Request'!$A:$A,'Mar 2026'!$D45,'2026 Time Off Request'!$L:$L,'Mar 2026'!Z$6)</f>
        <v>0</v>
      </c>
      <c r="AA45" s="147">
        <f>COUNTIFS('2026 Time Off Request'!$A:$A,'Mar 2026'!$D45,'2026 Time Off Request'!$L:$L,'Mar 2026'!AA$6)</f>
        <v>0</v>
      </c>
      <c r="AB45" s="148">
        <f>COUNTIFS('2026 Time Off Request'!$A:$A,'Mar 2026'!$D45,'2026 Time Off Request'!$L:$L,'Mar 2026'!AB$6)</f>
        <v>0</v>
      </c>
      <c r="AC45" s="148">
        <f>COUNTIFS('2026 Time Off Request'!$A:$A,'Mar 2026'!$D45,'2026 Time Off Request'!$L:$L,'Mar 2026'!AC$6)</f>
        <v>0</v>
      </c>
      <c r="AD45" s="148">
        <f>COUNTIFS('2026 Time Off Request'!$A:$A,'Mar 2026'!$D45,'2026 Time Off Request'!$L:$L,'Mar 2026'!AD$6)</f>
        <v>0</v>
      </c>
      <c r="AE45" s="148">
        <f>COUNTIFS('2026 Time Off Request'!$A:$A,'Mar 2026'!$D45,'2026 Time Off Request'!$L:$L,'Mar 2026'!AE$6)</f>
        <v>0</v>
      </c>
      <c r="AF45" s="148">
        <f>COUNTIFS('2026 Time Off Request'!$A:$A,'Mar 2026'!$D45,'2026 Time Off Request'!$L:$L,'Mar 2026'!AF$6)</f>
        <v>0</v>
      </c>
      <c r="AG45" s="147">
        <f>COUNTIFS('2026 Time Off Request'!$A:$A,'Mar 2026'!$D45,'2026 Time Off Request'!$L:$L,'Mar 2026'!AG$6)</f>
        <v>0</v>
      </c>
      <c r="AH45" s="147">
        <f>COUNTIFS('2026 Time Off Request'!$A:$A,'Mar 2026'!$D45,'2026 Time Off Request'!$L:$L,'Mar 2026'!AH$6)</f>
        <v>0</v>
      </c>
      <c r="AI45" s="148">
        <f>COUNTIFS('2026 Time Off Request'!$A:$A,'Mar 2026'!$D45,'2026 Time Off Request'!$L:$L,'Mar 2026'!AI$6)</f>
        <v>0</v>
      </c>
      <c r="AJ45" s="148">
        <f>COUNTIFS('2026 Time Off Request'!$A:$A,'Mar 2026'!$D45,'2026 Time Off Request'!$L:$L,'Mar 2026'!AJ$6)</f>
        <v>0</v>
      </c>
    </row>
    <row r="46" spans="1:36" ht="15.75">
      <c r="A46" s="2"/>
      <c r="B46" s="29"/>
      <c r="C46" s="23"/>
      <c r="D46" s="2"/>
      <c r="E46" s="3"/>
    </row>
    <row r="47" spans="1:36" ht="15.75">
      <c r="A47" s="2"/>
      <c r="B47" s="29"/>
      <c r="C47" s="23"/>
      <c r="D47" s="2"/>
      <c r="E47" s="3"/>
    </row>
    <row r="48" spans="1:36" ht="15.75">
      <c r="A48" s="2"/>
      <c r="B48" s="29"/>
      <c r="C48" s="23"/>
      <c r="D48" s="2"/>
      <c r="E48" s="3"/>
    </row>
    <row r="49" spans="1:5" ht="15.75">
      <c r="A49" s="2"/>
      <c r="B49" s="29"/>
      <c r="C49" s="105"/>
      <c r="D49" s="2"/>
      <c r="E49" s="3"/>
    </row>
    <row r="50" spans="1:5" ht="15.75">
      <c r="A50" s="2"/>
      <c r="B50" s="29"/>
      <c r="C50" s="23"/>
      <c r="D50" s="2"/>
      <c r="E50" s="2"/>
    </row>
    <row r="51" spans="1:5" ht="15.75">
      <c r="A51" s="2"/>
      <c r="B51" s="29"/>
      <c r="C51" s="23"/>
      <c r="D51" s="2"/>
      <c r="E51" s="2"/>
    </row>
    <row r="52" spans="1:5" ht="15.75">
      <c r="A52" s="2"/>
      <c r="B52" s="29"/>
      <c r="C52" s="23"/>
      <c r="D52" s="2"/>
      <c r="E52" s="2"/>
    </row>
    <row r="53" spans="1:5" ht="15.75">
      <c r="A53" s="2"/>
      <c r="B53" s="29"/>
      <c r="C53" s="23"/>
      <c r="D53" s="2"/>
      <c r="E53" s="2"/>
    </row>
    <row r="54" spans="1:5" ht="15.75">
      <c r="A54" s="2"/>
      <c r="B54" s="29"/>
      <c r="C54" s="23"/>
      <c r="D54" s="2"/>
      <c r="E54" s="2"/>
    </row>
    <row r="55" spans="1:5" ht="15.75">
      <c r="A55" s="2"/>
      <c r="B55" s="29"/>
      <c r="C55" s="23"/>
      <c r="D55" s="2"/>
      <c r="E55" s="2"/>
    </row>
    <row r="56" spans="1:5" ht="15.75">
      <c r="A56" s="2"/>
      <c r="B56" s="29"/>
      <c r="C56" s="23"/>
      <c r="D56" s="2"/>
      <c r="E56" s="2"/>
    </row>
    <row r="57" spans="1:5" ht="15.75">
      <c r="A57" s="2"/>
      <c r="B57" s="29"/>
      <c r="C57" s="23"/>
      <c r="D57" s="2"/>
      <c r="E57" s="2"/>
    </row>
    <row r="58" spans="1:5" ht="15.75">
      <c r="A58" s="2"/>
      <c r="B58" s="29"/>
      <c r="C58" s="23"/>
      <c r="D58" s="2"/>
      <c r="E58" s="2"/>
    </row>
    <row r="59" spans="1:5" ht="15.75">
      <c r="A59" s="2"/>
      <c r="B59" s="29"/>
      <c r="C59" s="23"/>
      <c r="D59" s="2"/>
      <c r="E59" s="2"/>
    </row>
    <row r="60" spans="1:5" ht="15"/>
    <row r="61" spans="1:5" ht="15"/>
  </sheetData>
  <mergeCells count="1">
    <mergeCell ref="B6:D6"/>
  </mergeCells>
  <conditionalFormatting sqref="E8:AJ45">
    <cfRule type="cellIs" dxfId="9" priority="1" operator="greaterThan">
      <formula>0</formula>
    </cfRule>
  </conditionalFormatting>
  <dataValidations count="1">
    <dataValidation allowBlank="1" showInputMessage="1" showErrorMessage="1" sqref="A3:A59" xr:uid="{55B73E53-3AFC-45E5-9905-F471C9ED0CF9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538D-59C6-4F98-9DEB-459F2489AF17}">
  <sheetPr>
    <tabColor rgb="FF00B050"/>
  </sheetPr>
  <dimension ref="A2:AN61"/>
  <sheetViews>
    <sheetView showGridLines="0" workbookViewId="0">
      <pane xSplit="4" ySplit="7" topLeftCell="E39" activePane="bottomRight" state="frozen"/>
      <selection pane="bottomRight" activeCell="E23" sqref="E23"/>
      <selection pane="bottomLeft"/>
      <selection pane="topRight"/>
    </sheetView>
  </sheetViews>
  <sheetFormatPr defaultColWidth="9.140625" defaultRowHeight="14.45"/>
  <cols>
    <col min="1" max="1" width="3.28515625" bestFit="1" customWidth="1"/>
    <col min="3" max="3" width="22.7109375" bestFit="1" customWidth="1"/>
    <col min="4" max="4" width="27.140625" customWidth="1"/>
    <col min="5" max="5" width="15" customWidth="1"/>
    <col min="6" max="6" width="17.140625" style="57" customWidth="1"/>
    <col min="7" max="8" width="17.42578125" bestFit="1" customWidth="1"/>
    <col min="9" max="10" width="17.42578125" style="48" bestFit="1" customWidth="1"/>
    <col min="11" max="14" width="17.42578125" bestFit="1" customWidth="1"/>
    <col min="15" max="15" width="18.42578125" bestFit="1" customWidth="1"/>
    <col min="16" max="17" width="18.42578125" style="48" bestFit="1" customWidth="1"/>
    <col min="18" max="22" width="18.42578125" bestFit="1" customWidth="1"/>
    <col min="23" max="24" width="18.42578125" style="48" bestFit="1" customWidth="1"/>
    <col min="25" max="29" width="18.42578125" bestFit="1" customWidth="1"/>
    <col min="30" max="31" width="18.42578125" style="48" bestFit="1" customWidth="1"/>
    <col min="32" max="35" width="18.42578125" bestFit="1" customWidth="1"/>
  </cols>
  <sheetData>
    <row r="2" spans="1:40" s="80" customFormat="1" ht="18.75" customHeight="1">
      <c r="D2" s="96" t="s">
        <v>95</v>
      </c>
      <c r="F2" s="115">
        <f>COUNTA($D$8:$D$52)</f>
        <v>38</v>
      </c>
      <c r="G2" s="80">
        <f t="shared" ref="G2:AI2" si="0">COUNTA($D$8:$D$52)</f>
        <v>38</v>
      </c>
      <c r="H2" s="80">
        <f t="shared" si="0"/>
        <v>38</v>
      </c>
      <c r="I2" s="46">
        <f t="shared" si="0"/>
        <v>38</v>
      </c>
      <c r="J2" s="46">
        <f t="shared" si="0"/>
        <v>38</v>
      </c>
      <c r="K2" s="80">
        <f t="shared" si="0"/>
        <v>38</v>
      </c>
      <c r="L2" s="80">
        <f t="shared" si="0"/>
        <v>38</v>
      </c>
      <c r="M2" s="80">
        <f t="shared" si="0"/>
        <v>38</v>
      </c>
      <c r="N2" s="80">
        <f t="shared" si="0"/>
        <v>38</v>
      </c>
      <c r="O2" s="80">
        <f t="shared" si="0"/>
        <v>38</v>
      </c>
      <c r="P2" s="46">
        <f t="shared" si="0"/>
        <v>38</v>
      </c>
      <c r="Q2" s="46">
        <f t="shared" si="0"/>
        <v>38</v>
      </c>
      <c r="R2" s="80">
        <f t="shared" si="0"/>
        <v>38</v>
      </c>
      <c r="S2" s="80">
        <f t="shared" si="0"/>
        <v>38</v>
      </c>
      <c r="T2" s="80">
        <f t="shared" si="0"/>
        <v>38</v>
      </c>
      <c r="U2" s="80">
        <f t="shared" si="0"/>
        <v>38</v>
      </c>
      <c r="V2" s="80">
        <f t="shared" si="0"/>
        <v>38</v>
      </c>
      <c r="W2" s="46">
        <f t="shared" si="0"/>
        <v>38</v>
      </c>
      <c r="X2" s="46">
        <f t="shared" si="0"/>
        <v>38</v>
      </c>
      <c r="Y2" s="80">
        <f t="shared" si="0"/>
        <v>38</v>
      </c>
      <c r="Z2" s="80">
        <f t="shared" si="0"/>
        <v>38</v>
      </c>
      <c r="AA2" s="80">
        <f t="shared" si="0"/>
        <v>38</v>
      </c>
      <c r="AB2" s="80">
        <f t="shared" si="0"/>
        <v>38</v>
      </c>
      <c r="AC2" s="80">
        <f t="shared" si="0"/>
        <v>38</v>
      </c>
      <c r="AD2" s="46">
        <f t="shared" si="0"/>
        <v>38</v>
      </c>
      <c r="AE2" s="46">
        <f t="shared" si="0"/>
        <v>38</v>
      </c>
      <c r="AF2" s="80">
        <f t="shared" si="0"/>
        <v>38</v>
      </c>
      <c r="AG2" s="80">
        <f t="shared" si="0"/>
        <v>38</v>
      </c>
      <c r="AH2" s="80">
        <f t="shared" si="0"/>
        <v>38</v>
      </c>
      <c r="AI2" s="80">
        <f t="shared" si="0"/>
        <v>38</v>
      </c>
    </row>
    <row r="3" spans="1:40" s="80" customFormat="1" ht="12">
      <c r="A3" s="96"/>
      <c r="C3" s="96"/>
      <c r="D3" s="96" t="s">
        <v>96</v>
      </c>
      <c r="E3" s="96"/>
      <c r="F3" s="115">
        <f>SUM(F8:F49)</f>
        <v>0</v>
      </c>
      <c r="G3" s="80">
        <f t="shared" ref="G3:AI3" si="1">SUM(G8:G49)</f>
        <v>0</v>
      </c>
      <c r="H3" s="80">
        <f t="shared" si="1"/>
        <v>0</v>
      </c>
      <c r="I3" s="46">
        <f t="shared" si="1"/>
        <v>0</v>
      </c>
      <c r="J3" s="46">
        <f t="shared" si="1"/>
        <v>0</v>
      </c>
      <c r="K3" s="80">
        <f t="shared" si="1"/>
        <v>0</v>
      </c>
      <c r="L3" s="80">
        <f t="shared" si="1"/>
        <v>0</v>
      </c>
      <c r="M3" s="80">
        <f>SUM(M8:M49)</f>
        <v>0</v>
      </c>
      <c r="N3" s="80">
        <f t="shared" si="1"/>
        <v>0</v>
      </c>
      <c r="O3" s="80">
        <f t="shared" si="1"/>
        <v>0</v>
      </c>
      <c r="P3" s="46">
        <f t="shared" si="1"/>
        <v>0</v>
      </c>
      <c r="Q3" s="46">
        <f t="shared" si="1"/>
        <v>0</v>
      </c>
      <c r="R3" s="80">
        <f>SUM(R8:R49)</f>
        <v>0</v>
      </c>
      <c r="S3" s="80">
        <f t="shared" si="1"/>
        <v>0</v>
      </c>
      <c r="T3" s="80">
        <f t="shared" si="1"/>
        <v>0</v>
      </c>
      <c r="U3" s="80">
        <f t="shared" si="1"/>
        <v>0</v>
      </c>
      <c r="V3" s="80">
        <f t="shared" si="1"/>
        <v>0</v>
      </c>
      <c r="W3" s="46">
        <f>SUM(W8:W49)</f>
        <v>0</v>
      </c>
      <c r="X3" s="46">
        <f t="shared" si="1"/>
        <v>0</v>
      </c>
      <c r="Y3" s="80">
        <f t="shared" si="1"/>
        <v>1</v>
      </c>
      <c r="Z3" s="80">
        <f t="shared" si="1"/>
        <v>1</v>
      </c>
      <c r="AA3" s="80">
        <f t="shared" si="1"/>
        <v>1</v>
      </c>
      <c r="AB3" s="80">
        <f t="shared" si="1"/>
        <v>1</v>
      </c>
      <c r="AC3" s="80">
        <f t="shared" si="1"/>
        <v>1</v>
      </c>
      <c r="AD3" s="46">
        <f>SUM(AD8:AD49)</f>
        <v>0</v>
      </c>
      <c r="AE3" s="46">
        <f t="shared" si="1"/>
        <v>0</v>
      </c>
      <c r="AF3" s="80">
        <f>SUM(AF8:AF49)</f>
        <v>1</v>
      </c>
      <c r="AG3" s="80">
        <f t="shared" si="1"/>
        <v>1</v>
      </c>
      <c r="AH3" s="80">
        <f t="shared" si="1"/>
        <v>1</v>
      </c>
      <c r="AI3" s="80">
        <f t="shared" si="1"/>
        <v>1</v>
      </c>
    </row>
    <row r="4" spans="1:40" s="80" customFormat="1" ht="12">
      <c r="A4" s="96"/>
      <c r="B4" s="97"/>
      <c r="C4" s="96"/>
      <c r="D4" s="96" t="s">
        <v>97</v>
      </c>
      <c r="E4" s="96"/>
      <c r="F4" s="116">
        <f>(COUNTA($D$8:$D$49)-F$3)/(COUNTA($D$8:$D$49))</f>
        <v>1</v>
      </c>
      <c r="G4" s="81">
        <f>(COUNTA($D$8:$D$49)-G$3)/(COUNTA($D$8:$D$49))</f>
        <v>1</v>
      </c>
      <c r="H4" s="81">
        <f>(COUNTA($D$8:$D$49)-H$3)/(COUNTA($D$8:$D$49))</f>
        <v>1</v>
      </c>
      <c r="I4" s="47">
        <f>(COUNTA($D$8:$D$49)-I$3)/(COUNTA($D$8:$D$49))</f>
        <v>1</v>
      </c>
      <c r="J4" s="47">
        <f>(COUNTA($D$8:$D$49)-J$3)/(COUNTA($D$8:$D$49))</f>
        <v>1</v>
      </c>
      <c r="K4" s="81">
        <f>(COUNTA($D$8:$D$49)-K$3)/(COUNTA($D$8:$D$49))</f>
        <v>1</v>
      </c>
      <c r="L4" s="81">
        <f>(COUNTA($D$8:$D$49)-L$3)/(COUNTA($D$8:$D$49))</f>
        <v>1</v>
      </c>
      <c r="M4" s="81">
        <f>(COUNTA($D$8:$D$49)-M$3)/(COUNTA($D$8:$D$49))</f>
        <v>1</v>
      </c>
      <c r="N4" s="81">
        <f>(COUNTA($D$8:$D$49)-N$3)/(COUNTA($D$8:$D$49))</f>
        <v>1</v>
      </c>
      <c r="O4" s="81">
        <f>(COUNTA($D$8:$D$49)-O$3)/(COUNTA($D$8:$D$49))</f>
        <v>1</v>
      </c>
      <c r="P4" s="47">
        <f>(COUNTA($D$8:$D$49)-P$3)/(COUNTA($D$8:$D$49))</f>
        <v>1</v>
      </c>
      <c r="Q4" s="47">
        <f>(COUNTA($D$8:$D$49)-Q$3)/(COUNTA($D$8:$D$49))</f>
        <v>1</v>
      </c>
      <c r="R4" s="81">
        <f>(COUNTA($D$8:$D$49)-R$3)/(COUNTA($D$8:$D$49))</f>
        <v>1</v>
      </c>
      <c r="S4" s="81">
        <f>(COUNTA($D$8:$D$49)-S$3)/(COUNTA($D$8:$D$49))</f>
        <v>1</v>
      </c>
      <c r="T4" s="81">
        <f>(COUNTA($D$8:$D$49)-T$3)/(COUNTA($D$8:$D$49))</f>
        <v>1</v>
      </c>
      <c r="U4" s="81">
        <f>(COUNTA($D$8:$D$49)-U$3)/(COUNTA($D$8:$D$49))</f>
        <v>1</v>
      </c>
      <c r="V4" s="81">
        <f>(COUNTA($D$8:$D$49)-V$3)/(COUNTA($D$8:$D$49))</f>
        <v>1</v>
      </c>
      <c r="W4" s="47">
        <f>(COUNTA($D$8:$D$49)-W$3)/(COUNTA($D$8:$D$49))</f>
        <v>1</v>
      </c>
      <c r="X4" s="47">
        <f>(COUNTA($D$8:$D$49)-X$3)/(COUNTA($D$8:$D$49))</f>
        <v>1</v>
      </c>
      <c r="Y4" s="81">
        <f>(COUNTA($D$8:$D$49)-Y$3)/(COUNTA($D$8:$D$49))</f>
        <v>0.97368421052631582</v>
      </c>
      <c r="Z4" s="81">
        <f>(COUNTA($D$8:$D$49)-Z$3)/(COUNTA($D$8:$D$49))</f>
        <v>0.97368421052631582</v>
      </c>
      <c r="AA4" s="81">
        <f>(COUNTA($D$8:$D$49)-AA$3)/(COUNTA($D$8:$D$49))</f>
        <v>0.97368421052631582</v>
      </c>
      <c r="AB4" s="81">
        <f>(COUNTA($D$8:$D$49)-AB$3)/(COUNTA($D$8:$D$49))</f>
        <v>0.97368421052631582</v>
      </c>
      <c r="AC4" s="81">
        <f>(COUNTA($D$8:$D$49)-AC$3)/(COUNTA($D$8:$D$49))</f>
        <v>0.97368421052631582</v>
      </c>
      <c r="AD4" s="47">
        <f>(COUNTA($D$8:$D$49)-AD$3)/(COUNTA($D$8:$D$49))</f>
        <v>1</v>
      </c>
      <c r="AE4" s="47">
        <f>(COUNTA($D$8:$D$49)-AE$3)/(COUNTA($D$8:$D$49))</f>
        <v>1</v>
      </c>
      <c r="AF4" s="81">
        <f>(COUNTA($D$8:$D$49)-AF$3)/(COUNTA($D$8:$D$49))</f>
        <v>0.97368421052631582</v>
      </c>
      <c r="AG4" s="81">
        <f>(COUNTA($D$8:$D$49)-AG$3)/(COUNTA($D$8:$D$49))</f>
        <v>0.97368421052631582</v>
      </c>
      <c r="AH4" s="81">
        <f>(COUNTA($D$8:$D$49)-AH$3)/(COUNTA($D$8:$D$49))</f>
        <v>0.97368421052631582</v>
      </c>
      <c r="AI4" s="81">
        <f>(COUNTA($D$8:$D$49)-AI$3)/(COUNTA($D$8:$D$49))</f>
        <v>0.97368421052631582</v>
      </c>
    </row>
    <row r="5" spans="1:40" s="80" customFormat="1" ht="8.25" customHeight="1">
      <c r="A5" s="96"/>
      <c r="B5" s="97"/>
      <c r="C5" s="96"/>
      <c r="D5" s="96"/>
      <c r="E5" s="96"/>
      <c r="F5" s="116"/>
      <c r="G5" s="81"/>
      <c r="H5" s="81"/>
      <c r="I5" s="47"/>
      <c r="J5" s="47"/>
      <c r="K5" s="81"/>
      <c r="L5" s="81"/>
      <c r="M5" s="81"/>
      <c r="N5" s="81"/>
      <c r="O5" s="81"/>
      <c r="P5" s="47"/>
      <c r="Q5" s="47"/>
      <c r="R5" s="81"/>
      <c r="S5" s="81"/>
      <c r="T5" s="81"/>
      <c r="U5" s="81"/>
      <c r="V5" s="81"/>
      <c r="W5" s="47"/>
      <c r="X5" s="47"/>
      <c r="Y5" s="81"/>
      <c r="Z5" s="81"/>
      <c r="AA5" s="81"/>
      <c r="AB5" s="81"/>
      <c r="AC5" s="81"/>
      <c r="AD5" s="47"/>
      <c r="AE5" s="47"/>
      <c r="AF5" s="81"/>
      <c r="AG5" s="81"/>
      <c r="AH5" s="81"/>
      <c r="AI5" s="81"/>
    </row>
    <row r="6" spans="1:40" s="100" customFormat="1" ht="34.5" customHeight="1">
      <c r="A6" s="98"/>
      <c r="B6" s="246" t="s">
        <v>0</v>
      </c>
      <c r="C6" s="247"/>
      <c r="D6" s="247"/>
      <c r="E6" s="16" t="s">
        <v>98</v>
      </c>
      <c r="F6" s="95">
        <v>46113</v>
      </c>
      <c r="G6" s="95">
        <v>46114</v>
      </c>
      <c r="H6" s="95">
        <v>46115</v>
      </c>
      <c r="I6" s="109">
        <v>46116</v>
      </c>
      <c r="J6" s="109">
        <v>46117</v>
      </c>
      <c r="K6" s="95">
        <v>46118</v>
      </c>
      <c r="L6" s="95">
        <v>46119</v>
      </c>
      <c r="M6" s="95">
        <v>46120</v>
      </c>
      <c r="N6" s="95">
        <v>46121</v>
      </c>
      <c r="O6" s="95">
        <v>46122</v>
      </c>
      <c r="P6" s="109">
        <v>46123</v>
      </c>
      <c r="Q6" s="109">
        <v>46124</v>
      </c>
      <c r="R6" s="95">
        <v>46125</v>
      </c>
      <c r="S6" s="95">
        <v>46126</v>
      </c>
      <c r="T6" s="95">
        <v>46127</v>
      </c>
      <c r="U6" s="95">
        <v>46128</v>
      </c>
      <c r="V6" s="95">
        <v>46129</v>
      </c>
      <c r="W6" s="109">
        <v>46130</v>
      </c>
      <c r="X6" s="109">
        <v>46131</v>
      </c>
      <c r="Y6" s="95">
        <v>46132</v>
      </c>
      <c r="Z6" s="95">
        <v>46133</v>
      </c>
      <c r="AA6" s="95">
        <v>46134</v>
      </c>
      <c r="AB6" s="95">
        <v>46135</v>
      </c>
      <c r="AC6" s="95">
        <v>46136</v>
      </c>
      <c r="AD6" s="109">
        <v>46137</v>
      </c>
      <c r="AE6" s="109">
        <v>46138</v>
      </c>
      <c r="AF6" s="95">
        <v>46139</v>
      </c>
      <c r="AG6" s="95">
        <v>46140</v>
      </c>
      <c r="AH6" s="95">
        <v>46141</v>
      </c>
      <c r="AI6" s="117">
        <v>46142</v>
      </c>
      <c r="AJ6" s="99"/>
      <c r="AK6" s="99"/>
      <c r="AL6" s="99"/>
      <c r="AM6" s="99"/>
      <c r="AN6" s="99"/>
    </row>
    <row r="7" spans="1:40" ht="15.75">
      <c r="A7" s="1"/>
      <c r="B7" s="28" t="s">
        <v>3</v>
      </c>
      <c r="C7" s="24" t="s">
        <v>4</v>
      </c>
      <c r="D7" s="1" t="s">
        <v>5</v>
      </c>
      <c r="E7" s="5" t="s">
        <v>99</v>
      </c>
      <c r="F7" s="218" t="s">
        <v>102</v>
      </c>
      <c r="G7" s="218" t="s">
        <v>103</v>
      </c>
      <c r="H7" s="218" t="s">
        <v>104</v>
      </c>
      <c r="I7" s="216" t="s">
        <v>105</v>
      </c>
      <c r="J7" s="216" t="s">
        <v>106</v>
      </c>
      <c r="K7" s="218" t="s">
        <v>100</v>
      </c>
      <c r="L7" s="218" t="s">
        <v>101</v>
      </c>
      <c r="M7" s="218" t="s">
        <v>102</v>
      </c>
      <c r="N7" s="218" t="s">
        <v>103</v>
      </c>
      <c r="O7" s="218" t="s">
        <v>104</v>
      </c>
      <c r="P7" s="216" t="s">
        <v>105</v>
      </c>
      <c r="Q7" s="216" t="s">
        <v>106</v>
      </c>
      <c r="R7" s="218" t="s">
        <v>100</v>
      </c>
      <c r="S7" s="218" t="s">
        <v>101</v>
      </c>
      <c r="T7" s="218" t="s">
        <v>102</v>
      </c>
      <c r="U7" s="218" t="s">
        <v>103</v>
      </c>
      <c r="V7" s="218" t="s">
        <v>104</v>
      </c>
      <c r="W7" s="216" t="s">
        <v>105</v>
      </c>
      <c r="X7" s="216" t="s">
        <v>106</v>
      </c>
      <c r="Y7" s="218" t="s">
        <v>100</v>
      </c>
      <c r="Z7" s="218" t="s">
        <v>101</v>
      </c>
      <c r="AA7" s="218" t="s">
        <v>102</v>
      </c>
      <c r="AB7" s="218" t="s">
        <v>103</v>
      </c>
      <c r="AC7" s="218" t="s">
        <v>104</v>
      </c>
      <c r="AD7" s="216" t="s">
        <v>105</v>
      </c>
      <c r="AE7" s="216" t="s">
        <v>106</v>
      </c>
      <c r="AF7" s="218" t="s">
        <v>100</v>
      </c>
      <c r="AG7" s="218" t="s">
        <v>101</v>
      </c>
      <c r="AH7" s="218" t="s">
        <v>102</v>
      </c>
      <c r="AI7" s="222" t="s">
        <v>103</v>
      </c>
    </row>
    <row r="8" spans="1:40" ht="15.75">
      <c r="A8" s="2">
        <v>1</v>
      </c>
      <c r="B8" s="209" t="s">
        <v>25</v>
      </c>
      <c r="C8" s="210" t="s">
        <v>26</v>
      </c>
      <c r="D8" s="211" t="s">
        <v>27</v>
      </c>
      <c r="E8" s="212">
        <f t="shared" ref="E8:E45" si="2">SUM(F8:AI8)</f>
        <v>0</v>
      </c>
      <c r="F8" s="223">
        <f>COUNTIFS('2026 Time Off Request'!$A:$A,'April 2026'!$D8,'2026 Time Off Request'!$L:$L,'April 2026'!F$6)</f>
        <v>0</v>
      </c>
      <c r="G8" s="148">
        <f>COUNTIFS('2026 Time Off Request'!$A:$A,'April 2026'!$D8,'2026 Time Off Request'!$L:$L,'April 2026'!G$6)</f>
        <v>0</v>
      </c>
      <c r="H8" s="148">
        <f>COUNTIFS('2026 Time Off Request'!$A:$A,'April 2026'!$D8,'2026 Time Off Request'!$L:$L,'April 2026'!H$6)</f>
        <v>0</v>
      </c>
      <c r="I8" s="147">
        <f>COUNTIFS('2026 Time Off Request'!$A:$A,'April 2026'!$D8,'2026 Time Off Request'!$L:$L,'April 2026'!I$6)</f>
        <v>0</v>
      </c>
      <c r="J8" s="147">
        <f>COUNTIFS('2026 Time Off Request'!$A:$A,'April 2026'!$D8,'2026 Time Off Request'!$L:$L,'April 2026'!J$6)</f>
        <v>0</v>
      </c>
      <c r="K8" s="148">
        <f>COUNTIFS('2026 Time Off Request'!$A:$A,'April 2026'!$D8,'2026 Time Off Request'!$L:$L,'April 2026'!K$6)</f>
        <v>0</v>
      </c>
      <c r="L8" s="148">
        <f>COUNTIFS('2026 Time Off Request'!$A:$A,'April 2026'!$D8,'2026 Time Off Request'!$L:$L,'April 2026'!L$6)</f>
        <v>0</v>
      </c>
      <c r="M8" s="148">
        <f>COUNTIFS('2026 Time Off Request'!$A:$A,'April 2026'!$D8,'2026 Time Off Request'!$L:$L,'April 2026'!M$6)</f>
        <v>0</v>
      </c>
      <c r="N8" s="148">
        <f>COUNTIFS('2026 Time Off Request'!$A:$A,'April 2026'!$D8,'2026 Time Off Request'!$L:$L,'April 2026'!N$6)</f>
        <v>0</v>
      </c>
      <c r="O8" s="148">
        <f>COUNTIFS('2026 Time Off Request'!$A:$A,'April 2026'!$D8,'2026 Time Off Request'!$L:$L,'April 2026'!O$6)</f>
        <v>0</v>
      </c>
      <c r="P8" s="147">
        <f>COUNTIFS('2026 Time Off Request'!$A:$A,'April 2026'!$D8,'2026 Time Off Request'!$L:$L,'April 2026'!P$6)</f>
        <v>0</v>
      </c>
      <c r="Q8" s="147">
        <f>COUNTIFS('2026 Time Off Request'!$A:$A,'April 2026'!$D8,'2026 Time Off Request'!$L:$L,'April 2026'!Q$6)</f>
        <v>0</v>
      </c>
      <c r="R8" s="148">
        <f>COUNTIFS('2026 Time Off Request'!$A:$A,'April 2026'!$D8,'2026 Time Off Request'!$L:$L,'April 2026'!R$6)</f>
        <v>0</v>
      </c>
      <c r="S8" s="148">
        <f>COUNTIFS('2026 Time Off Request'!$A:$A,'April 2026'!$D8,'2026 Time Off Request'!$L:$L,'April 2026'!S$6)</f>
        <v>0</v>
      </c>
      <c r="T8" s="148">
        <f>COUNTIFS('2026 Time Off Request'!$A:$A,'April 2026'!$D8,'2026 Time Off Request'!$L:$L,'April 2026'!T$6)</f>
        <v>0</v>
      </c>
      <c r="U8" s="148">
        <f>COUNTIFS('2026 Time Off Request'!$A:$A,'April 2026'!$D8,'2026 Time Off Request'!$L:$L,'April 2026'!U$6)</f>
        <v>0</v>
      </c>
      <c r="V8" s="148">
        <f>COUNTIFS('2026 Time Off Request'!$A:$A,'April 2026'!$D8,'2026 Time Off Request'!$L:$L,'April 2026'!V$6)</f>
        <v>0</v>
      </c>
      <c r="W8" s="147">
        <f>COUNTIFS('2026 Time Off Request'!$A:$A,'April 2026'!$D8,'2026 Time Off Request'!$L:$L,'April 2026'!W$6)</f>
        <v>0</v>
      </c>
      <c r="X8" s="147">
        <f>COUNTIFS('2026 Time Off Request'!$A:$A,'April 2026'!$D8,'2026 Time Off Request'!$L:$L,'April 2026'!X$6)</f>
        <v>0</v>
      </c>
      <c r="Y8" s="148">
        <f>COUNTIFS('2026 Time Off Request'!$A:$A,'April 2026'!$D8,'2026 Time Off Request'!$L:$L,'April 2026'!Y$6)</f>
        <v>0</v>
      </c>
      <c r="Z8" s="148">
        <f>COUNTIFS('2026 Time Off Request'!$A:$A,'April 2026'!$D8,'2026 Time Off Request'!$L:$L,'April 2026'!Z$6)</f>
        <v>0</v>
      </c>
      <c r="AA8" s="148">
        <f>COUNTIFS('2026 Time Off Request'!$A:$A,'April 2026'!$D8,'2026 Time Off Request'!$L:$L,'April 2026'!AA$6)</f>
        <v>0</v>
      </c>
      <c r="AB8" s="148">
        <f>COUNTIFS('2026 Time Off Request'!$A:$A,'April 2026'!$D8,'2026 Time Off Request'!$L:$L,'April 2026'!AB$6)</f>
        <v>0</v>
      </c>
      <c r="AC8" s="148">
        <f>COUNTIFS('2026 Time Off Request'!$A:$A,'April 2026'!$D8,'2026 Time Off Request'!$L:$L,'April 2026'!AC$6)</f>
        <v>0</v>
      </c>
      <c r="AD8" s="147">
        <f>COUNTIFS('2026 Time Off Request'!$A:$A,'April 2026'!$D8,'2026 Time Off Request'!$L:$L,'April 2026'!AD$6)</f>
        <v>0</v>
      </c>
      <c r="AE8" s="147">
        <f>COUNTIFS('2026 Time Off Request'!$A:$A,'April 2026'!$D8,'2026 Time Off Request'!$L:$L,'April 2026'!AE$6)</f>
        <v>0</v>
      </c>
      <c r="AF8" s="148">
        <f>COUNTIFS('2026 Time Off Request'!$A:$A,'April 2026'!$D8,'2026 Time Off Request'!$L:$L,'April 2026'!AF$6)</f>
        <v>0</v>
      </c>
      <c r="AG8" s="148">
        <f>COUNTIFS('2026 Time Off Request'!$A:$A,'April 2026'!$D8,'2026 Time Off Request'!$L:$L,'April 2026'!AG$6)</f>
        <v>0</v>
      </c>
      <c r="AH8" s="148">
        <f>COUNTIFS('2026 Time Off Request'!$A:$A,'April 2026'!$D8,'2026 Time Off Request'!$L:$L,'April 2026'!AH$6)</f>
        <v>0</v>
      </c>
      <c r="AI8" s="148">
        <f>COUNTIFS('2026 Time Off Request'!$A:$A,'April 2026'!$D8,'2026 Time Off Request'!$L:$L,'April 2026'!AI$6)</f>
        <v>0</v>
      </c>
    </row>
    <row r="9" spans="1:40" ht="15.75">
      <c r="A9" s="2">
        <v>2</v>
      </c>
      <c r="B9" s="209" t="s">
        <v>25</v>
      </c>
      <c r="C9" s="210" t="s">
        <v>28</v>
      </c>
      <c r="D9" s="215" t="s">
        <v>29</v>
      </c>
      <c r="E9" s="212">
        <f t="shared" si="2"/>
        <v>5</v>
      </c>
      <c r="F9" s="223">
        <f>COUNTIFS('2026 Time Off Request'!$A:$A,'April 2026'!$D9,'2026 Time Off Request'!$L:$L,'April 2026'!F$6)</f>
        <v>0</v>
      </c>
      <c r="G9" s="148">
        <f>COUNTIFS('2026 Time Off Request'!$A:$A,'April 2026'!$D9,'2026 Time Off Request'!$L:$L,'April 2026'!G$6)</f>
        <v>0</v>
      </c>
      <c r="H9" s="148">
        <f>COUNTIFS('2026 Time Off Request'!$A:$A,'April 2026'!$D9,'2026 Time Off Request'!$L:$L,'April 2026'!H$6)</f>
        <v>0</v>
      </c>
      <c r="I9" s="147">
        <f>COUNTIFS('2026 Time Off Request'!$A:$A,'April 2026'!$D9,'2026 Time Off Request'!$L:$L,'April 2026'!I$6)</f>
        <v>0</v>
      </c>
      <c r="J9" s="147">
        <f>COUNTIFS('2026 Time Off Request'!$A:$A,'April 2026'!$D9,'2026 Time Off Request'!$L:$L,'April 2026'!J$6)</f>
        <v>0</v>
      </c>
      <c r="K9" s="148">
        <f>COUNTIFS('2026 Time Off Request'!$A:$A,'April 2026'!$D9,'2026 Time Off Request'!$L:$L,'April 2026'!K$6)</f>
        <v>0</v>
      </c>
      <c r="L9" s="148">
        <f>COUNTIFS('2026 Time Off Request'!$A:$A,'April 2026'!$D9,'2026 Time Off Request'!$L:$L,'April 2026'!L$6)</f>
        <v>0</v>
      </c>
      <c r="M9" s="148">
        <f>COUNTIFS('2026 Time Off Request'!$A:$A,'April 2026'!$D9,'2026 Time Off Request'!$L:$L,'April 2026'!M$6)</f>
        <v>0</v>
      </c>
      <c r="N9" s="148">
        <f>COUNTIFS('2026 Time Off Request'!$A:$A,'April 2026'!$D9,'2026 Time Off Request'!$L:$L,'April 2026'!N$6)</f>
        <v>0</v>
      </c>
      <c r="O9" s="148">
        <f>COUNTIFS('2026 Time Off Request'!$A:$A,'April 2026'!$D9,'2026 Time Off Request'!$L:$L,'April 2026'!O$6)</f>
        <v>0</v>
      </c>
      <c r="P9" s="147">
        <f>COUNTIFS('2026 Time Off Request'!$A:$A,'April 2026'!$D9,'2026 Time Off Request'!$L:$L,'April 2026'!P$6)</f>
        <v>0</v>
      </c>
      <c r="Q9" s="147">
        <f>COUNTIFS('2026 Time Off Request'!$A:$A,'April 2026'!$D9,'2026 Time Off Request'!$L:$L,'April 2026'!Q$6)</f>
        <v>0</v>
      </c>
      <c r="R9" s="148">
        <f>COUNTIFS('2026 Time Off Request'!$A:$A,'April 2026'!$D9,'2026 Time Off Request'!$L:$L,'April 2026'!R$6)</f>
        <v>0</v>
      </c>
      <c r="S9" s="148">
        <f>COUNTIFS('2026 Time Off Request'!$A:$A,'April 2026'!$D9,'2026 Time Off Request'!$L:$L,'April 2026'!S$6)</f>
        <v>0</v>
      </c>
      <c r="T9" s="148">
        <f>COUNTIFS('2026 Time Off Request'!$A:$A,'April 2026'!$D9,'2026 Time Off Request'!$L:$L,'April 2026'!T$6)</f>
        <v>0</v>
      </c>
      <c r="U9" s="148">
        <f>COUNTIFS('2026 Time Off Request'!$A:$A,'April 2026'!$D9,'2026 Time Off Request'!$L:$L,'April 2026'!U$6)</f>
        <v>0</v>
      </c>
      <c r="V9" s="148">
        <f>COUNTIFS('2026 Time Off Request'!$A:$A,'April 2026'!$D9,'2026 Time Off Request'!$L:$L,'April 2026'!V$6)</f>
        <v>0</v>
      </c>
      <c r="W9" s="147">
        <f>COUNTIFS('2026 Time Off Request'!$A:$A,'April 2026'!$D9,'2026 Time Off Request'!$L:$L,'April 2026'!W$6)</f>
        <v>0</v>
      </c>
      <c r="X9" s="147">
        <f>COUNTIFS('2026 Time Off Request'!$A:$A,'April 2026'!$D9,'2026 Time Off Request'!$L:$L,'April 2026'!X$6)</f>
        <v>0</v>
      </c>
      <c r="Y9" s="148">
        <f>COUNTIFS('2026 Time Off Request'!$A:$A,'April 2026'!$D9,'2026 Time Off Request'!$L:$L,'April 2026'!Y$6)</f>
        <v>1</v>
      </c>
      <c r="Z9" s="148">
        <f>COUNTIFS('2026 Time Off Request'!$A:$A,'April 2026'!$D9,'2026 Time Off Request'!$L:$L,'April 2026'!Z$6)</f>
        <v>1</v>
      </c>
      <c r="AA9" s="148">
        <f>COUNTIFS('2026 Time Off Request'!$A:$A,'April 2026'!$D9,'2026 Time Off Request'!$L:$L,'April 2026'!AA$6)</f>
        <v>1</v>
      </c>
      <c r="AB9" s="148">
        <f>COUNTIFS('2026 Time Off Request'!$A:$A,'April 2026'!$D9,'2026 Time Off Request'!$L:$L,'April 2026'!AB$6)</f>
        <v>1</v>
      </c>
      <c r="AC9" s="148">
        <f>COUNTIFS('2026 Time Off Request'!$A:$A,'April 2026'!$D9,'2026 Time Off Request'!$L:$L,'April 2026'!AC$6)</f>
        <v>1</v>
      </c>
      <c r="AD9" s="147">
        <f>COUNTIFS('2026 Time Off Request'!$A:$A,'April 2026'!$D9,'2026 Time Off Request'!$L:$L,'April 2026'!AD$6)</f>
        <v>0</v>
      </c>
      <c r="AE9" s="147">
        <f>COUNTIFS('2026 Time Off Request'!$A:$A,'April 2026'!$D9,'2026 Time Off Request'!$L:$L,'April 2026'!AE$6)</f>
        <v>0</v>
      </c>
      <c r="AF9" s="148">
        <f>COUNTIFS('2026 Time Off Request'!$A:$A,'April 2026'!$D9,'2026 Time Off Request'!$L:$L,'April 2026'!AF$6)</f>
        <v>0</v>
      </c>
      <c r="AG9" s="148">
        <f>COUNTIFS('2026 Time Off Request'!$A:$A,'April 2026'!$D9,'2026 Time Off Request'!$L:$L,'April 2026'!AG$6)</f>
        <v>0</v>
      </c>
      <c r="AH9" s="148">
        <f>COUNTIFS('2026 Time Off Request'!$A:$A,'April 2026'!$D9,'2026 Time Off Request'!$L:$L,'April 2026'!AH$6)</f>
        <v>0</v>
      </c>
      <c r="AI9" s="148">
        <f>COUNTIFS('2026 Time Off Request'!$A:$A,'April 2026'!$D9,'2026 Time Off Request'!$L:$L,'April 2026'!AI$6)</f>
        <v>0</v>
      </c>
    </row>
    <row r="10" spans="1:40" ht="15.75">
      <c r="A10" s="2">
        <v>3</v>
      </c>
      <c r="B10" s="209" t="s">
        <v>25</v>
      </c>
      <c r="C10" s="210" t="s">
        <v>30</v>
      </c>
      <c r="D10" s="215" t="s">
        <v>31</v>
      </c>
      <c r="E10" s="212">
        <f t="shared" si="2"/>
        <v>0</v>
      </c>
      <c r="F10" s="223">
        <f>COUNTIFS('2026 Time Off Request'!$A:$A,'April 2026'!$D10,'2026 Time Off Request'!$L:$L,'April 2026'!F$6)</f>
        <v>0</v>
      </c>
      <c r="G10" s="148">
        <f>COUNTIFS('2026 Time Off Request'!$A:$A,'April 2026'!$D10,'2026 Time Off Request'!$L:$L,'April 2026'!G$6)</f>
        <v>0</v>
      </c>
      <c r="H10" s="148">
        <f>COUNTIFS('2026 Time Off Request'!$A:$A,'April 2026'!$D10,'2026 Time Off Request'!$L:$L,'April 2026'!H$6)</f>
        <v>0</v>
      </c>
      <c r="I10" s="147">
        <f>COUNTIFS('2026 Time Off Request'!$A:$A,'April 2026'!$D10,'2026 Time Off Request'!$L:$L,'April 2026'!I$6)</f>
        <v>0</v>
      </c>
      <c r="J10" s="147">
        <f>COUNTIFS('2026 Time Off Request'!$A:$A,'April 2026'!$D10,'2026 Time Off Request'!$L:$L,'April 2026'!J$6)</f>
        <v>0</v>
      </c>
      <c r="K10" s="148">
        <f>COUNTIFS('2026 Time Off Request'!$A:$A,'April 2026'!$D10,'2026 Time Off Request'!$L:$L,'April 2026'!K$6)</f>
        <v>0</v>
      </c>
      <c r="L10" s="148">
        <f>COUNTIFS('2026 Time Off Request'!$A:$A,'April 2026'!$D10,'2026 Time Off Request'!$L:$L,'April 2026'!L$6)</f>
        <v>0</v>
      </c>
      <c r="M10" s="148">
        <f>COUNTIFS('2026 Time Off Request'!$A:$A,'April 2026'!$D10,'2026 Time Off Request'!$L:$L,'April 2026'!M$6)</f>
        <v>0</v>
      </c>
      <c r="N10" s="148">
        <f>COUNTIFS('2026 Time Off Request'!$A:$A,'April 2026'!$D10,'2026 Time Off Request'!$L:$L,'April 2026'!N$6)</f>
        <v>0</v>
      </c>
      <c r="O10" s="148">
        <f>COUNTIFS('2026 Time Off Request'!$A:$A,'April 2026'!$D10,'2026 Time Off Request'!$L:$L,'April 2026'!O$6)</f>
        <v>0</v>
      </c>
      <c r="P10" s="147">
        <f>COUNTIFS('2026 Time Off Request'!$A:$A,'April 2026'!$D10,'2026 Time Off Request'!$L:$L,'April 2026'!P$6)</f>
        <v>0</v>
      </c>
      <c r="Q10" s="147">
        <f>COUNTIFS('2026 Time Off Request'!$A:$A,'April 2026'!$D10,'2026 Time Off Request'!$L:$L,'April 2026'!Q$6)</f>
        <v>0</v>
      </c>
      <c r="R10" s="148">
        <f>COUNTIFS('2026 Time Off Request'!$A:$A,'April 2026'!$D10,'2026 Time Off Request'!$L:$L,'April 2026'!R$6)</f>
        <v>0</v>
      </c>
      <c r="S10" s="148">
        <f>COUNTIFS('2026 Time Off Request'!$A:$A,'April 2026'!$D10,'2026 Time Off Request'!$L:$L,'April 2026'!S$6)</f>
        <v>0</v>
      </c>
      <c r="T10" s="148">
        <f>COUNTIFS('2026 Time Off Request'!$A:$A,'April 2026'!$D10,'2026 Time Off Request'!$L:$L,'April 2026'!T$6)</f>
        <v>0</v>
      </c>
      <c r="U10" s="148">
        <f>COUNTIFS('2026 Time Off Request'!$A:$A,'April 2026'!$D10,'2026 Time Off Request'!$L:$L,'April 2026'!U$6)</f>
        <v>0</v>
      </c>
      <c r="V10" s="148">
        <f>COUNTIFS('2026 Time Off Request'!$A:$A,'April 2026'!$D10,'2026 Time Off Request'!$L:$L,'April 2026'!V$6)</f>
        <v>0</v>
      </c>
      <c r="W10" s="147">
        <f>COUNTIFS('2026 Time Off Request'!$A:$A,'April 2026'!$D10,'2026 Time Off Request'!$L:$L,'April 2026'!W$6)</f>
        <v>0</v>
      </c>
      <c r="X10" s="147">
        <f>COUNTIFS('2026 Time Off Request'!$A:$A,'April 2026'!$D10,'2026 Time Off Request'!$L:$L,'April 2026'!X$6)</f>
        <v>0</v>
      </c>
      <c r="Y10" s="148">
        <f>COUNTIFS('2026 Time Off Request'!$A:$A,'April 2026'!$D10,'2026 Time Off Request'!$L:$L,'April 2026'!Y$6)</f>
        <v>0</v>
      </c>
      <c r="Z10" s="148">
        <f>COUNTIFS('2026 Time Off Request'!$A:$A,'April 2026'!$D10,'2026 Time Off Request'!$L:$L,'April 2026'!Z$6)</f>
        <v>0</v>
      </c>
      <c r="AA10" s="148">
        <f>COUNTIFS('2026 Time Off Request'!$A:$A,'April 2026'!$D10,'2026 Time Off Request'!$L:$L,'April 2026'!AA$6)</f>
        <v>0</v>
      </c>
      <c r="AB10" s="148">
        <f>COUNTIFS('2026 Time Off Request'!$A:$A,'April 2026'!$D10,'2026 Time Off Request'!$L:$L,'April 2026'!AB$6)</f>
        <v>0</v>
      </c>
      <c r="AC10" s="148">
        <f>COUNTIFS('2026 Time Off Request'!$A:$A,'April 2026'!$D10,'2026 Time Off Request'!$L:$L,'April 2026'!AC$6)</f>
        <v>0</v>
      </c>
      <c r="AD10" s="147">
        <f>COUNTIFS('2026 Time Off Request'!$A:$A,'April 2026'!$D10,'2026 Time Off Request'!$L:$L,'April 2026'!AD$6)</f>
        <v>0</v>
      </c>
      <c r="AE10" s="147">
        <f>COUNTIFS('2026 Time Off Request'!$A:$A,'April 2026'!$D10,'2026 Time Off Request'!$L:$L,'April 2026'!AE$6)</f>
        <v>0</v>
      </c>
      <c r="AF10" s="148">
        <f>COUNTIFS('2026 Time Off Request'!$A:$A,'April 2026'!$D10,'2026 Time Off Request'!$L:$L,'April 2026'!AF$6)</f>
        <v>0</v>
      </c>
      <c r="AG10" s="148">
        <f>COUNTIFS('2026 Time Off Request'!$A:$A,'April 2026'!$D10,'2026 Time Off Request'!$L:$L,'April 2026'!AG$6)</f>
        <v>0</v>
      </c>
      <c r="AH10" s="148">
        <f>COUNTIFS('2026 Time Off Request'!$A:$A,'April 2026'!$D10,'2026 Time Off Request'!$L:$L,'April 2026'!AH$6)</f>
        <v>0</v>
      </c>
      <c r="AI10" s="148">
        <f>COUNTIFS('2026 Time Off Request'!$A:$A,'April 2026'!$D10,'2026 Time Off Request'!$L:$L,'April 2026'!AI$6)</f>
        <v>0</v>
      </c>
    </row>
    <row r="11" spans="1:40" ht="15.75">
      <c r="A11" s="2">
        <v>4</v>
      </c>
      <c r="B11" s="209" t="s">
        <v>25</v>
      </c>
      <c r="C11" s="210" t="s">
        <v>32</v>
      </c>
      <c r="D11" s="215" t="s">
        <v>33</v>
      </c>
      <c r="E11" s="212">
        <f t="shared" si="2"/>
        <v>0</v>
      </c>
      <c r="F11" s="223">
        <f>COUNTIFS('2026 Time Off Request'!$A:$A,'April 2026'!$D11,'2026 Time Off Request'!$L:$L,'April 2026'!F$6)</f>
        <v>0</v>
      </c>
      <c r="G11" s="148">
        <f>COUNTIFS('2026 Time Off Request'!$A:$A,'April 2026'!$D11,'2026 Time Off Request'!$L:$L,'April 2026'!G$6)</f>
        <v>0</v>
      </c>
      <c r="H11" s="148">
        <f>COUNTIFS('2026 Time Off Request'!$A:$A,'April 2026'!$D11,'2026 Time Off Request'!$L:$L,'April 2026'!H$6)</f>
        <v>0</v>
      </c>
      <c r="I11" s="147">
        <f>COUNTIFS('2026 Time Off Request'!$A:$A,'April 2026'!$D11,'2026 Time Off Request'!$L:$L,'April 2026'!I$6)</f>
        <v>0</v>
      </c>
      <c r="J11" s="147">
        <f>COUNTIFS('2026 Time Off Request'!$A:$A,'April 2026'!$D11,'2026 Time Off Request'!$L:$L,'April 2026'!J$6)</f>
        <v>0</v>
      </c>
      <c r="K11" s="148">
        <f>COUNTIFS('2026 Time Off Request'!$A:$A,'April 2026'!$D11,'2026 Time Off Request'!$L:$L,'April 2026'!K$6)</f>
        <v>0</v>
      </c>
      <c r="L11" s="148">
        <f>COUNTIFS('2026 Time Off Request'!$A:$A,'April 2026'!$D11,'2026 Time Off Request'!$L:$L,'April 2026'!L$6)</f>
        <v>0</v>
      </c>
      <c r="M11" s="148">
        <f>COUNTIFS('2026 Time Off Request'!$A:$A,'April 2026'!$D11,'2026 Time Off Request'!$L:$L,'April 2026'!M$6)</f>
        <v>0</v>
      </c>
      <c r="N11" s="148">
        <f>COUNTIFS('2026 Time Off Request'!$A:$A,'April 2026'!$D11,'2026 Time Off Request'!$L:$L,'April 2026'!N$6)</f>
        <v>0</v>
      </c>
      <c r="O11" s="148">
        <f>COUNTIFS('2026 Time Off Request'!$A:$A,'April 2026'!$D11,'2026 Time Off Request'!$L:$L,'April 2026'!O$6)</f>
        <v>0</v>
      </c>
      <c r="P11" s="147">
        <f>COUNTIFS('2026 Time Off Request'!$A:$A,'April 2026'!$D11,'2026 Time Off Request'!$L:$L,'April 2026'!P$6)</f>
        <v>0</v>
      </c>
      <c r="Q11" s="147">
        <f>COUNTIFS('2026 Time Off Request'!$A:$A,'April 2026'!$D11,'2026 Time Off Request'!$L:$L,'April 2026'!Q$6)</f>
        <v>0</v>
      </c>
      <c r="R11" s="148">
        <f>COUNTIFS('2026 Time Off Request'!$A:$A,'April 2026'!$D11,'2026 Time Off Request'!$L:$L,'April 2026'!R$6)</f>
        <v>0</v>
      </c>
      <c r="S11" s="148">
        <f>COUNTIFS('2026 Time Off Request'!$A:$A,'April 2026'!$D11,'2026 Time Off Request'!$L:$L,'April 2026'!S$6)</f>
        <v>0</v>
      </c>
      <c r="T11" s="148">
        <f>COUNTIFS('2026 Time Off Request'!$A:$A,'April 2026'!$D11,'2026 Time Off Request'!$L:$L,'April 2026'!T$6)</f>
        <v>0</v>
      </c>
      <c r="U11" s="148">
        <f>COUNTIFS('2026 Time Off Request'!$A:$A,'April 2026'!$D11,'2026 Time Off Request'!$L:$L,'April 2026'!U$6)</f>
        <v>0</v>
      </c>
      <c r="V11" s="148">
        <f>COUNTIFS('2026 Time Off Request'!$A:$A,'April 2026'!$D11,'2026 Time Off Request'!$L:$L,'April 2026'!V$6)</f>
        <v>0</v>
      </c>
      <c r="W11" s="147">
        <f>COUNTIFS('2026 Time Off Request'!$A:$A,'April 2026'!$D11,'2026 Time Off Request'!$L:$L,'April 2026'!W$6)</f>
        <v>0</v>
      </c>
      <c r="X11" s="147">
        <f>COUNTIFS('2026 Time Off Request'!$A:$A,'April 2026'!$D11,'2026 Time Off Request'!$L:$L,'April 2026'!X$6)</f>
        <v>0</v>
      </c>
      <c r="Y11" s="148">
        <f>COUNTIFS('2026 Time Off Request'!$A:$A,'April 2026'!$D11,'2026 Time Off Request'!$L:$L,'April 2026'!Y$6)</f>
        <v>0</v>
      </c>
      <c r="Z11" s="148">
        <f>COUNTIFS('2026 Time Off Request'!$A:$A,'April 2026'!$D11,'2026 Time Off Request'!$L:$L,'April 2026'!Z$6)</f>
        <v>0</v>
      </c>
      <c r="AA11" s="148">
        <f>COUNTIFS('2026 Time Off Request'!$A:$A,'April 2026'!$D11,'2026 Time Off Request'!$L:$L,'April 2026'!AA$6)</f>
        <v>0</v>
      </c>
      <c r="AB11" s="148">
        <f>COUNTIFS('2026 Time Off Request'!$A:$A,'April 2026'!$D11,'2026 Time Off Request'!$L:$L,'April 2026'!AB$6)</f>
        <v>0</v>
      </c>
      <c r="AC11" s="148">
        <f>COUNTIFS('2026 Time Off Request'!$A:$A,'April 2026'!$D11,'2026 Time Off Request'!$L:$L,'April 2026'!AC$6)</f>
        <v>0</v>
      </c>
      <c r="AD11" s="147">
        <f>COUNTIFS('2026 Time Off Request'!$A:$A,'April 2026'!$D11,'2026 Time Off Request'!$L:$L,'April 2026'!AD$6)</f>
        <v>0</v>
      </c>
      <c r="AE11" s="147">
        <f>COUNTIFS('2026 Time Off Request'!$A:$A,'April 2026'!$D11,'2026 Time Off Request'!$L:$L,'April 2026'!AE$6)</f>
        <v>0</v>
      </c>
      <c r="AF11" s="148">
        <f>COUNTIFS('2026 Time Off Request'!$A:$A,'April 2026'!$D11,'2026 Time Off Request'!$L:$L,'April 2026'!AF$6)</f>
        <v>0</v>
      </c>
      <c r="AG11" s="148">
        <f>COUNTIFS('2026 Time Off Request'!$A:$A,'April 2026'!$D11,'2026 Time Off Request'!$L:$L,'April 2026'!AG$6)</f>
        <v>0</v>
      </c>
      <c r="AH11" s="148">
        <f>COUNTIFS('2026 Time Off Request'!$A:$A,'April 2026'!$D11,'2026 Time Off Request'!$L:$L,'April 2026'!AH$6)</f>
        <v>0</v>
      </c>
      <c r="AI11" s="148">
        <f>COUNTIFS('2026 Time Off Request'!$A:$A,'April 2026'!$D11,'2026 Time Off Request'!$L:$L,'April 2026'!AI$6)</f>
        <v>0</v>
      </c>
    </row>
    <row r="12" spans="1:40" ht="15.75">
      <c r="A12" s="2">
        <v>5</v>
      </c>
      <c r="B12" s="209" t="s">
        <v>25</v>
      </c>
      <c r="C12" s="210" t="s">
        <v>34</v>
      </c>
      <c r="D12" s="215" t="s">
        <v>35</v>
      </c>
      <c r="E12" s="212">
        <f t="shared" si="2"/>
        <v>0</v>
      </c>
      <c r="F12" s="223">
        <f>COUNTIFS('2026 Time Off Request'!$A:$A,'April 2026'!$D12,'2026 Time Off Request'!$L:$L,'April 2026'!F$6)</f>
        <v>0</v>
      </c>
      <c r="G12" s="148">
        <f>COUNTIFS('2026 Time Off Request'!$A:$A,'April 2026'!$D12,'2026 Time Off Request'!$L:$L,'April 2026'!G$6)</f>
        <v>0</v>
      </c>
      <c r="H12" s="148">
        <f>COUNTIFS('2026 Time Off Request'!$A:$A,'April 2026'!$D12,'2026 Time Off Request'!$L:$L,'April 2026'!H$6)</f>
        <v>0</v>
      </c>
      <c r="I12" s="147">
        <f>COUNTIFS('2026 Time Off Request'!$A:$A,'April 2026'!$D12,'2026 Time Off Request'!$L:$L,'April 2026'!I$6)</f>
        <v>0</v>
      </c>
      <c r="J12" s="147">
        <f>COUNTIFS('2026 Time Off Request'!$A:$A,'April 2026'!$D12,'2026 Time Off Request'!$L:$L,'April 2026'!J$6)</f>
        <v>0</v>
      </c>
      <c r="K12" s="148">
        <f>COUNTIFS('2026 Time Off Request'!$A:$A,'April 2026'!$D12,'2026 Time Off Request'!$L:$L,'April 2026'!K$6)</f>
        <v>0</v>
      </c>
      <c r="L12" s="148">
        <f>COUNTIFS('2026 Time Off Request'!$A:$A,'April 2026'!$D12,'2026 Time Off Request'!$L:$L,'April 2026'!L$6)</f>
        <v>0</v>
      </c>
      <c r="M12" s="148">
        <f>COUNTIFS('2026 Time Off Request'!$A:$A,'April 2026'!$D12,'2026 Time Off Request'!$L:$L,'April 2026'!M$6)</f>
        <v>0</v>
      </c>
      <c r="N12" s="148">
        <f>COUNTIFS('2026 Time Off Request'!$A:$A,'April 2026'!$D12,'2026 Time Off Request'!$L:$L,'April 2026'!N$6)</f>
        <v>0</v>
      </c>
      <c r="O12" s="148">
        <f>COUNTIFS('2026 Time Off Request'!$A:$A,'April 2026'!$D12,'2026 Time Off Request'!$L:$L,'April 2026'!O$6)</f>
        <v>0</v>
      </c>
      <c r="P12" s="147">
        <f>COUNTIFS('2026 Time Off Request'!$A:$A,'April 2026'!$D12,'2026 Time Off Request'!$L:$L,'April 2026'!P$6)</f>
        <v>0</v>
      </c>
      <c r="Q12" s="147">
        <f>COUNTIFS('2026 Time Off Request'!$A:$A,'April 2026'!$D12,'2026 Time Off Request'!$L:$L,'April 2026'!Q$6)</f>
        <v>0</v>
      </c>
      <c r="R12" s="148">
        <f>COUNTIFS('2026 Time Off Request'!$A:$A,'April 2026'!$D12,'2026 Time Off Request'!$L:$L,'April 2026'!R$6)</f>
        <v>0</v>
      </c>
      <c r="S12" s="148">
        <f>COUNTIFS('2026 Time Off Request'!$A:$A,'April 2026'!$D12,'2026 Time Off Request'!$L:$L,'April 2026'!S$6)</f>
        <v>0</v>
      </c>
      <c r="T12" s="148">
        <f>COUNTIFS('2026 Time Off Request'!$A:$A,'April 2026'!$D12,'2026 Time Off Request'!$L:$L,'April 2026'!T$6)</f>
        <v>0</v>
      </c>
      <c r="U12" s="148">
        <f>COUNTIFS('2026 Time Off Request'!$A:$A,'April 2026'!$D12,'2026 Time Off Request'!$L:$L,'April 2026'!U$6)</f>
        <v>0</v>
      </c>
      <c r="V12" s="148">
        <f>COUNTIFS('2026 Time Off Request'!$A:$A,'April 2026'!$D12,'2026 Time Off Request'!$L:$L,'April 2026'!V$6)</f>
        <v>0</v>
      </c>
      <c r="W12" s="147">
        <f>COUNTIFS('2026 Time Off Request'!$A:$A,'April 2026'!$D12,'2026 Time Off Request'!$L:$L,'April 2026'!W$6)</f>
        <v>0</v>
      </c>
      <c r="X12" s="147">
        <f>COUNTIFS('2026 Time Off Request'!$A:$A,'April 2026'!$D12,'2026 Time Off Request'!$L:$L,'April 2026'!X$6)</f>
        <v>0</v>
      </c>
      <c r="Y12" s="148">
        <f>COUNTIFS('2026 Time Off Request'!$A:$A,'April 2026'!$D12,'2026 Time Off Request'!$L:$L,'April 2026'!Y$6)</f>
        <v>0</v>
      </c>
      <c r="Z12" s="148">
        <f>COUNTIFS('2026 Time Off Request'!$A:$A,'April 2026'!$D12,'2026 Time Off Request'!$L:$L,'April 2026'!Z$6)</f>
        <v>0</v>
      </c>
      <c r="AA12" s="148">
        <f>COUNTIFS('2026 Time Off Request'!$A:$A,'April 2026'!$D12,'2026 Time Off Request'!$L:$L,'April 2026'!AA$6)</f>
        <v>0</v>
      </c>
      <c r="AB12" s="148">
        <f>COUNTIFS('2026 Time Off Request'!$A:$A,'April 2026'!$D12,'2026 Time Off Request'!$L:$L,'April 2026'!AB$6)</f>
        <v>0</v>
      </c>
      <c r="AC12" s="148">
        <f>COUNTIFS('2026 Time Off Request'!$A:$A,'April 2026'!$D12,'2026 Time Off Request'!$L:$L,'April 2026'!AC$6)</f>
        <v>0</v>
      </c>
      <c r="AD12" s="147">
        <f>COUNTIFS('2026 Time Off Request'!$A:$A,'April 2026'!$D12,'2026 Time Off Request'!$L:$L,'April 2026'!AD$6)</f>
        <v>0</v>
      </c>
      <c r="AE12" s="147">
        <f>COUNTIFS('2026 Time Off Request'!$A:$A,'April 2026'!$D12,'2026 Time Off Request'!$L:$L,'April 2026'!AE$6)</f>
        <v>0</v>
      </c>
      <c r="AF12" s="148">
        <f>COUNTIFS('2026 Time Off Request'!$A:$A,'April 2026'!$D12,'2026 Time Off Request'!$L:$L,'April 2026'!AF$6)</f>
        <v>0</v>
      </c>
      <c r="AG12" s="148">
        <f>COUNTIFS('2026 Time Off Request'!$A:$A,'April 2026'!$D12,'2026 Time Off Request'!$L:$L,'April 2026'!AG$6)</f>
        <v>0</v>
      </c>
      <c r="AH12" s="148">
        <f>COUNTIFS('2026 Time Off Request'!$A:$A,'April 2026'!$D12,'2026 Time Off Request'!$L:$L,'April 2026'!AH$6)</f>
        <v>0</v>
      </c>
      <c r="AI12" s="148">
        <f>COUNTIFS('2026 Time Off Request'!$A:$A,'April 2026'!$D12,'2026 Time Off Request'!$L:$L,'April 2026'!AI$6)</f>
        <v>0</v>
      </c>
    </row>
    <row r="13" spans="1:40" ht="15.75">
      <c r="A13" s="2">
        <v>7</v>
      </c>
      <c r="B13" s="209" t="s">
        <v>36</v>
      </c>
      <c r="C13" s="210" t="s">
        <v>37</v>
      </c>
      <c r="D13" s="215" t="s">
        <v>38</v>
      </c>
      <c r="E13" s="212">
        <f t="shared" si="2"/>
        <v>0</v>
      </c>
      <c r="F13" s="223">
        <f>COUNTIFS('2026 Time Off Request'!$A:$A,'April 2026'!$D13,'2026 Time Off Request'!$L:$L,'April 2026'!F$6)</f>
        <v>0</v>
      </c>
      <c r="G13" s="148">
        <f>COUNTIFS('2026 Time Off Request'!$A:$A,'April 2026'!$D13,'2026 Time Off Request'!$L:$L,'April 2026'!G$6)</f>
        <v>0</v>
      </c>
      <c r="H13" s="148">
        <f>COUNTIFS('2026 Time Off Request'!$A:$A,'April 2026'!$D13,'2026 Time Off Request'!$L:$L,'April 2026'!H$6)</f>
        <v>0</v>
      </c>
      <c r="I13" s="147">
        <f>COUNTIFS('2026 Time Off Request'!$A:$A,'April 2026'!$D13,'2026 Time Off Request'!$L:$L,'April 2026'!I$6)</f>
        <v>0</v>
      </c>
      <c r="J13" s="147">
        <f>COUNTIFS('2026 Time Off Request'!$A:$A,'April 2026'!$D13,'2026 Time Off Request'!$L:$L,'April 2026'!J$6)</f>
        <v>0</v>
      </c>
      <c r="K13" s="148">
        <f>COUNTIFS('2026 Time Off Request'!$A:$A,'April 2026'!$D13,'2026 Time Off Request'!$L:$L,'April 2026'!K$6)</f>
        <v>0</v>
      </c>
      <c r="L13" s="148">
        <f>COUNTIFS('2026 Time Off Request'!$A:$A,'April 2026'!$D13,'2026 Time Off Request'!$L:$L,'April 2026'!L$6)</f>
        <v>0</v>
      </c>
      <c r="M13" s="148">
        <f>COUNTIFS('2026 Time Off Request'!$A:$A,'April 2026'!$D13,'2026 Time Off Request'!$L:$L,'April 2026'!M$6)</f>
        <v>0</v>
      </c>
      <c r="N13" s="148">
        <f>COUNTIFS('2026 Time Off Request'!$A:$A,'April 2026'!$D13,'2026 Time Off Request'!$L:$L,'April 2026'!N$6)</f>
        <v>0</v>
      </c>
      <c r="O13" s="148">
        <f>COUNTIFS('2026 Time Off Request'!$A:$A,'April 2026'!$D13,'2026 Time Off Request'!$L:$L,'April 2026'!O$6)</f>
        <v>0</v>
      </c>
      <c r="P13" s="147">
        <f>COUNTIFS('2026 Time Off Request'!$A:$A,'April 2026'!$D13,'2026 Time Off Request'!$L:$L,'April 2026'!P$6)</f>
        <v>0</v>
      </c>
      <c r="Q13" s="147">
        <f>COUNTIFS('2026 Time Off Request'!$A:$A,'April 2026'!$D13,'2026 Time Off Request'!$L:$L,'April 2026'!Q$6)</f>
        <v>0</v>
      </c>
      <c r="R13" s="148">
        <f>COUNTIFS('2026 Time Off Request'!$A:$A,'April 2026'!$D13,'2026 Time Off Request'!$L:$L,'April 2026'!R$6)</f>
        <v>0</v>
      </c>
      <c r="S13" s="148">
        <f>COUNTIFS('2026 Time Off Request'!$A:$A,'April 2026'!$D13,'2026 Time Off Request'!$L:$L,'April 2026'!S$6)</f>
        <v>0</v>
      </c>
      <c r="T13" s="148">
        <f>COUNTIFS('2026 Time Off Request'!$A:$A,'April 2026'!$D13,'2026 Time Off Request'!$L:$L,'April 2026'!T$6)</f>
        <v>0</v>
      </c>
      <c r="U13" s="148">
        <f>COUNTIFS('2026 Time Off Request'!$A:$A,'April 2026'!$D13,'2026 Time Off Request'!$L:$L,'April 2026'!U$6)</f>
        <v>0</v>
      </c>
      <c r="V13" s="148">
        <f>COUNTIFS('2026 Time Off Request'!$A:$A,'April 2026'!$D13,'2026 Time Off Request'!$L:$L,'April 2026'!V$6)</f>
        <v>0</v>
      </c>
      <c r="W13" s="147">
        <f>COUNTIFS('2026 Time Off Request'!$A:$A,'April 2026'!$D13,'2026 Time Off Request'!$L:$L,'April 2026'!W$6)</f>
        <v>0</v>
      </c>
      <c r="X13" s="147">
        <f>COUNTIFS('2026 Time Off Request'!$A:$A,'April 2026'!$D13,'2026 Time Off Request'!$L:$L,'April 2026'!X$6)</f>
        <v>0</v>
      </c>
      <c r="Y13" s="148">
        <f>COUNTIFS('2026 Time Off Request'!$A:$A,'April 2026'!$D13,'2026 Time Off Request'!$L:$L,'April 2026'!Y$6)</f>
        <v>0</v>
      </c>
      <c r="Z13" s="148">
        <f>COUNTIFS('2026 Time Off Request'!$A:$A,'April 2026'!$D13,'2026 Time Off Request'!$L:$L,'April 2026'!Z$6)</f>
        <v>0</v>
      </c>
      <c r="AA13" s="148">
        <f>COUNTIFS('2026 Time Off Request'!$A:$A,'April 2026'!$D13,'2026 Time Off Request'!$L:$L,'April 2026'!AA$6)</f>
        <v>0</v>
      </c>
      <c r="AB13" s="148">
        <f>COUNTIFS('2026 Time Off Request'!$A:$A,'April 2026'!$D13,'2026 Time Off Request'!$L:$L,'April 2026'!AB$6)</f>
        <v>0</v>
      </c>
      <c r="AC13" s="148">
        <f>COUNTIFS('2026 Time Off Request'!$A:$A,'April 2026'!$D13,'2026 Time Off Request'!$L:$L,'April 2026'!AC$6)</f>
        <v>0</v>
      </c>
      <c r="AD13" s="147">
        <f>COUNTIFS('2026 Time Off Request'!$A:$A,'April 2026'!$D13,'2026 Time Off Request'!$L:$L,'April 2026'!AD$6)</f>
        <v>0</v>
      </c>
      <c r="AE13" s="147">
        <f>COUNTIFS('2026 Time Off Request'!$A:$A,'April 2026'!$D13,'2026 Time Off Request'!$L:$L,'April 2026'!AE$6)</f>
        <v>0</v>
      </c>
      <c r="AF13" s="148">
        <f>COUNTIFS('2026 Time Off Request'!$A:$A,'April 2026'!$D13,'2026 Time Off Request'!$L:$L,'April 2026'!AF$6)</f>
        <v>0</v>
      </c>
      <c r="AG13" s="148">
        <f>COUNTIFS('2026 Time Off Request'!$A:$A,'April 2026'!$D13,'2026 Time Off Request'!$L:$L,'April 2026'!AG$6)</f>
        <v>0</v>
      </c>
      <c r="AH13" s="148">
        <f>COUNTIFS('2026 Time Off Request'!$A:$A,'April 2026'!$D13,'2026 Time Off Request'!$L:$L,'April 2026'!AH$6)</f>
        <v>0</v>
      </c>
      <c r="AI13" s="148">
        <f>COUNTIFS('2026 Time Off Request'!$A:$A,'April 2026'!$D13,'2026 Time Off Request'!$L:$L,'April 2026'!AI$6)</f>
        <v>0</v>
      </c>
    </row>
    <row r="14" spans="1:40" ht="15.75">
      <c r="A14" s="2">
        <v>8</v>
      </c>
      <c r="B14" s="209" t="s">
        <v>36</v>
      </c>
      <c r="C14" s="210" t="s">
        <v>37</v>
      </c>
      <c r="D14" s="215" t="s">
        <v>39</v>
      </c>
      <c r="E14" s="212">
        <f t="shared" si="2"/>
        <v>4</v>
      </c>
      <c r="F14" s="223">
        <f>COUNTIFS('2026 Time Off Request'!$A:$A,'April 2026'!$D14,'2026 Time Off Request'!$L:$L,'April 2026'!F$6)</f>
        <v>0</v>
      </c>
      <c r="G14" s="148">
        <f>COUNTIFS('2026 Time Off Request'!$A:$A,'April 2026'!$D14,'2026 Time Off Request'!$L:$L,'April 2026'!G$6)</f>
        <v>0</v>
      </c>
      <c r="H14" s="148">
        <f>COUNTIFS('2026 Time Off Request'!$A:$A,'April 2026'!$D14,'2026 Time Off Request'!$L:$L,'April 2026'!H$6)</f>
        <v>0</v>
      </c>
      <c r="I14" s="147">
        <f>COUNTIFS('2026 Time Off Request'!$A:$A,'April 2026'!$D14,'2026 Time Off Request'!$L:$L,'April 2026'!I$6)</f>
        <v>0</v>
      </c>
      <c r="J14" s="147">
        <f>COUNTIFS('2026 Time Off Request'!$A:$A,'April 2026'!$D14,'2026 Time Off Request'!$L:$L,'April 2026'!J$6)</f>
        <v>0</v>
      </c>
      <c r="K14" s="148">
        <f>COUNTIFS('2026 Time Off Request'!$A:$A,'April 2026'!$D14,'2026 Time Off Request'!$L:$L,'April 2026'!K$6)</f>
        <v>0</v>
      </c>
      <c r="L14" s="148">
        <f>COUNTIFS('2026 Time Off Request'!$A:$A,'April 2026'!$D14,'2026 Time Off Request'!$L:$L,'April 2026'!L$6)</f>
        <v>0</v>
      </c>
      <c r="M14" s="148">
        <f>COUNTIFS('2026 Time Off Request'!$A:$A,'April 2026'!$D14,'2026 Time Off Request'!$L:$L,'April 2026'!M$6)</f>
        <v>0</v>
      </c>
      <c r="N14" s="148">
        <f>COUNTIFS('2026 Time Off Request'!$A:$A,'April 2026'!$D14,'2026 Time Off Request'!$L:$L,'April 2026'!N$6)</f>
        <v>0</v>
      </c>
      <c r="O14" s="148">
        <f>COUNTIFS('2026 Time Off Request'!$A:$A,'April 2026'!$D14,'2026 Time Off Request'!$L:$L,'April 2026'!O$6)</f>
        <v>0</v>
      </c>
      <c r="P14" s="147">
        <f>COUNTIFS('2026 Time Off Request'!$A:$A,'April 2026'!$D14,'2026 Time Off Request'!$L:$L,'April 2026'!P$6)</f>
        <v>0</v>
      </c>
      <c r="Q14" s="147">
        <f>COUNTIFS('2026 Time Off Request'!$A:$A,'April 2026'!$D14,'2026 Time Off Request'!$L:$L,'April 2026'!Q$6)</f>
        <v>0</v>
      </c>
      <c r="R14" s="148">
        <f>COUNTIFS('2026 Time Off Request'!$A:$A,'April 2026'!$D14,'2026 Time Off Request'!$L:$L,'April 2026'!R$6)</f>
        <v>0</v>
      </c>
      <c r="S14" s="148">
        <f>COUNTIFS('2026 Time Off Request'!$A:$A,'April 2026'!$D14,'2026 Time Off Request'!$L:$L,'April 2026'!S$6)</f>
        <v>0</v>
      </c>
      <c r="T14" s="148">
        <f>COUNTIFS('2026 Time Off Request'!$A:$A,'April 2026'!$D14,'2026 Time Off Request'!$L:$L,'April 2026'!T$6)</f>
        <v>0</v>
      </c>
      <c r="U14" s="148">
        <f>COUNTIFS('2026 Time Off Request'!$A:$A,'April 2026'!$D14,'2026 Time Off Request'!$L:$L,'April 2026'!U$6)</f>
        <v>0</v>
      </c>
      <c r="V14" s="148">
        <f>COUNTIFS('2026 Time Off Request'!$A:$A,'April 2026'!$D14,'2026 Time Off Request'!$L:$L,'April 2026'!V$6)</f>
        <v>0</v>
      </c>
      <c r="W14" s="147">
        <f>COUNTIFS('2026 Time Off Request'!$A:$A,'April 2026'!$D14,'2026 Time Off Request'!$L:$L,'April 2026'!W$6)</f>
        <v>0</v>
      </c>
      <c r="X14" s="147">
        <f>COUNTIFS('2026 Time Off Request'!$A:$A,'April 2026'!$D14,'2026 Time Off Request'!$L:$L,'April 2026'!X$6)</f>
        <v>0</v>
      </c>
      <c r="Y14" s="148">
        <f>COUNTIFS('2026 Time Off Request'!$A:$A,'April 2026'!$D14,'2026 Time Off Request'!$L:$L,'April 2026'!Y$6)</f>
        <v>0</v>
      </c>
      <c r="Z14" s="148">
        <f>COUNTIFS('2026 Time Off Request'!$A:$A,'April 2026'!$D14,'2026 Time Off Request'!$L:$L,'April 2026'!Z$6)</f>
        <v>0</v>
      </c>
      <c r="AA14" s="148">
        <f>COUNTIFS('2026 Time Off Request'!$A:$A,'April 2026'!$D14,'2026 Time Off Request'!$L:$L,'April 2026'!AA$6)</f>
        <v>0</v>
      </c>
      <c r="AB14" s="148">
        <f>COUNTIFS('2026 Time Off Request'!$A:$A,'April 2026'!$D14,'2026 Time Off Request'!$L:$L,'April 2026'!AB$6)</f>
        <v>0</v>
      </c>
      <c r="AC14" s="148">
        <f>COUNTIFS('2026 Time Off Request'!$A:$A,'April 2026'!$D14,'2026 Time Off Request'!$L:$L,'April 2026'!AC$6)</f>
        <v>0</v>
      </c>
      <c r="AD14" s="147">
        <f>COUNTIFS('2026 Time Off Request'!$A:$A,'April 2026'!$D14,'2026 Time Off Request'!$L:$L,'April 2026'!AD$6)</f>
        <v>0</v>
      </c>
      <c r="AE14" s="147">
        <f>COUNTIFS('2026 Time Off Request'!$A:$A,'April 2026'!$D14,'2026 Time Off Request'!$L:$L,'April 2026'!AE$6)</f>
        <v>0</v>
      </c>
      <c r="AF14" s="148">
        <f>COUNTIFS('2026 Time Off Request'!$A:$A,'April 2026'!$D14,'2026 Time Off Request'!$L:$L,'April 2026'!AF$6)</f>
        <v>1</v>
      </c>
      <c r="AG14" s="148">
        <f>COUNTIFS('2026 Time Off Request'!$A:$A,'April 2026'!$D14,'2026 Time Off Request'!$L:$L,'April 2026'!AG$6)</f>
        <v>1</v>
      </c>
      <c r="AH14" s="148">
        <f>COUNTIFS('2026 Time Off Request'!$A:$A,'April 2026'!$D14,'2026 Time Off Request'!$L:$L,'April 2026'!AH$6)</f>
        <v>1</v>
      </c>
      <c r="AI14" s="148">
        <f>COUNTIFS('2026 Time Off Request'!$A:$A,'April 2026'!$D14,'2026 Time Off Request'!$L:$L,'April 2026'!AI$6)</f>
        <v>1</v>
      </c>
    </row>
    <row r="15" spans="1:40" ht="15.75">
      <c r="A15" s="2">
        <v>9</v>
      </c>
      <c r="B15" s="209" t="s">
        <v>36</v>
      </c>
      <c r="C15" s="210" t="s">
        <v>37</v>
      </c>
      <c r="D15" s="215" t="s">
        <v>40</v>
      </c>
      <c r="E15" s="212">
        <f t="shared" si="2"/>
        <v>0</v>
      </c>
      <c r="F15" s="223">
        <f>COUNTIFS('2026 Time Off Request'!$A:$A,'April 2026'!$D15,'2026 Time Off Request'!$L:$L,'April 2026'!F$6)</f>
        <v>0</v>
      </c>
      <c r="G15" s="148">
        <f>COUNTIFS('2026 Time Off Request'!$A:$A,'April 2026'!$D15,'2026 Time Off Request'!$L:$L,'April 2026'!G$6)</f>
        <v>0</v>
      </c>
      <c r="H15" s="148">
        <f>COUNTIFS('2026 Time Off Request'!$A:$A,'April 2026'!$D15,'2026 Time Off Request'!$L:$L,'April 2026'!H$6)</f>
        <v>0</v>
      </c>
      <c r="I15" s="147">
        <f>COUNTIFS('2026 Time Off Request'!$A:$A,'April 2026'!$D15,'2026 Time Off Request'!$L:$L,'April 2026'!I$6)</f>
        <v>0</v>
      </c>
      <c r="J15" s="147">
        <f>COUNTIFS('2026 Time Off Request'!$A:$A,'April 2026'!$D15,'2026 Time Off Request'!$L:$L,'April 2026'!J$6)</f>
        <v>0</v>
      </c>
      <c r="K15" s="148">
        <f>COUNTIFS('2026 Time Off Request'!$A:$A,'April 2026'!$D15,'2026 Time Off Request'!$L:$L,'April 2026'!K$6)</f>
        <v>0</v>
      </c>
      <c r="L15" s="148">
        <f>COUNTIFS('2026 Time Off Request'!$A:$A,'April 2026'!$D15,'2026 Time Off Request'!$L:$L,'April 2026'!L$6)</f>
        <v>0</v>
      </c>
      <c r="M15" s="148">
        <f>COUNTIFS('2026 Time Off Request'!$A:$A,'April 2026'!$D15,'2026 Time Off Request'!$L:$L,'April 2026'!M$6)</f>
        <v>0</v>
      </c>
      <c r="N15" s="148">
        <f>COUNTIFS('2026 Time Off Request'!$A:$A,'April 2026'!$D15,'2026 Time Off Request'!$L:$L,'April 2026'!N$6)</f>
        <v>0</v>
      </c>
      <c r="O15" s="148">
        <f>COUNTIFS('2026 Time Off Request'!$A:$A,'April 2026'!$D15,'2026 Time Off Request'!$L:$L,'April 2026'!O$6)</f>
        <v>0</v>
      </c>
      <c r="P15" s="147">
        <f>COUNTIFS('2026 Time Off Request'!$A:$A,'April 2026'!$D15,'2026 Time Off Request'!$L:$L,'April 2026'!P$6)</f>
        <v>0</v>
      </c>
      <c r="Q15" s="147">
        <f>COUNTIFS('2026 Time Off Request'!$A:$A,'April 2026'!$D15,'2026 Time Off Request'!$L:$L,'April 2026'!Q$6)</f>
        <v>0</v>
      </c>
      <c r="R15" s="148">
        <f>COUNTIFS('2026 Time Off Request'!$A:$A,'April 2026'!$D15,'2026 Time Off Request'!$L:$L,'April 2026'!R$6)</f>
        <v>0</v>
      </c>
      <c r="S15" s="148">
        <f>COUNTIFS('2026 Time Off Request'!$A:$A,'April 2026'!$D15,'2026 Time Off Request'!$L:$L,'April 2026'!S$6)</f>
        <v>0</v>
      </c>
      <c r="T15" s="148">
        <f>COUNTIFS('2026 Time Off Request'!$A:$A,'April 2026'!$D15,'2026 Time Off Request'!$L:$L,'April 2026'!T$6)</f>
        <v>0</v>
      </c>
      <c r="U15" s="148">
        <f>COUNTIFS('2026 Time Off Request'!$A:$A,'April 2026'!$D15,'2026 Time Off Request'!$L:$L,'April 2026'!U$6)</f>
        <v>0</v>
      </c>
      <c r="V15" s="148">
        <f>COUNTIFS('2026 Time Off Request'!$A:$A,'April 2026'!$D15,'2026 Time Off Request'!$L:$L,'April 2026'!V$6)</f>
        <v>0</v>
      </c>
      <c r="W15" s="147">
        <f>COUNTIFS('2026 Time Off Request'!$A:$A,'April 2026'!$D15,'2026 Time Off Request'!$L:$L,'April 2026'!W$6)</f>
        <v>0</v>
      </c>
      <c r="X15" s="147">
        <f>COUNTIFS('2026 Time Off Request'!$A:$A,'April 2026'!$D15,'2026 Time Off Request'!$L:$L,'April 2026'!X$6)</f>
        <v>0</v>
      </c>
      <c r="Y15" s="148">
        <f>COUNTIFS('2026 Time Off Request'!$A:$A,'April 2026'!$D15,'2026 Time Off Request'!$L:$L,'April 2026'!Y$6)</f>
        <v>0</v>
      </c>
      <c r="Z15" s="148">
        <f>COUNTIFS('2026 Time Off Request'!$A:$A,'April 2026'!$D15,'2026 Time Off Request'!$L:$L,'April 2026'!Z$6)</f>
        <v>0</v>
      </c>
      <c r="AA15" s="148">
        <f>COUNTIFS('2026 Time Off Request'!$A:$A,'April 2026'!$D15,'2026 Time Off Request'!$L:$L,'April 2026'!AA$6)</f>
        <v>0</v>
      </c>
      <c r="AB15" s="148">
        <f>COUNTIFS('2026 Time Off Request'!$A:$A,'April 2026'!$D15,'2026 Time Off Request'!$L:$L,'April 2026'!AB$6)</f>
        <v>0</v>
      </c>
      <c r="AC15" s="148">
        <f>COUNTIFS('2026 Time Off Request'!$A:$A,'April 2026'!$D15,'2026 Time Off Request'!$L:$L,'April 2026'!AC$6)</f>
        <v>0</v>
      </c>
      <c r="AD15" s="147">
        <f>COUNTIFS('2026 Time Off Request'!$A:$A,'April 2026'!$D15,'2026 Time Off Request'!$L:$L,'April 2026'!AD$6)</f>
        <v>0</v>
      </c>
      <c r="AE15" s="147">
        <f>COUNTIFS('2026 Time Off Request'!$A:$A,'April 2026'!$D15,'2026 Time Off Request'!$L:$L,'April 2026'!AE$6)</f>
        <v>0</v>
      </c>
      <c r="AF15" s="148">
        <f>COUNTIFS('2026 Time Off Request'!$A:$A,'April 2026'!$D15,'2026 Time Off Request'!$L:$L,'April 2026'!AF$6)</f>
        <v>0</v>
      </c>
      <c r="AG15" s="148">
        <f>COUNTIFS('2026 Time Off Request'!$A:$A,'April 2026'!$D15,'2026 Time Off Request'!$L:$L,'April 2026'!AG$6)</f>
        <v>0</v>
      </c>
      <c r="AH15" s="148">
        <f>COUNTIFS('2026 Time Off Request'!$A:$A,'April 2026'!$D15,'2026 Time Off Request'!$L:$L,'April 2026'!AH$6)</f>
        <v>0</v>
      </c>
      <c r="AI15" s="148">
        <f>COUNTIFS('2026 Time Off Request'!$A:$A,'April 2026'!$D15,'2026 Time Off Request'!$L:$L,'April 2026'!AI$6)</f>
        <v>0</v>
      </c>
    </row>
    <row r="16" spans="1:40" ht="15.75">
      <c r="A16" s="2">
        <v>10</v>
      </c>
      <c r="B16" s="209" t="s">
        <v>36</v>
      </c>
      <c r="C16" s="210" t="s">
        <v>37</v>
      </c>
      <c r="D16" s="215" t="s">
        <v>41</v>
      </c>
      <c r="E16" s="212">
        <f t="shared" si="2"/>
        <v>0</v>
      </c>
      <c r="F16" s="223">
        <f>COUNTIFS('2026 Time Off Request'!$A:$A,'April 2026'!$D16,'2026 Time Off Request'!$L:$L,'April 2026'!F$6)</f>
        <v>0</v>
      </c>
      <c r="G16" s="148">
        <f>COUNTIFS('2026 Time Off Request'!$A:$A,'April 2026'!$D16,'2026 Time Off Request'!$L:$L,'April 2026'!G$6)</f>
        <v>0</v>
      </c>
      <c r="H16" s="148">
        <f>COUNTIFS('2026 Time Off Request'!$A:$A,'April 2026'!$D16,'2026 Time Off Request'!$L:$L,'April 2026'!H$6)</f>
        <v>0</v>
      </c>
      <c r="I16" s="147">
        <f>COUNTIFS('2026 Time Off Request'!$A:$A,'April 2026'!$D16,'2026 Time Off Request'!$L:$L,'April 2026'!I$6)</f>
        <v>0</v>
      </c>
      <c r="J16" s="147">
        <f>COUNTIFS('2026 Time Off Request'!$A:$A,'April 2026'!$D16,'2026 Time Off Request'!$L:$L,'April 2026'!J$6)</f>
        <v>0</v>
      </c>
      <c r="K16" s="148">
        <f>COUNTIFS('2026 Time Off Request'!$A:$A,'April 2026'!$D16,'2026 Time Off Request'!$L:$L,'April 2026'!K$6)</f>
        <v>0</v>
      </c>
      <c r="L16" s="148">
        <f>COUNTIFS('2026 Time Off Request'!$A:$A,'April 2026'!$D16,'2026 Time Off Request'!$L:$L,'April 2026'!L$6)</f>
        <v>0</v>
      </c>
      <c r="M16" s="148">
        <f>COUNTIFS('2026 Time Off Request'!$A:$A,'April 2026'!$D16,'2026 Time Off Request'!$L:$L,'April 2026'!M$6)</f>
        <v>0</v>
      </c>
      <c r="N16" s="148">
        <f>COUNTIFS('2026 Time Off Request'!$A:$A,'April 2026'!$D16,'2026 Time Off Request'!$L:$L,'April 2026'!N$6)</f>
        <v>0</v>
      </c>
      <c r="O16" s="148">
        <f>COUNTIFS('2026 Time Off Request'!$A:$A,'April 2026'!$D16,'2026 Time Off Request'!$L:$L,'April 2026'!O$6)</f>
        <v>0</v>
      </c>
      <c r="P16" s="147">
        <f>COUNTIFS('2026 Time Off Request'!$A:$A,'April 2026'!$D16,'2026 Time Off Request'!$L:$L,'April 2026'!P$6)</f>
        <v>0</v>
      </c>
      <c r="Q16" s="147">
        <f>COUNTIFS('2026 Time Off Request'!$A:$A,'April 2026'!$D16,'2026 Time Off Request'!$L:$L,'April 2026'!Q$6)</f>
        <v>0</v>
      </c>
      <c r="R16" s="148">
        <f>COUNTIFS('2026 Time Off Request'!$A:$A,'April 2026'!$D16,'2026 Time Off Request'!$L:$L,'April 2026'!R$6)</f>
        <v>0</v>
      </c>
      <c r="S16" s="148">
        <f>COUNTIFS('2026 Time Off Request'!$A:$A,'April 2026'!$D16,'2026 Time Off Request'!$L:$L,'April 2026'!S$6)</f>
        <v>0</v>
      </c>
      <c r="T16" s="148">
        <f>COUNTIFS('2026 Time Off Request'!$A:$A,'April 2026'!$D16,'2026 Time Off Request'!$L:$L,'April 2026'!T$6)</f>
        <v>0</v>
      </c>
      <c r="U16" s="148">
        <f>COUNTIFS('2026 Time Off Request'!$A:$A,'April 2026'!$D16,'2026 Time Off Request'!$L:$L,'April 2026'!U$6)</f>
        <v>0</v>
      </c>
      <c r="V16" s="148">
        <f>COUNTIFS('2026 Time Off Request'!$A:$A,'April 2026'!$D16,'2026 Time Off Request'!$L:$L,'April 2026'!V$6)</f>
        <v>0</v>
      </c>
      <c r="W16" s="147">
        <f>COUNTIFS('2026 Time Off Request'!$A:$A,'April 2026'!$D16,'2026 Time Off Request'!$L:$L,'April 2026'!W$6)</f>
        <v>0</v>
      </c>
      <c r="X16" s="147">
        <f>COUNTIFS('2026 Time Off Request'!$A:$A,'April 2026'!$D16,'2026 Time Off Request'!$L:$L,'April 2026'!X$6)</f>
        <v>0</v>
      </c>
      <c r="Y16" s="148">
        <f>COUNTIFS('2026 Time Off Request'!$A:$A,'April 2026'!$D16,'2026 Time Off Request'!$L:$L,'April 2026'!Y$6)</f>
        <v>0</v>
      </c>
      <c r="Z16" s="148">
        <f>COUNTIFS('2026 Time Off Request'!$A:$A,'April 2026'!$D16,'2026 Time Off Request'!$L:$L,'April 2026'!Z$6)</f>
        <v>0</v>
      </c>
      <c r="AA16" s="148">
        <f>COUNTIFS('2026 Time Off Request'!$A:$A,'April 2026'!$D16,'2026 Time Off Request'!$L:$L,'April 2026'!AA$6)</f>
        <v>0</v>
      </c>
      <c r="AB16" s="148">
        <f>COUNTIFS('2026 Time Off Request'!$A:$A,'April 2026'!$D16,'2026 Time Off Request'!$L:$L,'April 2026'!AB$6)</f>
        <v>0</v>
      </c>
      <c r="AC16" s="148">
        <f>COUNTIFS('2026 Time Off Request'!$A:$A,'April 2026'!$D16,'2026 Time Off Request'!$L:$L,'April 2026'!AC$6)</f>
        <v>0</v>
      </c>
      <c r="AD16" s="147">
        <f>COUNTIFS('2026 Time Off Request'!$A:$A,'April 2026'!$D16,'2026 Time Off Request'!$L:$L,'April 2026'!AD$6)</f>
        <v>0</v>
      </c>
      <c r="AE16" s="147">
        <f>COUNTIFS('2026 Time Off Request'!$A:$A,'April 2026'!$D16,'2026 Time Off Request'!$L:$L,'April 2026'!AE$6)</f>
        <v>0</v>
      </c>
      <c r="AF16" s="148">
        <f>COUNTIFS('2026 Time Off Request'!$A:$A,'April 2026'!$D16,'2026 Time Off Request'!$L:$L,'April 2026'!AF$6)</f>
        <v>0</v>
      </c>
      <c r="AG16" s="148">
        <f>COUNTIFS('2026 Time Off Request'!$A:$A,'April 2026'!$D16,'2026 Time Off Request'!$L:$L,'April 2026'!AG$6)</f>
        <v>0</v>
      </c>
      <c r="AH16" s="148">
        <f>COUNTIFS('2026 Time Off Request'!$A:$A,'April 2026'!$D16,'2026 Time Off Request'!$L:$L,'April 2026'!AH$6)</f>
        <v>0</v>
      </c>
      <c r="AI16" s="148">
        <f>COUNTIFS('2026 Time Off Request'!$A:$A,'April 2026'!$D16,'2026 Time Off Request'!$L:$L,'April 2026'!AI$6)</f>
        <v>0</v>
      </c>
    </row>
    <row r="17" spans="1:35" ht="15.75">
      <c r="A17" s="2">
        <v>11</v>
      </c>
      <c r="B17" s="209" t="s">
        <v>36</v>
      </c>
      <c r="C17" s="210" t="s">
        <v>37</v>
      </c>
      <c r="D17" s="215" t="s">
        <v>42</v>
      </c>
      <c r="E17" s="212">
        <f t="shared" si="2"/>
        <v>0</v>
      </c>
      <c r="F17" s="223">
        <f>COUNTIFS('2026 Time Off Request'!$A:$A,'April 2026'!$D17,'2026 Time Off Request'!$L:$L,'April 2026'!F$6)</f>
        <v>0</v>
      </c>
      <c r="G17" s="148">
        <f>COUNTIFS('2026 Time Off Request'!$A:$A,'April 2026'!$D17,'2026 Time Off Request'!$L:$L,'April 2026'!G$6)</f>
        <v>0</v>
      </c>
      <c r="H17" s="148">
        <f>COUNTIFS('2026 Time Off Request'!$A:$A,'April 2026'!$D17,'2026 Time Off Request'!$L:$L,'April 2026'!H$6)</f>
        <v>0</v>
      </c>
      <c r="I17" s="147">
        <f>COUNTIFS('2026 Time Off Request'!$A:$A,'April 2026'!$D17,'2026 Time Off Request'!$L:$L,'April 2026'!I$6)</f>
        <v>0</v>
      </c>
      <c r="J17" s="147">
        <f>COUNTIFS('2026 Time Off Request'!$A:$A,'April 2026'!$D17,'2026 Time Off Request'!$L:$L,'April 2026'!J$6)</f>
        <v>0</v>
      </c>
      <c r="K17" s="148">
        <f>COUNTIFS('2026 Time Off Request'!$A:$A,'April 2026'!$D17,'2026 Time Off Request'!$L:$L,'April 2026'!K$6)</f>
        <v>0</v>
      </c>
      <c r="L17" s="148">
        <f>COUNTIFS('2026 Time Off Request'!$A:$A,'April 2026'!$D17,'2026 Time Off Request'!$L:$L,'April 2026'!L$6)</f>
        <v>0</v>
      </c>
      <c r="M17" s="148">
        <f>COUNTIFS('2026 Time Off Request'!$A:$A,'April 2026'!$D17,'2026 Time Off Request'!$L:$L,'April 2026'!M$6)</f>
        <v>0</v>
      </c>
      <c r="N17" s="148">
        <f>COUNTIFS('2026 Time Off Request'!$A:$A,'April 2026'!$D17,'2026 Time Off Request'!$L:$L,'April 2026'!N$6)</f>
        <v>0</v>
      </c>
      <c r="O17" s="148">
        <f>COUNTIFS('2026 Time Off Request'!$A:$A,'April 2026'!$D17,'2026 Time Off Request'!$L:$L,'April 2026'!O$6)</f>
        <v>0</v>
      </c>
      <c r="P17" s="147">
        <f>COUNTIFS('2026 Time Off Request'!$A:$A,'April 2026'!$D17,'2026 Time Off Request'!$L:$L,'April 2026'!P$6)</f>
        <v>0</v>
      </c>
      <c r="Q17" s="147">
        <f>COUNTIFS('2026 Time Off Request'!$A:$A,'April 2026'!$D17,'2026 Time Off Request'!$L:$L,'April 2026'!Q$6)</f>
        <v>0</v>
      </c>
      <c r="R17" s="148">
        <f>COUNTIFS('2026 Time Off Request'!$A:$A,'April 2026'!$D17,'2026 Time Off Request'!$L:$L,'April 2026'!R$6)</f>
        <v>0</v>
      </c>
      <c r="S17" s="148">
        <f>COUNTIFS('2026 Time Off Request'!$A:$A,'April 2026'!$D17,'2026 Time Off Request'!$L:$L,'April 2026'!S$6)</f>
        <v>0</v>
      </c>
      <c r="T17" s="148">
        <f>COUNTIFS('2026 Time Off Request'!$A:$A,'April 2026'!$D17,'2026 Time Off Request'!$L:$L,'April 2026'!T$6)</f>
        <v>0</v>
      </c>
      <c r="U17" s="148">
        <f>COUNTIFS('2026 Time Off Request'!$A:$A,'April 2026'!$D17,'2026 Time Off Request'!$L:$L,'April 2026'!U$6)</f>
        <v>0</v>
      </c>
      <c r="V17" s="148">
        <f>COUNTIFS('2026 Time Off Request'!$A:$A,'April 2026'!$D17,'2026 Time Off Request'!$L:$L,'April 2026'!V$6)</f>
        <v>0</v>
      </c>
      <c r="W17" s="147">
        <f>COUNTIFS('2026 Time Off Request'!$A:$A,'April 2026'!$D17,'2026 Time Off Request'!$L:$L,'April 2026'!W$6)</f>
        <v>0</v>
      </c>
      <c r="X17" s="147">
        <f>COUNTIFS('2026 Time Off Request'!$A:$A,'April 2026'!$D17,'2026 Time Off Request'!$L:$L,'April 2026'!X$6)</f>
        <v>0</v>
      </c>
      <c r="Y17" s="148">
        <f>COUNTIFS('2026 Time Off Request'!$A:$A,'April 2026'!$D17,'2026 Time Off Request'!$L:$L,'April 2026'!Y$6)</f>
        <v>0</v>
      </c>
      <c r="Z17" s="148">
        <f>COUNTIFS('2026 Time Off Request'!$A:$A,'April 2026'!$D17,'2026 Time Off Request'!$L:$L,'April 2026'!Z$6)</f>
        <v>0</v>
      </c>
      <c r="AA17" s="148">
        <f>COUNTIFS('2026 Time Off Request'!$A:$A,'April 2026'!$D17,'2026 Time Off Request'!$L:$L,'April 2026'!AA$6)</f>
        <v>0</v>
      </c>
      <c r="AB17" s="148">
        <f>COUNTIFS('2026 Time Off Request'!$A:$A,'April 2026'!$D17,'2026 Time Off Request'!$L:$L,'April 2026'!AB$6)</f>
        <v>0</v>
      </c>
      <c r="AC17" s="148">
        <f>COUNTIFS('2026 Time Off Request'!$A:$A,'April 2026'!$D17,'2026 Time Off Request'!$L:$L,'April 2026'!AC$6)</f>
        <v>0</v>
      </c>
      <c r="AD17" s="147">
        <f>COUNTIFS('2026 Time Off Request'!$A:$A,'April 2026'!$D17,'2026 Time Off Request'!$L:$L,'April 2026'!AD$6)</f>
        <v>0</v>
      </c>
      <c r="AE17" s="147">
        <f>COUNTIFS('2026 Time Off Request'!$A:$A,'April 2026'!$D17,'2026 Time Off Request'!$L:$L,'April 2026'!AE$6)</f>
        <v>0</v>
      </c>
      <c r="AF17" s="148">
        <f>COUNTIFS('2026 Time Off Request'!$A:$A,'April 2026'!$D17,'2026 Time Off Request'!$L:$L,'April 2026'!AF$6)</f>
        <v>0</v>
      </c>
      <c r="AG17" s="148">
        <f>COUNTIFS('2026 Time Off Request'!$A:$A,'April 2026'!$D17,'2026 Time Off Request'!$L:$L,'April 2026'!AG$6)</f>
        <v>0</v>
      </c>
      <c r="AH17" s="148">
        <f>COUNTIFS('2026 Time Off Request'!$A:$A,'April 2026'!$D17,'2026 Time Off Request'!$L:$L,'April 2026'!AH$6)</f>
        <v>0</v>
      </c>
      <c r="AI17" s="148">
        <f>COUNTIFS('2026 Time Off Request'!$A:$A,'April 2026'!$D17,'2026 Time Off Request'!$L:$L,'April 2026'!AI$6)</f>
        <v>0</v>
      </c>
    </row>
    <row r="18" spans="1:35" ht="15.75">
      <c r="A18" s="2">
        <v>12</v>
      </c>
      <c r="B18" s="209" t="s">
        <v>36</v>
      </c>
      <c r="C18" s="210" t="s">
        <v>37</v>
      </c>
      <c r="D18" s="215" t="s">
        <v>43</v>
      </c>
      <c r="E18" s="212">
        <f t="shared" si="2"/>
        <v>0</v>
      </c>
      <c r="F18" s="223">
        <f>COUNTIFS('2026 Time Off Request'!$A:$A,'April 2026'!$D18,'2026 Time Off Request'!$L:$L,'April 2026'!F$6)</f>
        <v>0</v>
      </c>
      <c r="G18" s="148">
        <f>COUNTIFS('2026 Time Off Request'!$A:$A,'April 2026'!$D18,'2026 Time Off Request'!$L:$L,'April 2026'!G$6)</f>
        <v>0</v>
      </c>
      <c r="H18" s="148">
        <f>COUNTIFS('2026 Time Off Request'!$A:$A,'April 2026'!$D18,'2026 Time Off Request'!$L:$L,'April 2026'!H$6)</f>
        <v>0</v>
      </c>
      <c r="I18" s="147">
        <f>COUNTIFS('2026 Time Off Request'!$A:$A,'April 2026'!$D18,'2026 Time Off Request'!$L:$L,'April 2026'!I$6)</f>
        <v>0</v>
      </c>
      <c r="J18" s="147">
        <f>COUNTIFS('2026 Time Off Request'!$A:$A,'April 2026'!$D18,'2026 Time Off Request'!$L:$L,'April 2026'!J$6)</f>
        <v>0</v>
      </c>
      <c r="K18" s="148">
        <f>COUNTIFS('2026 Time Off Request'!$A:$A,'April 2026'!$D18,'2026 Time Off Request'!$L:$L,'April 2026'!K$6)</f>
        <v>0</v>
      </c>
      <c r="L18" s="148">
        <f>COUNTIFS('2026 Time Off Request'!$A:$A,'April 2026'!$D18,'2026 Time Off Request'!$L:$L,'April 2026'!L$6)</f>
        <v>0</v>
      </c>
      <c r="M18" s="148">
        <f>COUNTIFS('2026 Time Off Request'!$A:$A,'April 2026'!$D18,'2026 Time Off Request'!$L:$L,'April 2026'!M$6)</f>
        <v>0</v>
      </c>
      <c r="N18" s="148">
        <f>COUNTIFS('2026 Time Off Request'!$A:$A,'April 2026'!$D18,'2026 Time Off Request'!$L:$L,'April 2026'!N$6)</f>
        <v>0</v>
      </c>
      <c r="O18" s="148">
        <f>COUNTIFS('2026 Time Off Request'!$A:$A,'April 2026'!$D18,'2026 Time Off Request'!$L:$L,'April 2026'!O$6)</f>
        <v>0</v>
      </c>
      <c r="P18" s="147">
        <f>COUNTIFS('2026 Time Off Request'!$A:$A,'April 2026'!$D18,'2026 Time Off Request'!$L:$L,'April 2026'!P$6)</f>
        <v>0</v>
      </c>
      <c r="Q18" s="147">
        <f>COUNTIFS('2026 Time Off Request'!$A:$A,'April 2026'!$D18,'2026 Time Off Request'!$L:$L,'April 2026'!Q$6)</f>
        <v>0</v>
      </c>
      <c r="R18" s="148">
        <f>COUNTIFS('2026 Time Off Request'!$A:$A,'April 2026'!$D18,'2026 Time Off Request'!$L:$L,'April 2026'!R$6)</f>
        <v>0</v>
      </c>
      <c r="S18" s="148">
        <f>COUNTIFS('2026 Time Off Request'!$A:$A,'April 2026'!$D18,'2026 Time Off Request'!$L:$L,'April 2026'!S$6)</f>
        <v>0</v>
      </c>
      <c r="T18" s="148">
        <f>COUNTIFS('2026 Time Off Request'!$A:$A,'April 2026'!$D18,'2026 Time Off Request'!$L:$L,'April 2026'!T$6)</f>
        <v>0</v>
      </c>
      <c r="U18" s="148">
        <f>COUNTIFS('2026 Time Off Request'!$A:$A,'April 2026'!$D18,'2026 Time Off Request'!$L:$L,'April 2026'!U$6)</f>
        <v>0</v>
      </c>
      <c r="V18" s="148">
        <f>COUNTIFS('2026 Time Off Request'!$A:$A,'April 2026'!$D18,'2026 Time Off Request'!$L:$L,'April 2026'!V$6)</f>
        <v>0</v>
      </c>
      <c r="W18" s="147">
        <f>COUNTIFS('2026 Time Off Request'!$A:$A,'April 2026'!$D18,'2026 Time Off Request'!$L:$L,'April 2026'!W$6)</f>
        <v>0</v>
      </c>
      <c r="X18" s="147">
        <f>COUNTIFS('2026 Time Off Request'!$A:$A,'April 2026'!$D18,'2026 Time Off Request'!$L:$L,'April 2026'!X$6)</f>
        <v>0</v>
      </c>
      <c r="Y18" s="148">
        <f>COUNTIFS('2026 Time Off Request'!$A:$A,'April 2026'!$D18,'2026 Time Off Request'!$L:$L,'April 2026'!Y$6)</f>
        <v>0</v>
      </c>
      <c r="Z18" s="148">
        <f>COUNTIFS('2026 Time Off Request'!$A:$A,'April 2026'!$D18,'2026 Time Off Request'!$L:$L,'April 2026'!Z$6)</f>
        <v>0</v>
      </c>
      <c r="AA18" s="148">
        <f>COUNTIFS('2026 Time Off Request'!$A:$A,'April 2026'!$D18,'2026 Time Off Request'!$L:$L,'April 2026'!AA$6)</f>
        <v>0</v>
      </c>
      <c r="AB18" s="148">
        <f>COUNTIFS('2026 Time Off Request'!$A:$A,'April 2026'!$D18,'2026 Time Off Request'!$L:$L,'April 2026'!AB$6)</f>
        <v>0</v>
      </c>
      <c r="AC18" s="148">
        <f>COUNTIFS('2026 Time Off Request'!$A:$A,'April 2026'!$D18,'2026 Time Off Request'!$L:$L,'April 2026'!AC$6)</f>
        <v>0</v>
      </c>
      <c r="AD18" s="147">
        <f>COUNTIFS('2026 Time Off Request'!$A:$A,'April 2026'!$D18,'2026 Time Off Request'!$L:$L,'April 2026'!AD$6)</f>
        <v>0</v>
      </c>
      <c r="AE18" s="147">
        <f>COUNTIFS('2026 Time Off Request'!$A:$A,'April 2026'!$D18,'2026 Time Off Request'!$L:$L,'April 2026'!AE$6)</f>
        <v>0</v>
      </c>
      <c r="AF18" s="148">
        <f>COUNTIFS('2026 Time Off Request'!$A:$A,'April 2026'!$D18,'2026 Time Off Request'!$L:$L,'April 2026'!AF$6)</f>
        <v>0</v>
      </c>
      <c r="AG18" s="148">
        <f>COUNTIFS('2026 Time Off Request'!$A:$A,'April 2026'!$D18,'2026 Time Off Request'!$L:$L,'April 2026'!AG$6)</f>
        <v>0</v>
      </c>
      <c r="AH18" s="148">
        <f>COUNTIFS('2026 Time Off Request'!$A:$A,'April 2026'!$D18,'2026 Time Off Request'!$L:$L,'April 2026'!AH$6)</f>
        <v>0</v>
      </c>
      <c r="AI18" s="148">
        <f>COUNTIFS('2026 Time Off Request'!$A:$A,'April 2026'!$D18,'2026 Time Off Request'!$L:$L,'April 2026'!AI$6)</f>
        <v>0</v>
      </c>
    </row>
    <row r="19" spans="1:35" ht="15.75">
      <c r="A19" s="2">
        <v>13</v>
      </c>
      <c r="B19" s="209" t="s">
        <v>36</v>
      </c>
      <c r="C19" s="210" t="s">
        <v>37</v>
      </c>
      <c r="D19" s="215" t="s">
        <v>44</v>
      </c>
      <c r="E19" s="212">
        <f t="shared" si="2"/>
        <v>0</v>
      </c>
      <c r="F19" s="223">
        <f>COUNTIFS('2026 Time Off Request'!$A:$A,'April 2026'!$D19,'2026 Time Off Request'!$L:$L,'April 2026'!F$6)</f>
        <v>0</v>
      </c>
      <c r="G19" s="148">
        <f>COUNTIFS('2026 Time Off Request'!$A:$A,'April 2026'!$D19,'2026 Time Off Request'!$L:$L,'April 2026'!G$6)</f>
        <v>0</v>
      </c>
      <c r="H19" s="148">
        <f>COUNTIFS('2026 Time Off Request'!$A:$A,'April 2026'!$D19,'2026 Time Off Request'!$L:$L,'April 2026'!H$6)</f>
        <v>0</v>
      </c>
      <c r="I19" s="147">
        <f>COUNTIFS('2026 Time Off Request'!$A:$A,'April 2026'!$D19,'2026 Time Off Request'!$L:$L,'April 2026'!I$6)</f>
        <v>0</v>
      </c>
      <c r="J19" s="147">
        <f>COUNTIFS('2026 Time Off Request'!$A:$A,'April 2026'!$D19,'2026 Time Off Request'!$L:$L,'April 2026'!J$6)</f>
        <v>0</v>
      </c>
      <c r="K19" s="148">
        <f>COUNTIFS('2026 Time Off Request'!$A:$A,'April 2026'!$D19,'2026 Time Off Request'!$L:$L,'April 2026'!K$6)</f>
        <v>0</v>
      </c>
      <c r="L19" s="148">
        <f>COUNTIFS('2026 Time Off Request'!$A:$A,'April 2026'!$D19,'2026 Time Off Request'!$L:$L,'April 2026'!L$6)</f>
        <v>0</v>
      </c>
      <c r="M19" s="148">
        <f>COUNTIFS('2026 Time Off Request'!$A:$A,'April 2026'!$D19,'2026 Time Off Request'!$L:$L,'April 2026'!M$6)</f>
        <v>0</v>
      </c>
      <c r="N19" s="148">
        <f>COUNTIFS('2026 Time Off Request'!$A:$A,'April 2026'!$D19,'2026 Time Off Request'!$L:$L,'April 2026'!N$6)</f>
        <v>0</v>
      </c>
      <c r="O19" s="148">
        <f>COUNTIFS('2026 Time Off Request'!$A:$A,'April 2026'!$D19,'2026 Time Off Request'!$L:$L,'April 2026'!O$6)</f>
        <v>0</v>
      </c>
      <c r="P19" s="147">
        <f>COUNTIFS('2026 Time Off Request'!$A:$A,'April 2026'!$D19,'2026 Time Off Request'!$L:$L,'April 2026'!P$6)</f>
        <v>0</v>
      </c>
      <c r="Q19" s="147">
        <f>COUNTIFS('2026 Time Off Request'!$A:$A,'April 2026'!$D19,'2026 Time Off Request'!$L:$L,'April 2026'!Q$6)</f>
        <v>0</v>
      </c>
      <c r="R19" s="148">
        <f>COUNTIFS('2026 Time Off Request'!$A:$A,'April 2026'!$D19,'2026 Time Off Request'!$L:$L,'April 2026'!R$6)</f>
        <v>0</v>
      </c>
      <c r="S19" s="148">
        <f>COUNTIFS('2026 Time Off Request'!$A:$A,'April 2026'!$D19,'2026 Time Off Request'!$L:$L,'April 2026'!S$6)</f>
        <v>0</v>
      </c>
      <c r="T19" s="148">
        <f>COUNTIFS('2026 Time Off Request'!$A:$A,'April 2026'!$D19,'2026 Time Off Request'!$L:$L,'April 2026'!T$6)</f>
        <v>0</v>
      </c>
      <c r="U19" s="148">
        <f>COUNTIFS('2026 Time Off Request'!$A:$A,'April 2026'!$D19,'2026 Time Off Request'!$L:$L,'April 2026'!U$6)</f>
        <v>0</v>
      </c>
      <c r="V19" s="148">
        <f>COUNTIFS('2026 Time Off Request'!$A:$A,'April 2026'!$D19,'2026 Time Off Request'!$L:$L,'April 2026'!V$6)</f>
        <v>0</v>
      </c>
      <c r="W19" s="147">
        <f>COUNTIFS('2026 Time Off Request'!$A:$A,'April 2026'!$D19,'2026 Time Off Request'!$L:$L,'April 2026'!W$6)</f>
        <v>0</v>
      </c>
      <c r="X19" s="147">
        <f>COUNTIFS('2026 Time Off Request'!$A:$A,'April 2026'!$D19,'2026 Time Off Request'!$L:$L,'April 2026'!X$6)</f>
        <v>0</v>
      </c>
      <c r="Y19" s="148">
        <f>COUNTIFS('2026 Time Off Request'!$A:$A,'April 2026'!$D19,'2026 Time Off Request'!$L:$L,'April 2026'!Y$6)</f>
        <v>0</v>
      </c>
      <c r="Z19" s="148">
        <f>COUNTIFS('2026 Time Off Request'!$A:$A,'April 2026'!$D19,'2026 Time Off Request'!$L:$L,'April 2026'!Z$6)</f>
        <v>0</v>
      </c>
      <c r="AA19" s="148">
        <f>COUNTIFS('2026 Time Off Request'!$A:$A,'April 2026'!$D19,'2026 Time Off Request'!$L:$L,'April 2026'!AA$6)</f>
        <v>0</v>
      </c>
      <c r="AB19" s="148">
        <f>COUNTIFS('2026 Time Off Request'!$A:$A,'April 2026'!$D19,'2026 Time Off Request'!$L:$L,'April 2026'!AB$6)</f>
        <v>0</v>
      </c>
      <c r="AC19" s="148">
        <f>COUNTIFS('2026 Time Off Request'!$A:$A,'April 2026'!$D19,'2026 Time Off Request'!$L:$L,'April 2026'!AC$6)</f>
        <v>0</v>
      </c>
      <c r="AD19" s="147">
        <f>COUNTIFS('2026 Time Off Request'!$A:$A,'April 2026'!$D19,'2026 Time Off Request'!$L:$L,'April 2026'!AD$6)</f>
        <v>0</v>
      </c>
      <c r="AE19" s="147">
        <f>COUNTIFS('2026 Time Off Request'!$A:$A,'April 2026'!$D19,'2026 Time Off Request'!$L:$L,'April 2026'!AE$6)</f>
        <v>0</v>
      </c>
      <c r="AF19" s="148">
        <f>COUNTIFS('2026 Time Off Request'!$A:$A,'April 2026'!$D19,'2026 Time Off Request'!$L:$L,'April 2026'!AF$6)</f>
        <v>0</v>
      </c>
      <c r="AG19" s="148">
        <f>COUNTIFS('2026 Time Off Request'!$A:$A,'April 2026'!$D19,'2026 Time Off Request'!$L:$L,'April 2026'!AG$6)</f>
        <v>0</v>
      </c>
      <c r="AH19" s="148">
        <f>COUNTIFS('2026 Time Off Request'!$A:$A,'April 2026'!$D19,'2026 Time Off Request'!$L:$L,'April 2026'!AH$6)</f>
        <v>0</v>
      </c>
      <c r="AI19" s="148">
        <f>COUNTIFS('2026 Time Off Request'!$A:$A,'April 2026'!$D19,'2026 Time Off Request'!$L:$L,'April 2026'!AI$6)</f>
        <v>0</v>
      </c>
    </row>
    <row r="20" spans="1:35" ht="15.75">
      <c r="A20" s="2">
        <v>14</v>
      </c>
      <c r="B20" s="209" t="s">
        <v>45</v>
      </c>
      <c r="C20" s="210" t="s">
        <v>37</v>
      </c>
      <c r="D20" s="215" t="s">
        <v>46</v>
      </c>
      <c r="E20" s="212">
        <f t="shared" si="2"/>
        <v>0</v>
      </c>
      <c r="F20" s="223">
        <f>COUNTIFS('2026 Time Off Request'!$A:$A,'April 2026'!$D20,'2026 Time Off Request'!$L:$L,'April 2026'!F$6)</f>
        <v>0</v>
      </c>
      <c r="G20" s="148">
        <f>COUNTIFS('2026 Time Off Request'!$A:$A,'April 2026'!$D20,'2026 Time Off Request'!$L:$L,'April 2026'!G$6)</f>
        <v>0</v>
      </c>
      <c r="H20" s="148">
        <f>COUNTIFS('2026 Time Off Request'!$A:$A,'April 2026'!$D20,'2026 Time Off Request'!$L:$L,'April 2026'!H$6)</f>
        <v>0</v>
      </c>
      <c r="I20" s="147">
        <f>COUNTIFS('2026 Time Off Request'!$A:$A,'April 2026'!$D20,'2026 Time Off Request'!$L:$L,'April 2026'!I$6)</f>
        <v>0</v>
      </c>
      <c r="J20" s="147">
        <f>COUNTIFS('2026 Time Off Request'!$A:$A,'April 2026'!$D20,'2026 Time Off Request'!$L:$L,'April 2026'!J$6)</f>
        <v>0</v>
      </c>
      <c r="K20" s="148">
        <f>COUNTIFS('2026 Time Off Request'!$A:$A,'April 2026'!$D20,'2026 Time Off Request'!$L:$L,'April 2026'!K$6)</f>
        <v>0</v>
      </c>
      <c r="L20" s="148">
        <f>COUNTIFS('2026 Time Off Request'!$A:$A,'April 2026'!$D20,'2026 Time Off Request'!$L:$L,'April 2026'!L$6)</f>
        <v>0</v>
      </c>
      <c r="M20" s="148">
        <f>COUNTIFS('2026 Time Off Request'!$A:$A,'April 2026'!$D20,'2026 Time Off Request'!$L:$L,'April 2026'!M$6)</f>
        <v>0</v>
      </c>
      <c r="N20" s="148">
        <f>COUNTIFS('2026 Time Off Request'!$A:$A,'April 2026'!$D20,'2026 Time Off Request'!$L:$L,'April 2026'!N$6)</f>
        <v>0</v>
      </c>
      <c r="O20" s="148">
        <f>COUNTIFS('2026 Time Off Request'!$A:$A,'April 2026'!$D20,'2026 Time Off Request'!$L:$L,'April 2026'!O$6)</f>
        <v>0</v>
      </c>
      <c r="P20" s="147">
        <f>COUNTIFS('2026 Time Off Request'!$A:$A,'April 2026'!$D20,'2026 Time Off Request'!$L:$L,'April 2026'!P$6)</f>
        <v>0</v>
      </c>
      <c r="Q20" s="147">
        <f>COUNTIFS('2026 Time Off Request'!$A:$A,'April 2026'!$D20,'2026 Time Off Request'!$L:$L,'April 2026'!Q$6)</f>
        <v>0</v>
      </c>
      <c r="R20" s="148">
        <f>COUNTIFS('2026 Time Off Request'!$A:$A,'April 2026'!$D20,'2026 Time Off Request'!$L:$L,'April 2026'!R$6)</f>
        <v>0</v>
      </c>
      <c r="S20" s="148">
        <f>COUNTIFS('2026 Time Off Request'!$A:$A,'April 2026'!$D20,'2026 Time Off Request'!$L:$L,'April 2026'!S$6)</f>
        <v>0</v>
      </c>
      <c r="T20" s="148">
        <f>COUNTIFS('2026 Time Off Request'!$A:$A,'April 2026'!$D20,'2026 Time Off Request'!$L:$L,'April 2026'!T$6)</f>
        <v>0</v>
      </c>
      <c r="U20" s="148">
        <f>COUNTIFS('2026 Time Off Request'!$A:$A,'April 2026'!$D20,'2026 Time Off Request'!$L:$L,'April 2026'!U$6)</f>
        <v>0</v>
      </c>
      <c r="V20" s="148">
        <f>COUNTIFS('2026 Time Off Request'!$A:$A,'April 2026'!$D20,'2026 Time Off Request'!$L:$L,'April 2026'!V$6)</f>
        <v>0</v>
      </c>
      <c r="W20" s="147">
        <f>COUNTIFS('2026 Time Off Request'!$A:$A,'April 2026'!$D20,'2026 Time Off Request'!$L:$L,'April 2026'!W$6)</f>
        <v>0</v>
      </c>
      <c r="X20" s="147">
        <f>COUNTIFS('2026 Time Off Request'!$A:$A,'April 2026'!$D20,'2026 Time Off Request'!$L:$L,'April 2026'!X$6)</f>
        <v>0</v>
      </c>
      <c r="Y20" s="148">
        <f>COUNTIFS('2026 Time Off Request'!$A:$A,'April 2026'!$D20,'2026 Time Off Request'!$L:$L,'April 2026'!Y$6)</f>
        <v>0</v>
      </c>
      <c r="Z20" s="148">
        <f>COUNTIFS('2026 Time Off Request'!$A:$A,'April 2026'!$D20,'2026 Time Off Request'!$L:$L,'April 2026'!Z$6)</f>
        <v>0</v>
      </c>
      <c r="AA20" s="148">
        <f>COUNTIFS('2026 Time Off Request'!$A:$A,'April 2026'!$D20,'2026 Time Off Request'!$L:$L,'April 2026'!AA$6)</f>
        <v>0</v>
      </c>
      <c r="AB20" s="148">
        <f>COUNTIFS('2026 Time Off Request'!$A:$A,'April 2026'!$D20,'2026 Time Off Request'!$L:$L,'April 2026'!AB$6)</f>
        <v>0</v>
      </c>
      <c r="AC20" s="148">
        <f>COUNTIFS('2026 Time Off Request'!$A:$A,'April 2026'!$D20,'2026 Time Off Request'!$L:$L,'April 2026'!AC$6)</f>
        <v>0</v>
      </c>
      <c r="AD20" s="147">
        <f>COUNTIFS('2026 Time Off Request'!$A:$A,'April 2026'!$D20,'2026 Time Off Request'!$L:$L,'April 2026'!AD$6)</f>
        <v>0</v>
      </c>
      <c r="AE20" s="147">
        <f>COUNTIFS('2026 Time Off Request'!$A:$A,'April 2026'!$D20,'2026 Time Off Request'!$L:$L,'April 2026'!AE$6)</f>
        <v>0</v>
      </c>
      <c r="AF20" s="148">
        <f>COUNTIFS('2026 Time Off Request'!$A:$A,'April 2026'!$D20,'2026 Time Off Request'!$L:$L,'April 2026'!AF$6)</f>
        <v>0</v>
      </c>
      <c r="AG20" s="148">
        <f>COUNTIFS('2026 Time Off Request'!$A:$A,'April 2026'!$D20,'2026 Time Off Request'!$L:$L,'April 2026'!AG$6)</f>
        <v>0</v>
      </c>
      <c r="AH20" s="148">
        <f>COUNTIFS('2026 Time Off Request'!$A:$A,'April 2026'!$D20,'2026 Time Off Request'!$L:$L,'April 2026'!AH$6)</f>
        <v>0</v>
      </c>
      <c r="AI20" s="148">
        <f>COUNTIFS('2026 Time Off Request'!$A:$A,'April 2026'!$D20,'2026 Time Off Request'!$L:$L,'April 2026'!AI$6)</f>
        <v>0</v>
      </c>
    </row>
    <row r="21" spans="1:35" ht="15.75">
      <c r="A21" s="2">
        <v>15</v>
      </c>
      <c r="B21" s="209" t="s">
        <v>45</v>
      </c>
      <c r="C21" s="210" t="s">
        <v>47</v>
      </c>
      <c r="D21" s="215" t="s">
        <v>48</v>
      </c>
      <c r="E21" s="212">
        <f t="shared" si="2"/>
        <v>0</v>
      </c>
      <c r="F21" s="223">
        <f>COUNTIFS('2026 Time Off Request'!$A:$A,'April 2026'!$D21,'2026 Time Off Request'!$L:$L,'April 2026'!F$6)</f>
        <v>0</v>
      </c>
      <c r="G21" s="148">
        <f>COUNTIFS('2026 Time Off Request'!$A:$A,'April 2026'!$D21,'2026 Time Off Request'!$L:$L,'April 2026'!G$6)</f>
        <v>0</v>
      </c>
      <c r="H21" s="148">
        <f>COUNTIFS('2026 Time Off Request'!$A:$A,'April 2026'!$D21,'2026 Time Off Request'!$L:$L,'April 2026'!H$6)</f>
        <v>0</v>
      </c>
      <c r="I21" s="147">
        <f>COUNTIFS('2026 Time Off Request'!$A:$A,'April 2026'!$D21,'2026 Time Off Request'!$L:$L,'April 2026'!I$6)</f>
        <v>0</v>
      </c>
      <c r="J21" s="147">
        <f>COUNTIFS('2026 Time Off Request'!$A:$A,'April 2026'!$D21,'2026 Time Off Request'!$L:$L,'April 2026'!J$6)</f>
        <v>0</v>
      </c>
      <c r="K21" s="148">
        <f>COUNTIFS('2026 Time Off Request'!$A:$A,'April 2026'!$D21,'2026 Time Off Request'!$L:$L,'April 2026'!K$6)</f>
        <v>0</v>
      </c>
      <c r="L21" s="148">
        <f>COUNTIFS('2026 Time Off Request'!$A:$A,'April 2026'!$D21,'2026 Time Off Request'!$L:$L,'April 2026'!L$6)</f>
        <v>0</v>
      </c>
      <c r="M21" s="148">
        <f>COUNTIFS('2026 Time Off Request'!$A:$A,'April 2026'!$D21,'2026 Time Off Request'!$L:$L,'April 2026'!M$6)</f>
        <v>0</v>
      </c>
      <c r="N21" s="148">
        <f>COUNTIFS('2026 Time Off Request'!$A:$A,'April 2026'!$D21,'2026 Time Off Request'!$L:$L,'April 2026'!N$6)</f>
        <v>0</v>
      </c>
      <c r="O21" s="148">
        <f>COUNTIFS('2026 Time Off Request'!$A:$A,'April 2026'!$D21,'2026 Time Off Request'!$L:$L,'April 2026'!O$6)</f>
        <v>0</v>
      </c>
      <c r="P21" s="147">
        <f>COUNTIFS('2026 Time Off Request'!$A:$A,'April 2026'!$D21,'2026 Time Off Request'!$L:$L,'April 2026'!P$6)</f>
        <v>0</v>
      </c>
      <c r="Q21" s="147">
        <f>COUNTIFS('2026 Time Off Request'!$A:$A,'April 2026'!$D21,'2026 Time Off Request'!$L:$L,'April 2026'!Q$6)</f>
        <v>0</v>
      </c>
      <c r="R21" s="148">
        <f>COUNTIFS('2026 Time Off Request'!$A:$A,'April 2026'!$D21,'2026 Time Off Request'!$L:$L,'April 2026'!R$6)</f>
        <v>0</v>
      </c>
      <c r="S21" s="148">
        <f>COUNTIFS('2026 Time Off Request'!$A:$A,'April 2026'!$D21,'2026 Time Off Request'!$L:$L,'April 2026'!S$6)</f>
        <v>0</v>
      </c>
      <c r="T21" s="148">
        <f>COUNTIFS('2026 Time Off Request'!$A:$A,'April 2026'!$D21,'2026 Time Off Request'!$L:$L,'April 2026'!T$6)</f>
        <v>0</v>
      </c>
      <c r="U21" s="148">
        <f>COUNTIFS('2026 Time Off Request'!$A:$A,'April 2026'!$D21,'2026 Time Off Request'!$L:$L,'April 2026'!U$6)</f>
        <v>0</v>
      </c>
      <c r="V21" s="148">
        <f>COUNTIFS('2026 Time Off Request'!$A:$A,'April 2026'!$D21,'2026 Time Off Request'!$L:$L,'April 2026'!V$6)</f>
        <v>0</v>
      </c>
      <c r="W21" s="147">
        <f>COUNTIFS('2026 Time Off Request'!$A:$A,'April 2026'!$D21,'2026 Time Off Request'!$L:$L,'April 2026'!W$6)</f>
        <v>0</v>
      </c>
      <c r="X21" s="147">
        <f>COUNTIFS('2026 Time Off Request'!$A:$A,'April 2026'!$D21,'2026 Time Off Request'!$L:$L,'April 2026'!X$6)</f>
        <v>0</v>
      </c>
      <c r="Y21" s="148">
        <f>COUNTIFS('2026 Time Off Request'!$A:$A,'April 2026'!$D21,'2026 Time Off Request'!$L:$L,'April 2026'!Y$6)</f>
        <v>0</v>
      </c>
      <c r="Z21" s="148">
        <f>COUNTIFS('2026 Time Off Request'!$A:$A,'April 2026'!$D21,'2026 Time Off Request'!$L:$L,'April 2026'!Z$6)</f>
        <v>0</v>
      </c>
      <c r="AA21" s="148">
        <f>COUNTIFS('2026 Time Off Request'!$A:$A,'April 2026'!$D21,'2026 Time Off Request'!$L:$L,'April 2026'!AA$6)</f>
        <v>0</v>
      </c>
      <c r="AB21" s="148">
        <f>COUNTIFS('2026 Time Off Request'!$A:$A,'April 2026'!$D21,'2026 Time Off Request'!$L:$L,'April 2026'!AB$6)</f>
        <v>0</v>
      </c>
      <c r="AC21" s="148">
        <f>COUNTIFS('2026 Time Off Request'!$A:$A,'April 2026'!$D21,'2026 Time Off Request'!$L:$L,'April 2026'!AC$6)</f>
        <v>0</v>
      </c>
      <c r="AD21" s="147">
        <f>COUNTIFS('2026 Time Off Request'!$A:$A,'April 2026'!$D21,'2026 Time Off Request'!$L:$L,'April 2026'!AD$6)</f>
        <v>0</v>
      </c>
      <c r="AE21" s="147">
        <f>COUNTIFS('2026 Time Off Request'!$A:$A,'April 2026'!$D21,'2026 Time Off Request'!$L:$L,'April 2026'!AE$6)</f>
        <v>0</v>
      </c>
      <c r="AF21" s="148">
        <f>COUNTIFS('2026 Time Off Request'!$A:$A,'April 2026'!$D21,'2026 Time Off Request'!$L:$L,'April 2026'!AF$6)</f>
        <v>0</v>
      </c>
      <c r="AG21" s="148">
        <f>COUNTIFS('2026 Time Off Request'!$A:$A,'April 2026'!$D21,'2026 Time Off Request'!$L:$L,'April 2026'!AG$6)</f>
        <v>0</v>
      </c>
      <c r="AH21" s="148">
        <f>COUNTIFS('2026 Time Off Request'!$A:$A,'April 2026'!$D21,'2026 Time Off Request'!$L:$L,'April 2026'!AH$6)</f>
        <v>0</v>
      </c>
      <c r="AI21" s="148">
        <f>COUNTIFS('2026 Time Off Request'!$A:$A,'April 2026'!$D21,'2026 Time Off Request'!$L:$L,'April 2026'!AI$6)</f>
        <v>0</v>
      </c>
    </row>
    <row r="22" spans="1:35" ht="15.75">
      <c r="A22" s="2">
        <v>16</v>
      </c>
      <c r="B22" s="209" t="s">
        <v>49</v>
      </c>
      <c r="C22" s="210" t="s">
        <v>50</v>
      </c>
      <c r="D22" s="215" t="s">
        <v>51</v>
      </c>
      <c r="E22" s="212">
        <f t="shared" si="2"/>
        <v>0</v>
      </c>
      <c r="F22" s="223">
        <f>COUNTIFS('2026 Time Off Request'!$A:$A,'April 2026'!$D22,'2026 Time Off Request'!$L:$L,'April 2026'!F$6)</f>
        <v>0</v>
      </c>
      <c r="G22" s="148">
        <f>COUNTIFS('2026 Time Off Request'!$A:$A,'April 2026'!$D22,'2026 Time Off Request'!$L:$L,'April 2026'!G$6)</f>
        <v>0</v>
      </c>
      <c r="H22" s="148">
        <f>COUNTIFS('2026 Time Off Request'!$A:$A,'April 2026'!$D22,'2026 Time Off Request'!$L:$L,'April 2026'!H$6)</f>
        <v>0</v>
      </c>
      <c r="I22" s="147">
        <f>COUNTIFS('2026 Time Off Request'!$A:$A,'April 2026'!$D22,'2026 Time Off Request'!$L:$L,'April 2026'!I$6)</f>
        <v>0</v>
      </c>
      <c r="J22" s="147">
        <f>COUNTIFS('2026 Time Off Request'!$A:$A,'April 2026'!$D22,'2026 Time Off Request'!$L:$L,'April 2026'!J$6)</f>
        <v>0</v>
      </c>
      <c r="K22" s="148">
        <f>COUNTIFS('2026 Time Off Request'!$A:$A,'April 2026'!$D22,'2026 Time Off Request'!$L:$L,'April 2026'!K$6)</f>
        <v>0</v>
      </c>
      <c r="L22" s="148">
        <f>COUNTIFS('2026 Time Off Request'!$A:$A,'April 2026'!$D22,'2026 Time Off Request'!$L:$L,'April 2026'!L$6)</f>
        <v>0</v>
      </c>
      <c r="M22" s="148">
        <f>COUNTIFS('2026 Time Off Request'!$A:$A,'April 2026'!$D22,'2026 Time Off Request'!$L:$L,'April 2026'!M$6)</f>
        <v>0</v>
      </c>
      <c r="N22" s="148">
        <f>COUNTIFS('2026 Time Off Request'!$A:$A,'April 2026'!$D22,'2026 Time Off Request'!$L:$L,'April 2026'!N$6)</f>
        <v>0</v>
      </c>
      <c r="O22" s="148">
        <f>COUNTIFS('2026 Time Off Request'!$A:$A,'April 2026'!$D22,'2026 Time Off Request'!$L:$L,'April 2026'!O$6)</f>
        <v>0</v>
      </c>
      <c r="P22" s="147">
        <f>COUNTIFS('2026 Time Off Request'!$A:$A,'April 2026'!$D22,'2026 Time Off Request'!$L:$L,'April 2026'!P$6)</f>
        <v>0</v>
      </c>
      <c r="Q22" s="147">
        <f>COUNTIFS('2026 Time Off Request'!$A:$A,'April 2026'!$D22,'2026 Time Off Request'!$L:$L,'April 2026'!Q$6)</f>
        <v>0</v>
      </c>
      <c r="R22" s="148">
        <f>COUNTIFS('2026 Time Off Request'!$A:$A,'April 2026'!$D22,'2026 Time Off Request'!$L:$L,'April 2026'!R$6)</f>
        <v>0</v>
      </c>
      <c r="S22" s="148">
        <f>COUNTIFS('2026 Time Off Request'!$A:$A,'April 2026'!$D22,'2026 Time Off Request'!$L:$L,'April 2026'!S$6)</f>
        <v>0</v>
      </c>
      <c r="T22" s="148">
        <f>COUNTIFS('2026 Time Off Request'!$A:$A,'April 2026'!$D22,'2026 Time Off Request'!$L:$L,'April 2026'!T$6)</f>
        <v>0</v>
      </c>
      <c r="U22" s="148">
        <f>COUNTIFS('2026 Time Off Request'!$A:$A,'April 2026'!$D22,'2026 Time Off Request'!$L:$L,'April 2026'!U$6)</f>
        <v>0</v>
      </c>
      <c r="V22" s="148">
        <f>COUNTIFS('2026 Time Off Request'!$A:$A,'April 2026'!$D22,'2026 Time Off Request'!$L:$L,'April 2026'!V$6)</f>
        <v>0</v>
      </c>
      <c r="W22" s="147">
        <f>COUNTIFS('2026 Time Off Request'!$A:$A,'April 2026'!$D22,'2026 Time Off Request'!$L:$L,'April 2026'!W$6)</f>
        <v>0</v>
      </c>
      <c r="X22" s="147">
        <f>COUNTIFS('2026 Time Off Request'!$A:$A,'April 2026'!$D22,'2026 Time Off Request'!$L:$L,'April 2026'!X$6)</f>
        <v>0</v>
      </c>
      <c r="Y22" s="148">
        <f>COUNTIFS('2026 Time Off Request'!$A:$A,'April 2026'!$D22,'2026 Time Off Request'!$L:$L,'April 2026'!Y$6)</f>
        <v>0</v>
      </c>
      <c r="Z22" s="148">
        <f>COUNTIFS('2026 Time Off Request'!$A:$A,'April 2026'!$D22,'2026 Time Off Request'!$L:$L,'April 2026'!Z$6)</f>
        <v>0</v>
      </c>
      <c r="AA22" s="148">
        <f>COUNTIFS('2026 Time Off Request'!$A:$A,'April 2026'!$D22,'2026 Time Off Request'!$L:$L,'April 2026'!AA$6)</f>
        <v>0</v>
      </c>
      <c r="AB22" s="148">
        <f>COUNTIFS('2026 Time Off Request'!$A:$A,'April 2026'!$D22,'2026 Time Off Request'!$L:$L,'April 2026'!AB$6)</f>
        <v>0</v>
      </c>
      <c r="AC22" s="148">
        <f>COUNTIFS('2026 Time Off Request'!$A:$A,'April 2026'!$D22,'2026 Time Off Request'!$L:$L,'April 2026'!AC$6)</f>
        <v>0</v>
      </c>
      <c r="AD22" s="147">
        <f>COUNTIFS('2026 Time Off Request'!$A:$A,'April 2026'!$D22,'2026 Time Off Request'!$L:$L,'April 2026'!AD$6)</f>
        <v>0</v>
      </c>
      <c r="AE22" s="147">
        <f>COUNTIFS('2026 Time Off Request'!$A:$A,'April 2026'!$D22,'2026 Time Off Request'!$L:$L,'April 2026'!AE$6)</f>
        <v>0</v>
      </c>
      <c r="AF22" s="148">
        <f>COUNTIFS('2026 Time Off Request'!$A:$A,'April 2026'!$D22,'2026 Time Off Request'!$L:$L,'April 2026'!AF$6)</f>
        <v>0</v>
      </c>
      <c r="AG22" s="148">
        <f>COUNTIFS('2026 Time Off Request'!$A:$A,'April 2026'!$D22,'2026 Time Off Request'!$L:$L,'April 2026'!AG$6)</f>
        <v>0</v>
      </c>
      <c r="AH22" s="148">
        <f>COUNTIFS('2026 Time Off Request'!$A:$A,'April 2026'!$D22,'2026 Time Off Request'!$L:$L,'April 2026'!AH$6)</f>
        <v>0</v>
      </c>
      <c r="AI22" s="148">
        <f>COUNTIFS('2026 Time Off Request'!$A:$A,'April 2026'!$D22,'2026 Time Off Request'!$L:$L,'April 2026'!AI$6)</f>
        <v>0</v>
      </c>
    </row>
    <row r="23" spans="1:35" ht="15.75">
      <c r="A23" s="2">
        <v>17</v>
      </c>
      <c r="B23" s="209" t="s">
        <v>45</v>
      </c>
      <c r="C23" s="210" t="s">
        <v>52</v>
      </c>
      <c r="D23" s="215" t="s">
        <v>53</v>
      </c>
      <c r="E23" s="212">
        <f t="shared" si="2"/>
        <v>0</v>
      </c>
      <c r="F23" s="223">
        <f>COUNTIFS('2026 Time Off Request'!$A:$A,'April 2026'!$D23,'2026 Time Off Request'!$L:$L,'April 2026'!F$6)</f>
        <v>0</v>
      </c>
      <c r="G23" s="148">
        <f>COUNTIFS('2026 Time Off Request'!$A:$A,'April 2026'!$D23,'2026 Time Off Request'!$L:$L,'April 2026'!G$6)</f>
        <v>0</v>
      </c>
      <c r="H23" s="148">
        <f>COUNTIFS('2026 Time Off Request'!$A:$A,'April 2026'!$D23,'2026 Time Off Request'!$L:$L,'April 2026'!H$6)</f>
        <v>0</v>
      </c>
      <c r="I23" s="147">
        <f>COUNTIFS('2026 Time Off Request'!$A:$A,'April 2026'!$D23,'2026 Time Off Request'!$L:$L,'April 2026'!I$6)</f>
        <v>0</v>
      </c>
      <c r="J23" s="147">
        <f>COUNTIFS('2026 Time Off Request'!$A:$A,'April 2026'!$D23,'2026 Time Off Request'!$L:$L,'April 2026'!J$6)</f>
        <v>0</v>
      </c>
      <c r="K23" s="148">
        <f>COUNTIFS('2026 Time Off Request'!$A:$A,'April 2026'!$D23,'2026 Time Off Request'!$L:$L,'April 2026'!K$6)</f>
        <v>0</v>
      </c>
      <c r="L23" s="148">
        <f>COUNTIFS('2026 Time Off Request'!$A:$A,'April 2026'!$D23,'2026 Time Off Request'!$L:$L,'April 2026'!L$6)</f>
        <v>0</v>
      </c>
      <c r="M23" s="148">
        <f>COUNTIFS('2026 Time Off Request'!$A:$A,'April 2026'!$D23,'2026 Time Off Request'!$L:$L,'April 2026'!M$6)</f>
        <v>0</v>
      </c>
      <c r="N23" s="148">
        <f>COUNTIFS('2026 Time Off Request'!$A:$A,'April 2026'!$D23,'2026 Time Off Request'!$L:$L,'April 2026'!N$6)</f>
        <v>0</v>
      </c>
      <c r="O23" s="148">
        <f>COUNTIFS('2026 Time Off Request'!$A:$A,'April 2026'!$D23,'2026 Time Off Request'!$L:$L,'April 2026'!O$6)</f>
        <v>0</v>
      </c>
      <c r="P23" s="147">
        <f>COUNTIFS('2026 Time Off Request'!$A:$A,'April 2026'!$D23,'2026 Time Off Request'!$L:$L,'April 2026'!P$6)</f>
        <v>0</v>
      </c>
      <c r="Q23" s="147">
        <f>COUNTIFS('2026 Time Off Request'!$A:$A,'April 2026'!$D23,'2026 Time Off Request'!$L:$L,'April 2026'!Q$6)</f>
        <v>0</v>
      </c>
      <c r="R23" s="148">
        <f>COUNTIFS('2026 Time Off Request'!$A:$A,'April 2026'!$D23,'2026 Time Off Request'!$L:$L,'April 2026'!R$6)</f>
        <v>0</v>
      </c>
      <c r="S23" s="148">
        <f>COUNTIFS('2026 Time Off Request'!$A:$A,'April 2026'!$D23,'2026 Time Off Request'!$L:$L,'April 2026'!S$6)</f>
        <v>0</v>
      </c>
      <c r="T23" s="148">
        <f>COUNTIFS('2026 Time Off Request'!$A:$A,'April 2026'!$D23,'2026 Time Off Request'!$L:$L,'April 2026'!T$6)</f>
        <v>0</v>
      </c>
      <c r="U23" s="148">
        <f>COUNTIFS('2026 Time Off Request'!$A:$A,'April 2026'!$D23,'2026 Time Off Request'!$L:$L,'April 2026'!U$6)</f>
        <v>0</v>
      </c>
      <c r="V23" s="148">
        <f>COUNTIFS('2026 Time Off Request'!$A:$A,'April 2026'!$D23,'2026 Time Off Request'!$L:$L,'April 2026'!V$6)</f>
        <v>0</v>
      </c>
      <c r="W23" s="147">
        <f>COUNTIFS('2026 Time Off Request'!$A:$A,'April 2026'!$D23,'2026 Time Off Request'!$L:$L,'April 2026'!W$6)</f>
        <v>0</v>
      </c>
      <c r="X23" s="147">
        <f>COUNTIFS('2026 Time Off Request'!$A:$A,'April 2026'!$D23,'2026 Time Off Request'!$L:$L,'April 2026'!X$6)</f>
        <v>0</v>
      </c>
      <c r="Y23" s="148">
        <f>COUNTIFS('2026 Time Off Request'!$A:$A,'April 2026'!$D23,'2026 Time Off Request'!$L:$L,'April 2026'!Y$6)</f>
        <v>0</v>
      </c>
      <c r="Z23" s="148">
        <f>COUNTIFS('2026 Time Off Request'!$A:$A,'April 2026'!$D23,'2026 Time Off Request'!$L:$L,'April 2026'!Z$6)</f>
        <v>0</v>
      </c>
      <c r="AA23" s="148">
        <f>COUNTIFS('2026 Time Off Request'!$A:$A,'April 2026'!$D23,'2026 Time Off Request'!$L:$L,'April 2026'!AA$6)</f>
        <v>0</v>
      </c>
      <c r="AB23" s="148">
        <f>COUNTIFS('2026 Time Off Request'!$A:$A,'April 2026'!$D23,'2026 Time Off Request'!$L:$L,'April 2026'!AB$6)</f>
        <v>0</v>
      </c>
      <c r="AC23" s="148">
        <f>COUNTIFS('2026 Time Off Request'!$A:$A,'April 2026'!$D23,'2026 Time Off Request'!$L:$L,'April 2026'!AC$6)</f>
        <v>0</v>
      </c>
      <c r="AD23" s="147">
        <f>COUNTIFS('2026 Time Off Request'!$A:$A,'April 2026'!$D23,'2026 Time Off Request'!$L:$L,'April 2026'!AD$6)</f>
        <v>0</v>
      </c>
      <c r="AE23" s="147">
        <f>COUNTIFS('2026 Time Off Request'!$A:$A,'April 2026'!$D23,'2026 Time Off Request'!$L:$L,'April 2026'!AE$6)</f>
        <v>0</v>
      </c>
      <c r="AF23" s="148">
        <f>COUNTIFS('2026 Time Off Request'!$A:$A,'April 2026'!$D23,'2026 Time Off Request'!$L:$L,'April 2026'!AF$6)</f>
        <v>0</v>
      </c>
      <c r="AG23" s="148">
        <f>COUNTIFS('2026 Time Off Request'!$A:$A,'April 2026'!$D23,'2026 Time Off Request'!$L:$L,'April 2026'!AG$6)</f>
        <v>0</v>
      </c>
      <c r="AH23" s="148">
        <f>COUNTIFS('2026 Time Off Request'!$A:$A,'April 2026'!$D23,'2026 Time Off Request'!$L:$L,'April 2026'!AH$6)</f>
        <v>0</v>
      </c>
      <c r="AI23" s="148">
        <f>COUNTIFS('2026 Time Off Request'!$A:$A,'April 2026'!$D23,'2026 Time Off Request'!$L:$L,'April 2026'!AI$6)</f>
        <v>0</v>
      </c>
    </row>
    <row r="24" spans="1:35" ht="15.75">
      <c r="A24" s="2"/>
      <c r="B24" s="209" t="s">
        <v>45</v>
      </c>
      <c r="C24" s="210" t="s">
        <v>52</v>
      </c>
      <c r="D24" s="215" t="s">
        <v>54</v>
      </c>
      <c r="E24" s="212">
        <f t="shared" ref="E24:E29" si="3">SUM(F24:AI24)</f>
        <v>0</v>
      </c>
      <c r="F24" s="223">
        <f>COUNTIFS('2026 Time Off Request'!$A:$A,'April 2026'!$D24,'2026 Time Off Request'!$L:$L,'April 2026'!F$6)</f>
        <v>0</v>
      </c>
      <c r="G24" s="148">
        <f>COUNTIFS('2026 Time Off Request'!$A:$A,'April 2026'!$D24,'2026 Time Off Request'!$L:$L,'April 2026'!G$6)</f>
        <v>0</v>
      </c>
      <c r="H24" s="148">
        <f>COUNTIFS('2026 Time Off Request'!$A:$A,'April 2026'!$D24,'2026 Time Off Request'!$L:$L,'April 2026'!H$6)</f>
        <v>0</v>
      </c>
      <c r="I24" s="147">
        <f>COUNTIFS('2026 Time Off Request'!$A:$A,'April 2026'!$D24,'2026 Time Off Request'!$L:$L,'April 2026'!I$6)</f>
        <v>0</v>
      </c>
      <c r="J24" s="147">
        <f>COUNTIFS('2026 Time Off Request'!$A:$A,'April 2026'!$D24,'2026 Time Off Request'!$L:$L,'April 2026'!J$6)</f>
        <v>0</v>
      </c>
      <c r="K24" s="148">
        <f>COUNTIFS('2026 Time Off Request'!$A:$A,'April 2026'!$D24,'2026 Time Off Request'!$L:$L,'April 2026'!K$6)</f>
        <v>0</v>
      </c>
      <c r="L24" s="148">
        <f>COUNTIFS('2026 Time Off Request'!$A:$A,'April 2026'!$D24,'2026 Time Off Request'!$L:$L,'April 2026'!L$6)</f>
        <v>0</v>
      </c>
      <c r="M24" s="148">
        <f>COUNTIFS('2026 Time Off Request'!$A:$A,'April 2026'!$D24,'2026 Time Off Request'!$L:$L,'April 2026'!M$6)</f>
        <v>0</v>
      </c>
      <c r="N24" s="148">
        <f>COUNTIFS('2026 Time Off Request'!$A:$A,'April 2026'!$D24,'2026 Time Off Request'!$L:$L,'April 2026'!N$6)</f>
        <v>0</v>
      </c>
      <c r="O24" s="148">
        <f>COUNTIFS('2026 Time Off Request'!$A:$A,'April 2026'!$D24,'2026 Time Off Request'!$L:$L,'April 2026'!O$6)</f>
        <v>0</v>
      </c>
      <c r="P24" s="147">
        <f>COUNTIFS('2026 Time Off Request'!$A:$A,'April 2026'!$D24,'2026 Time Off Request'!$L:$L,'April 2026'!P$6)</f>
        <v>0</v>
      </c>
      <c r="Q24" s="147">
        <f>COUNTIFS('2026 Time Off Request'!$A:$A,'April 2026'!$D24,'2026 Time Off Request'!$L:$L,'April 2026'!Q$6)</f>
        <v>0</v>
      </c>
      <c r="R24" s="148">
        <f>COUNTIFS('2026 Time Off Request'!$A:$A,'April 2026'!$D24,'2026 Time Off Request'!$L:$L,'April 2026'!R$6)</f>
        <v>0</v>
      </c>
      <c r="S24" s="148">
        <f>COUNTIFS('2026 Time Off Request'!$A:$A,'April 2026'!$D24,'2026 Time Off Request'!$L:$L,'April 2026'!S$6)</f>
        <v>0</v>
      </c>
      <c r="T24" s="148">
        <f>COUNTIFS('2026 Time Off Request'!$A:$A,'April 2026'!$D24,'2026 Time Off Request'!$L:$L,'April 2026'!T$6)</f>
        <v>0</v>
      </c>
      <c r="U24" s="148">
        <f>COUNTIFS('2026 Time Off Request'!$A:$A,'April 2026'!$D24,'2026 Time Off Request'!$L:$L,'April 2026'!U$6)</f>
        <v>0</v>
      </c>
      <c r="V24" s="148">
        <f>COUNTIFS('2026 Time Off Request'!$A:$A,'April 2026'!$D24,'2026 Time Off Request'!$L:$L,'April 2026'!V$6)</f>
        <v>0</v>
      </c>
      <c r="W24" s="147">
        <f>COUNTIFS('2026 Time Off Request'!$A:$A,'April 2026'!$D24,'2026 Time Off Request'!$L:$L,'April 2026'!W$6)</f>
        <v>0</v>
      </c>
      <c r="X24" s="147">
        <f>COUNTIFS('2026 Time Off Request'!$A:$A,'April 2026'!$D24,'2026 Time Off Request'!$L:$L,'April 2026'!X$6)</f>
        <v>0</v>
      </c>
      <c r="Y24" s="148">
        <f>COUNTIFS('2026 Time Off Request'!$A:$A,'April 2026'!$D24,'2026 Time Off Request'!$L:$L,'April 2026'!Y$6)</f>
        <v>0</v>
      </c>
      <c r="Z24" s="148">
        <f>COUNTIFS('2026 Time Off Request'!$A:$A,'April 2026'!$D24,'2026 Time Off Request'!$L:$L,'April 2026'!Z$6)</f>
        <v>0</v>
      </c>
      <c r="AA24" s="148">
        <f>COUNTIFS('2026 Time Off Request'!$A:$A,'April 2026'!$D24,'2026 Time Off Request'!$L:$L,'April 2026'!AA$6)</f>
        <v>0</v>
      </c>
      <c r="AB24" s="148">
        <f>COUNTIFS('2026 Time Off Request'!$A:$A,'April 2026'!$D24,'2026 Time Off Request'!$L:$L,'April 2026'!AB$6)</f>
        <v>0</v>
      </c>
      <c r="AC24" s="148">
        <f>COUNTIFS('2026 Time Off Request'!$A:$A,'April 2026'!$D24,'2026 Time Off Request'!$L:$L,'April 2026'!AC$6)</f>
        <v>0</v>
      </c>
      <c r="AD24" s="147">
        <f>COUNTIFS('2026 Time Off Request'!$A:$A,'April 2026'!$D24,'2026 Time Off Request'!$L:$L,'April 2026'!AD$6)</f>
        <v>0</v>
      </c>
      <c r="AE24" s="147">
        <f>COUNTIFS('2026 Time Off Request'!$A:$A,'April 2026'!$D24,'2026 Time Off Request'!$L:$L,'April 2026'!AE$6)</f>
        <v>0</v>
      </c>
      <c r="AF24" s="148">
        <f>COUNTIFS('2026 Time Off Request'!$A:$A,'April 2026'!$D24,'2026 Time Off Request'!$L:$L,'April 2026'!AF$6)</f>
        <v>0</v>
      </c>
      <c r="AG24" s="148">
        <f>COUNTIFS('2026 Time Off Request'!$A:$A,'April 2026'!$D24,'2026 Time Off Request'!$L:$L,'April 2026'!AG$6)</f>
        <v>0</v>
      </c>
      <c r="AH24" s="148">
        <f>COUNTIFS('2026 Time Off Request'!$A:$A,'April 2026'!$D24,'2026 Time Off Request'!$L:$L,'April 2026'!AH$6)</f>
        <v>0</v>
      </c>
      <c r="AI24" s="148">
        <f>COUNTIFS('2026 Time Off Request'!$A:$A,'April 2026'!$D24,'2026 Time Off Request'!$L:$L,'April 2026'!AI$6)</f>
        <v>0</v>
      </c>
    </row>
    <row r="25" spans="1:35" ht="15.75">
      <c r="A25" s="2">
        <v>18</v>
      </c>
      <c r="B25" s="209" t="s">
        <v>45</v>
      </c>
      <c r="C25" s="210" t="s">
        <v>55</v>
      </c>
      <c r="D25" s="215" t="s">
        <v>56</v>
      </c>
      <c r="E25" s="212">
        <f t="shared" si="3"/>
        <v>0</v>
      </c>
      <c r="F25" s="223">
        <f>COUNTIFS('2026 Time Off Request'!$A:$A,'April 2026'!$D25,'2026 Time Off Request'!$L:$L,'April 2026'!F$6)</f>
        <v>0</v>
      </c>
      <c r="G25" s="148">
        <f>COUNTIFS('2026 Time Off Request'!$A:$A,'April 2026'!$D25,'2026 Time Off Request'!$L:$L,'April 2026'!G$6)</f>
        <v>0</v>
      </c>
      <c r="H25" s="148">
        <f>COUNTIFS('2026 Time Off Request'!$A:$A,'April 2026'!$D25,'2026 Time Off Request'!$L:$L,'April 2026'!H$6)</f>
        <v>0</v>
      </c>
      <c r="I25" s="147">
        <f>COUNTIFS('2026 Time Off Request'!$A:$A,'April 2026'!$D25,'2026 Time Off Request'!$L:$L,'April 2026'!I$6)</f>
        <v>0</v>
      </c>
      <c r="J25" s="147">
        <f>COUNTIFS('2026 Time Off Request'!$A:$A,'April 2026'!$D25,'2026 Time Off Request'!$L:$L,'April 2026'!J$6)</f>
        <v>0</v>
      </c>
      <c r="K25" s="148">
        <f>COUNTIFS('2026 Time Off Request'!$A:$A,'April 2026'!$D25,'2026 Time Off Request'!$L:$L,'April 2026'!K$6)</f>
        <v>0</v>
      </c>
      <c r="L25" s="148">
        <f>COUNTIFS('2026 Time Off Request'!$A:$A,'April 2026'!$D25,'2026 Time Off Request'!$L:$L,'April 2026'!L$6)</f>
        <v>0</v>
      </c>
      <c r="M25" s="148">
        <f>COUNTIFS('2026 Time Off Request'!$A:$A,'April 2026'!$D25,'2026 Time Off Request'!$L:$L,'April 2026'!M$6)</f>
        <v>0</v>
      </c>
      <c r="N25" s="148">
        <f>COUNTIFS('2026 Time Off Request'!$A:$A,'April 2026'!$D25,'2026 Time Off Request'!$L:$L,'April 2026'!N$6)</f>
        <v>0</v>
      </c>
      <c r="O25" s="148">
        <f>COUNTIFS('2026 Time Off Request'!$A:$A,'April 2026'!$D25,'2026 Time Off Request'!$L:$L,'April 2026'!O$6)</f>
        <v>0</v>
      </c>
      <c r="P25" s="147">
        <f>COUNTIFS('2026 Time Off Request'!$A:$A,'April 2026'!$D25,'2026 Time Off Request'!$L:$L,'April 2026'!P$6)</f>
        <v>0</v>
      </c>
      <c r="Q25" s="147">
        <f>COUNTIFS('2026 Time Off Request'!$A:$A,'April 2026'!$D25,'2026 Time Off Request'!$L:$L,'April 2026'!Q$6)</f>
        <v>0</v>
      </c>
      <c r="R25" s="148">
        <f>COUNTIFS('2026 Time Off Request'!$A:$A,'April 2026'!$D25,'2026 Time Off Request'!$L:$L,'April 2026'!R$6)</f>
        <v>0</v>
      </c>
      <c r="S25" s="148">
        <f>COUNTIFS('2026 Time Off Request'!$A:$A,'April 2026'!$D25,'2026 Time Off Request'!$L:$L,'April 2026'!S$6)</f>
        <v>0</v>
      </c>
      <c r="T25" s="148">
        <f>COUNTIFS('2026 Time Off Request'!$A:$A,'April 2026'!$D25,'2026 Time Off Request'!$L:$L,'April 2026'!T$6)</f>
        <v>0</v>
      </c>
      <c r="U25" s="148">
        <f>COUNTIFS('2026 Time Off Request'!$A:$A,'April 2026'!$D25,'2026 Time Off Request'!$L:$L,'April 2026'!U$6)</f>
        <v>0</v>
      </c>
      <c r="V25" s="148">
        <f>COUNTIFS('2026 Time Off Request'!$A:$A,'April 2026'!$D25,'2026 Time Off Request'!$L:$L,'April 2026'!V$6)</f>
        <v>0</v>
      </c>
      <c r="W25" s="147">
        <f>COUNTIFS('2026 Time Off Request'!$A:$A,'April 2026'!$D25,'2026 Time Off Request'!$L:$L,'April 2026'!W$6)</f>
        <v>0</v>
      </c>
      <c r="X25" s="147">
        <f>COUNTIFS('2026 Time Off Request'!$A:$A,'April 2026'!$D25,'2026 Time Off Request'!$L:$L,'April 2026'!X$6)</f>
        <v>0</v>
      </c>
      <c r="Y25" s="148">
        <f>COUNTIFS('2026 Time Off Request'!$A:$A,'April 2026'!$D25,'2026 Time Off Request'!$L:$L,'April 2026'!Y$6)</f>
        <v>0</v>
      </c>
      <c r="Z25" s="148">
        <f>COUNTIFS('2026 Time Off Request'!$A:$A,'April 2026'!$D25,'2026 Time Off Request'!$L:$L,'April 2026'!Z$6)</f>
        <v>0</v>
      </c>
      <c r="AA25" s="148">
        <f>COUNTIFS('2026 Time Off Request'!$A:$A,'April 2026'!$D25,'2026 Time Off Request'!$L:$L,'April 2026'!AA$6)</f>
        <v>0</v>
      </c>
      <c r="AB25" s="148">
        <f>COUNTIFS('2026 Time Off Request'!$A:$A,'April 2026'!$D25,'2026 Time Off Request'!$L:$L,'April 2026'!AB$6)</f>
        <v>0</v>
      </c>
      <c r="AC25" s="148">
        <f>COUNTIFS('2026 Time Off Request'!$A:$A,'April 2026'!$D25,'2026 Time Off Request'!$L:$L,'April 2026'!AC$6)</f>
        <v>0</v>
      </c>
      <c r="AD25" s="147">
        <f>COUNTIFS('2026 Time Off Request'!$A:$A,'April 2026'!$D25,'2026 Time Off Request'!$L:$L,'April 2026'!AD$6)</f>
        <v>0</v>
      </c>
      <c r="AE25" s="147">
        <f>COUNTIFS('2026 Time Off Request'!$A:$A,'April 2026'!$D25,'2026 Time Off Request'!$L:$L,'April 2026'!AE$6)</f>
        <v>0</v>
      </c>
      <c r="AF25" s="148">
        <f>COUNTIFS('2026 Time Off Request'!$A:$A,'April 2026'!$D25,'2026 Time Off Request'!$L:$L,'April 2026'!AF$6)</f>
        <v>0</v>
      </c>
      <c r="AG25" s="148">
        <f>COUNTIFS('2026 Time Off Request'!$A:$A,'April 2026'!$D25,'2026 Time Off Request'!$L:$L,'April 2026'!AG$6)</f>
        <v>0</v>
      </c>
      <c r="AH25" s="148">
        <f>COUNTIFS('2026 Time Off Request'!$A:$A,'April 2026'!$D25,'2026 Time Off Request'!$L:$L,'April 2026'!AH$6)</f>
        <v>0</v>
      </c>
      <c r="AI25" s="148">
        <f>COUNTIFS('2026 Time Off Request'!$A:$A,'April 2026'!$D25,'2026 Time Off Request'!$L:$L,'April 2026'!AI$6)</f>
        <v>0</v>
      </c>
    </row>
    <row r="26" spans="1:35" ht="15.75">
      <c r="A26" s="2"/>
      <c r="B26" s="209" t="s">
        <v>45</v>
      </c>
      <c r="C26" s="210" t="s">
        <v>55</v>
      </c>
      <c r="D26" s="215" t="s">
        <v>57</v>
      </c>
      <c r="E26" s="212">
        <f t="shared" si="3"/>
        <v>0</v>
      </c>
      <c r="F26" s="223">
        <f>COUNTIFS('2026 Time Off Request'!$A:$A,'April 2026'!$D26,'2026 Time Off Request'!$L:$L,'April 2026'!F$6)</f>
        <v>0</v>
      </c>
      <c r="G26" s="148">
        <f>COUNTIFS('2026 Time Off Request'!$A:$A,'April 2026'!$D26,'2026 Time Off Request'!$L:$L,'April 2026'!G$6)</f>
        <v>0</v>
      </c>
      <c r="H26" s="148">
        <f>COUNTIFS('2026 Time Off Request'!$A:$A,'April 2026'!$D26,'2026 Time Off Request'!$L:$L,'April 2026'!H$6)</f>
        <v>0</v>
      </c>
      <c r="I26" s="147">
        <f>COUNTIFS('2026 Time Off Request'!$A:$A,'April 2026'!$D26,'2026 Time Off Request'!$L:$L,'April 2026'!I$6)</f>
        <v>0</v>
      </c>
      <c r="J26" s="147">
        <f>COUNTIFS('2026 Time Off Request'!$A:$A,'April 2026'!$D26,'2026 Time Off Request'!$L:$L,'April 2026'!J$6)</f>
        <v>0</v>
      </c>
      <c r="K26" s="148">
        <f>COUNTIFS('2026 Time Off Request'!$A:$A,'April 2026'!$D26,'2026 Time Off Request'!$L:$L,'April 2026'!K$6)</f>
        <v>0</v>
      </c>
      <c r="L26" s="148">
        <f>COUNTIFS('2026 Time Off Request'!$A:$A,'April 2026'!$D26,'2026 Time Off Request'!$L:$L,'April 2026'!L$6)</f>
        <v>0</v>
      </c>
      <c r="M26" s="148">
        <f>COUNTIFS('2026 Time Off Request'!$A:$A,'April 2026'!$D26,'2026 Time Off Request'!$L:$L,'April 2026'!M$6)</f>
        <v>0</v>
      </c>
      <c r="N26" s="148">
        <f>COUNTIFS('2026 Time Off Request'!$A:$A,'April 2026'!$D26,'2026 Time Off Request'!$L:$L,'April 2026'!N$6)</f>
        <v>0</v>
      </c>
      <c r="O26" s="148">
        <f>COUNTIFS('2026 Time Off Request'!$A:$A,'April 2026'!$D26,'2026 Time Off Request'!$L:$L,'April 2026'!O$6)</f>
        <v>0</v>
      </c>
      <c r="P26" s="147">
        <f>COUNTIFS('2026 Time Off Request'!$A:$A,'April 2026'!$D26,'2026 Time Off Request'!$L:$L,'April 2026'!P$6)</f>
        <v>0</v>
      </c>
      <c r="Q26" s="147">
        <f>COUNTIFS('2026 Time Off Request'!$A:$A,'April 2026'!$D26,'2026 Time Off Request'!$L:$L,'April 2026'!Q$6)</f>
        <v>0</v>
      </c>
      <c r="R26" s="148">
        <f>COUNTIFS('2026 Time Off Request'!$A:$A,'April 2026'!$D26,'2026 Time Off Request'!$L:$L,'April 2026'!R$6)</f>
        <v>0</v>
      </c>
      <c r="S26" s="148">
        <f>COUNTIFS('2026 Time Off Request'!$A:$A,'April 2026'!$D26,'2026 Time Off Request'!$L:$L,'April 2026'!S$6)</f>
        <v>0</v>
      </c>
      <c r="T26" s="148">
        <f>COUNTIFS('2026 Time Off Request'!$A:$A,'April 2026'!$D26,'2026 Time Off Request'!$L:$L,'April 2026'!T$6)</f>
        <v>0</v>
      </c>
      <c r="U26" s="148">
        <f>COUNTIFS('2026 Time Off Request'!$A:$A,'April 2026'!$D26,'2026 Time Off Request'!$L:$L,'April 2026'!U$6)</f>
        <v>0</v>
      </c>
      <c r="V26" s="148">
        <f>COUNTIFS('2026 Time Off Request'!$A:$A,'April 2026'!$D26,'2026 Time Off Request'!$L:$L,'April 2026'!V$6)</f>
        <v>0</v>
      </c>
      <c r="W26" s="147">
        <f>COUNTIFS('2026 Time Off Request'!$A:$A,'April 2026'!$D26,'2026 Time Off Request'!$L:$L,'April 2026'!W$6)</f>
        <v>0</v>
      </c>
      <c r="X26" s="147">
        <f>COUNTIFS('2026 Time Off Request'!$A:$A,'April 2026'!$D26,'2026 Time Off Request'!$L:$L,'April 2026'!X$6)</f>
        <v>0</v>
      </c>
      <c r="Y26" s="148">
        <f>COUNTIFS('2026 Time Off Request'!$A:$A,'April 2026'!$D26,'2026 Time Off Request'!$L:$L,'April 2026'!Y$6)</f>
        <v>0</v>
      </c>
      <c r="Z26" s="148">
        <f>COUNTIFS('2026 Time Off Request'!$A:$A,'April 2026'!$D26,'2026 Time Off Request'!$L:$L,'April 2026'!Z$6)</f>
        <v>0</v>
      </c>
      <c r="AA26" s="148">
        <f>COUNTIFS('2026 Time Off Request'!$A:$A,'April 2026'!$D26,'2026 Time Off Request'!$L:$L,'April 2026'!AA$6)</f>
        <v>0</v>
      </c>
      <c r="AB26" s="148">
        <f>COUNTIFS('2026 Time Off Request'!$A:$A,'April 2026'!$D26,'2026 Time Off Request'!$L:$L,'April 2026'!AB$6)</f>
        <v>0</v>
      </c>
      <c r="AC26" s="148">
        <f>COUNTIFS('2026 Time Off Request'!$A:$A,'April 2026'!$D26,'2026 Time Off Request'!$L:$L,'April 2026'!AC$6)</f>
        <v>0</v>
      </c>
      <c r="AD26" s="147">
        <f>COUNTIFS('2026 Time Off Request'!$A:$A,'April 2026'!$D26,'2026 Time Off Request'!$L:$L,'April 2026'!AD$6)</f>
        <v>0</v>
      </c>
      <c r="AE26" s="147">
        <f>COUNTIFS('2026 Time Off Request'!$A:$A,'April 2026'!$D26,'2026 Time Off Request'!$L:$L,'April 2026'!AE$6)</f>
        <v>0</v>
      </c>
      <c r="AF26" s="148">
        <f>COUNTIFS('2026 Time Off Request'!$A:$A,'April 2026'!$D26,'2026 Time Off Request'!$L:$L,'April 2026'!AF$6)</f>
        <v>0</v>
      </c>
      <c r="AG26" s="148">
        <f>COUNTIFS('2026 Time Off Request'!$A:$A,'April 2026'!$D26,'2026 Time Off Request'!$L:$L,'April 2026'!AG$6)</f>
        <v>0</v>
      </c>
      <c r="AH26" s="148">
        <f>COUNTIFS('2026 Time Off Request'!$A:$A,'April 2026'!$D26,'2026 Time Off Request'!$L:$L,'April 2026'!AH$6)</f>
        <v>0</v>
      </c>
      <c r="AI26" s="148">
        <f>COUNTIFS('2026 Time Off Request'!$A:$A,'April 2026'!$D26,'2026 Time Off Request'!$L:$L,'April 2026'!AI$6)</f>
        <v>0</v>
      </c>
    </row>
    <row r="27" spans="1:35" ht="15.75">
      <c r="A27" s="2">
        <v>19</v>
      </c>
      <c r="B27" s="209" t="s">
        <v>45</v>
      </c>
      <c r="C27" s="210" t="s">
        <v>58</v>
      </c>
      <c r="D27" s="215" t="s">
        <v>59</v>
      </c>
      <c r="E27" s="212">
        <f t="shared" si="3"/>
        <v>0</v>
      </c>
      <c r="F27" s="223">
        <f>COUNTIFS('2026 Time Off Request'!$A:$A,'April 2026'!$D27,'2026 Time Off Request'!$L:$L,'April 2026'!F$6)</f>
        <v>0</v>
      </c>
      <c r="G27" s="148">
        <f>COUNTIFS('2026 Time Off Request'!$A:$A,'April 2026'!$D27,'2026 Time Off Request'!$L:$L,'April 2026'!G$6)</f>
        <v>0</v>
      </c>
      <c r="H27" s="148">
        <f>COUNTIFS('2026 Time Off Request'!$A:$A,'April 2026'!$D27,'2026 Time Off Request'!$L:$L,'April 2026'!H$6)</f>
        <v>0</v>
      </c>
      <c r="I27" s="147">
        <f>COUNTIFS('2026 Time Off Request'!$A:$A,'April 2026'!$D27,'2026 Time Off Request'!$L:$L,'April 2026'!I$6)</f>
        <v>0</v>
      </c>
      <c r="J27" s="147">
        <f>COUNTIFS('2026 Time Off Request'!$A:$A,'April 2026'!$D27,'2026 Time Off Request'!$L:$L,'April 2026'!J$6)</f>
        <v>0</v>
      </c>
      <c r="K27" s="148">
        <f>COUNTIFS('2026 Time Off Request'!$A:$A,'April 2026'!$D27,'2026 Time Off Request'!$L:$L,'April 2026'!K$6)</f>
        <v>0</v>
      </c>
      <c r="L27" s="148">
        <f>COUNTIFS('2026 Time Off Request'!$A:$A,'April 2026'!$D27,'2026 Time Off Request'!$L:$L,'April 2026'!L$6)</f>
        <v>0</v>
      </c>
      <c r="M27" s="148">
        <f>COUNTIFS('2026 Time Off Request'!$A:$A,'April 2026'!$D27,'2026 Time Off Request'!$L:$L,'April 2026'!M$6)</f>
        <v>0</v>
      </c>
      <c r="N27" s="148">
        <f>COUNTIFS('2026 Time Off Request'!$A:$A,'April 2026'!$D27,'2026 Time Off Request'!$L:$L,'April 2026'!N$6)</f>
        <v>0</v>
      </c>
      <c r="O27" s="148">
        <f>COUNTIFS('2026 Time Off Request'!$A:$A,'April 2026'!$D27,'2026 Time Off Request'!$L:$L,'April 2026'!O$6)</f>
        <v>0</v>
      </c>
      <c r="P27" s="147">
        <f>COUNTIFS('2026 Time Off Request'!$A:$A,'April 2026'!$D27,'2026 Time Off Request'!$L:$L,'April 2026'!P$6)</f>
        <v>0</v>
      </c>
      <c r="Q27" s="147">
        <f>COUNTIFS('2026 Time Off Request'!$A:$A,'April 2026'!$D27,'2026 Time Off Request'!$L:$L,'April 2026'!Q$6)</f>
        <v>0</v>
      </c>
      <c r="R27" s="148">
        <f>COUNTIFS('2026 Time Off Request'!$A:$A,'April 2026'!$D27,'2026 Time Off Request'!$L:$L,'April 2026'!R$6)</f>
        <v>0</v>
      </c>
      <c r="S27" s="148">
        <f>COUNTIFS('2026 Time Off Request'!$A:$A,'April 2026'!$D27,'2026 Time Off Request'!$L:$L,'April 2026'!S$6)</f>
        <v>0</v>
      </c>
      <c r="T27" s="148">
        <f>COUNTIFS('2026 Time Off Request'!$A:$A,'April 2026'!$D27,'2026 Time Off Request'!$L:$L,'April 2026'!T$6)</f>
        <v>0</v>
      </c>
      <c r="U27" s="148">
        <f>COUNTIFS('2026 Time Off Request'!$A:$A,'April 2026'!$D27,'2026 Time Off Request'!$L:$L,'April 2026'!U$6)</f>
        <v>0</v>
      </c>
      <c r="V27" s="148">
        <f>COUNTIFS('2026 Time Off Request'!$A:$A,'April 2026'!$D27,'2026 Time Off Request'!$L:$L,'April 2026'!V$6)</f>
        <v>0</v>
      </c>
      <c r="W27" s="147">
        <f>COUNTIFS('2026 Time Off Request'!$A:$A,'April 2026'!$D27,'2026 Time Off Request'!$L:$L,'April 2026'!W$6)</f>
        <v>0</v>
      </c>
      <c r="X27" s="147">
        <f>COUNTIFS('2026 Time Off Request'!$A:$A,'April 2026'!$D27,'2026 Time Off Request'!$L:$L,'April 2026'!X$6)</f>
        <v>0</v>
      </c>
      <c r="Y27" s="148">
        <f>COUNTIFS('2026 Time Off Request'!$A:$A,'April 2026'!$D27,'2026 Time Off Request'!$L:$L,'April 2026'!Y$6)</f>
        <v>0</v>
      </c>
      <c r="Z27" s="148">
        <f>COUNTIFS('2026 Time Off Request'!$A:$A,'April 2026'!$D27,'2026 Time Off Request'!$L:$L,'April 2026'!Z$6)</f>
        <v>0</v>
      </c>
      <c r="AA27" s="148">
        <f>COUNTIFS('2026 Time Off Request'!$A:$A,'April 2026'!$D27,'2026 Time Off Request'!$L:$L,'April 2026'!AA$6)</f>
        <v>0</v>
      </c>
      <c r="AB27" s="148">
        <f>COUNTIFS('2026 Time Off Request'!$A:$A,'April 2026'!$D27,'2026 Time Off Request'!$L:$L,'April 2026'!AB$6)</f>
        <v>0</v>
      </c>
      <c r="AC27" s="148">
        <f>COUNTIFS('2026 Time Off Request'!$A:$A,'April 2026'!$D27,'2026 Time Off Request'!$L:$L,'April 2026'!AC$6)</f>
        <v>0</v>
      </c>
      <c r="AD27" s="147">
        <f>COUNTIFS('2026 Time Off Request'!$A:$A,'April 2026'!$D27,'2026 Time Off Request'!$L:$L,'April 2026'!AD$6)</f>
        <v>0</v>
      </c>
      <c r="AE27" s="147">
        <f>COUNTIFS('2026 Time Off Request'!$A:$A,'April 2026'!$D27,'2026 Time Off Request'!$L:$L,'April 2026'!AE$6)</f>
        <v>0</v>
      </c>
      <c r="AF27" s="148">
        <f>COUNTIFS('2026 Time Off Request'!$A:$A,'April 2026'!$D27,'2026 Time Off Request'!$L:$L,'April 2026'!AF$6)</f>
        <v>0</v>
      </c>
      <c r="AG27" s="148">
        <f>COUNTIFS('2026 Time Off Request'!$A:$A,'April 2026'!$D27,'2026 Time Off Request'!$L:$L,'April 2026'!AG$6)</f>
        <v>0</v>
      </c>
      <c r="AH27" s="148">
        <f>COUNTIFS('2026 Time Off Request'!$A:$A,'April 2026'!$D27,'2026 Time Off Request'!$L:$L,'April 2026'!AH$6)</f>
        <v>0</v>
      </c>
      <c r="AI27" s="148">
        <f>COUNTIFS('2026 Time Off Request'!$A:$A,'April 2026'!$D27,'2026 Time Off Request'!$L:$L,'April 2026'!AI$6)</f>
        <v>0</v>
      </c>
    </row>
    <row r="28" spans="1:35" ht="15.75">
      <c r="A28" s="2">
        <v>20</v>
      </c>
      <c r="B28" s="209" t="s">
        <v>45</v>
      </c>
      <c r="C28" s="210" t="s">
        <v>60</v>
      </c>
      <c r="D28" s="215" t="s">
        <v>61</v>
      </c>
      <c r="E28" s="212">
        <f t="shared" si="3"/>
        <v>0</v>
      </c>
      <c r="F28" s="223">
        <f>COUNTIFS('2026 Time Off Request'!$A:$A,'April 2026'!$D28,'2026 Time Off Request'!$L:$L,'April 2026'!F$6)</f>
        <v>0</v>
      </c>
      <c r="G28" s="148">
        <f>COUNTIFS('2026 Time Off Request'!$A:$A,'April 2026'!$D28,'2026 Time Off Request'!$L:$L,'April 2026'!G$6)</f>
        <v>0</v>
      </c>
      <c r="H28" s="148">
        <f>COUNTIFS('2026 Time Off Request'!$A:$A,'April 2026'!$D28,'2026 Time Off Request'!$L:$L,'April 2026'!H$6)</f>
        <v>0</v>
      </c>
      <c r="I28" s="147">
        <f>COUNTIFS('2026 Time Off Request'!$A:$A,'April 2026'!$D28,'2026 Time Off Request'!$L:$L,'April 2026'!I$6)</f>
        <v>0</v>
      </c>
      <c r="J28" s="147">
        <f>COUNTIFS('2026 Time Off Request'!$A:$A,'April 2026'!$D28,'2026 Time Off Request'!$L:$L,'April 2026'!J$6)</f>
        <v>0</v>
      </c>
      <c r="K28" s="148">
        <f>COUNTIFS('2026 Time Off Request'!$A:$A,'April 2026'!$D28,'2026 Time Off Request'!$L:$L,'April 2026'!K$6)</f>
        <v>0</v>
      </c>
      <c r="L28" s="148">
        <f>COUNTIFS('2026 Time Off Request'!$A:$A,'April 2026'!$D28,'2026 Time Off Request'!$L:$L,'April 2026'!L$6)</f>
        <v>0</v>
      </c>
      <c r="M28" s="148">
        <f>COUNTIFS('2026 Time Off Request'!$A:$A,'April 2026'!$D28,'2026 Time Off Request'!$L:$L,'April 2026'!M$6)</f>
        <v>0</v>
      </c>
      <c r="N28" s="148">
        <f>COUNTIFS('2026 Time Off Request'!$A:$A,'April 2026'!$D28,'2026 Time Off Request'!$L:$L,'April 2026'!N$6)</f>
        <v>0</v>
      </c>
      <c r="O28" s="148">
        <f>COUNTIFS('2026 Time Off Request'!$A:$A,'April 2026'!$D28,'2026 Time Off Request'!$L:$L,'April 2026'!O$6)</f>
        <v>0</v>
      </c>
      <c r="P28" s="147">
        <f>COUNTIFS('2026 Time Off Request'!$A:$A,'April 2026'!$D28,'2026 Time Off Request'!$L:$L,'April 2026'!P$6)</f>
        <v>0</v>
      </c>
      <c r="Q28" s="147">
        <f>COUNTIFS('2026 Time Off Request'!$A:$A,'April 2026'!$D28,'2026 Time Off Request'!$L:$L,'April 2026'!Q$6)</f>
        <v>0</v>
      </c>
      <c r="R28" s="148">
        <f>COUNTIFS('2026 Time Off Request'!$A:$A,'April 2026'!$D28,'2026 Time Off Request'!$L:$L,'April 2026'!R$6)</f>
        <v>0</v>
      </c>
      <c r="S28" s="148">
        <f>COUNTIFS('2026 Time Off Request'!$A:$A,'April 2026'!$D28,'2026 Time Off Request'!$L:$L,'April 2026'!S$6)</f>
        <v>0</v>
      </c>
      <c r="T28" s="148">
        <f>COUNTIFS('2026 Time Off Request'!$A:$A,'April 2026'!$D28,'2026 Time Off Request'!$L:$L,'April 2026'!T$6)</f>
        <v>0</v>
      </c>
      <c r="U28" s="148">
        <f>COUNTIFS('2026 Time Off Request'!$A:$A,'April 2026'!$D28,'2026 Time Off Request'!$L:$L,'April 2026'!U$6)</f>
        <v>0</v>
      </c>
      <c r="V28" s="148">
        <f>COUNTIFS('2026 Time Off Request'!$A:$A,'April 2026'!$D28,'2026 Time Off Request'!$L:$L,'April 2026'!V$6)</f>
        <v>0</v>
      </c>
      <c r="W28" s="147">
        <f>COUNTIFS('2026 Time Off Request'!$A:$A,'April 2026'!$D28,'2026 Time Off Request'!$L:$L,'April 2026'!W$6)</f>
        <v>0</v>
      </c>
      <c r="X28" s="147">
        <f>COUNTIFS('2026 Time Off Request'!$A:$A,'April 2026'!$D28,'2026 Time Off Request'!$L:$L,'April 2026'!X$6)</f>
        <v>0</v>
      </c>
      <c r="Y28" s="148">
        <f>COUNTIFS('2026 Time Off Request'!$A:$A,'April 2026'!$D28,'2026 Time Off Request'!$L:$L,'April 2026'!Y$6)</f>
        <v>0</v>
      </c>
      <c r="Z28" s="148">
        <f>COUNTIFS('2026 Time Off Request'!$A:$A,'April 2026'!$D28,'2026 Time Off Request'!$L:$L,'April 2026'!Z$6)</f>
        <v>0</v>
      </c>
      <c r="AA28" s="148">
        <f>COUNTIFS('2026 Time Off Request'!$A:$A,'April 2026'!$D28,'2026 Time Off Request'!$L:$L,'April 2026'!AA$6)</f>
        <v>0</v>
      </c>
      <c r="AB28" s="148">
        <f>COUNTIFS('2026 Time Off Request'!$A:$A,'April 2026'!$D28,'2026 Time Off Request'!$L:$L,'April 2026'!AB$6)</f>
        <v>0</v>
      </c>
      <c r="AC28" s="148">
        <f>COUNTIFS('2026 Time Off Request'!$A:$A,'April 2026'!$D28,'2026 Time Off Request'!$L:$L,'April 2026'!AC$6)</f>
        <v>0</v>
      </c>
      <c r="AD28" s="147">
        <f>COUNTIFS('2026 Time Off Request'!$A:$A,'April 2026'!$D28,'2026 Time Off Request'!$L:$L,'April 2026'!AD$6)</f>
        <v>0</v>
      </c>
      <c r="AE28" s="147">
        <f>COUNTIFS('2026 Time Off Request'!$A:$A,'April 2026'!$D28,'2026 Time Off Request'!$L:$L,'April 2026'!AE$6)</f>
        <v>0</v>
      </c>
      <c r="AF28" s="148">
        <f>COUNTIFS('2026 Time Off Request'!$A:$A,'April 2026'!$D28,'2026 Time Off Request'!$L:$L,'April 2026'!AF$6)</f>
        <v>0</v>
      </c>
      <c r="AG28" s="148">
        <f>COUNTIFS('2026 Time Off Request'!$A:$A,'April 2026'!$D28,'2026 Time Off Request'!$L:$L,'April 2026'!AG$6)</f>
        <v>0</v>
      </c>
      <c r="AH28" s="148">
        <f>COUNTIFS('2026 Time Off Request'!$A:$A,'April 2026'!$D28,'2026 Time Off Request'!$L:$L,'April 2026'!AH$6)</f>
        <v>0</v>
      </c>
      <c r="AI28" s="148">
        <f>COUNTIFS('2026 Time Off Request'!$A:$A,'April 2026'!$D28,'2026 Time Off Request'!$L:$L,'April 2026'!AI$6)</f>
        <v>0</v>
      </c>
    </row>
    <row r="29" spans="1:35" ht="15.75">
      <c r="A29" s="2"/>
      <c r="B29" s="209" t="s">
        <v>45</v>
      </c>
      <c r="C29" s="210" t="s">
        <v>62</v>
      </c>
      <c r="D29" s="215" t="s">
        <v>63</v>
      </c>
      <c r="E29" s="212">
        <f t="shared" si="3"/>
        <v>0</v>
      </c>
      <c r="F29" s="223">
        <f>COUNTIFS('2026 Time Off Request'!$A:$A,'April 2026'!$D29,'2026 Time Off Request'!$L:$L,'April 2026'!F$6)</f>
        <v>0</v>
      </c>
      <c r="G29" s="148">
        <f>COUNTIFS('2026 Time Off Request'!$A:$A,'April 2026'!$D29,'2026 Time Off Request'!$L:$L,'April 2026'!G$6)</f>
        <v>0</v>
      </c>
      <c r="H29" s="148">
        <f>COUNTIFS('2026 Time Off Request'!$A:$A,'April 2026'!$D29,'2026 Time Off Request'!$L:$L,'April 2026'!H$6)</f>
        <v>0</v>
      </c>
      <c r="I29" s="147">
        <f>COUNTIFS('2026 Time Off Request'!$A:$A,'April 2026'!$D29,'2026 Time Off Request'!$L:$L,'April 2026'!I$6)</f>
        <v>0</v>
      </c>
      <c r="J29" s="147">
        <f>COUNTIFS('2026 Time Off Request'!$A:$A,'April 2026'!$D29,'2026 Time Off Request'!$L:$L,'April 2026'!J$6)</f>
        <v>0</v>
      </c>
      <c r="K29" s="148">
        <f>COUNTIFS('2026 Time Off Request'!$A:$A,'April 2026'!$D29,'2026 Time Off Request'!$L:$L,'April 2026'!K$6)</f>
        <v>0</v>
      </c>
      <c r="L29" s="148">
        <f>COUNTIFS('2026 Time Off Request'!$A:$A,'April 2026'!$D29,'2026 Time Off Request'!$L:$L,'April 2026'!L$6)</f>
        <v>0</v>
      </c>
      <c r="M29" s="148">
        <f>COUNTIFS('2026 Time Off Request'!$A:$A,'April 2026'!$D29,'2026 Time Off Request'!$L:$L,'April 2026'!M$6)</f>
        <v>0</v>
      </c>
      <c r="N29" s="148">
        <f>COUNTIFS('2026 Time Off Request'!$A:$A,'April 2026'!$D29,'2026 Time Off Request'!$L:$L,'April 2026'!N$6)</f>
        <v>0</v>
      </c>
      <c r="O29" s="148">
        <f>COUNTIFS('2026 Time Off Request'!$A:$A,'April 2026'!$D29,'2026 Time Off Request'!$L:$L,'April 2026'!O$6)</f>
        <v>0</v>
      </c>
      <c r="P29" s="147">
        <f>COUNTIFS('2026 Time Off Request'!$A:$A,'April 2026'!$D29,'2026 Time Off Request'!$L:$L,'April 2026'!P$6)</f>
        <v>0</v>
      </c>
      <c r="Q29" s="147">
        <f>COUNTIFS('2026 Time Off Request'!$A:$A,'April 2026'!$D29,'2026 Time Off Request'!$L:$L,'April 2026'!Q$6)</f>
        <v>0</v>
      </c>
      <c r="R29" s="148">
        <f>COUNTIFS('2026 Time Off Request'!$A:$A,'April 2026'!$D29,'2026 Time Off Request'!$L:$L,'April 2026'!R$6)</f>
        <v>0</v>
      </c>
      <c r="S29" s="148">
        <f>COUNTIFS('2026 Time Off Request'!$A:$A,'April 2026'!$D29,'2026 Time Off Request'!$L:$L,'April 2026'!S$6)</f>
        <v>0</v>
      </c>
      <c r="T29" s="148">
        <f>COUNTIFS('2026 Time Off Request'!$A:$A,'April 2026'!$D29,'2026 Time Off Request'!$L:$L,'April 2026'!T$6)</f>
        <v>0</v>
      </c>
      <c r="U29" s="148">
        <f>COUNTIFS('2026 Time Off Request'!$A:$A,'April 2026'!$D29,'2026 Time Off Request'!$L:$L,'April 2026'!U$6)</f>
        <v>0</v>
      </c>
      <c r="V29" s="148">
        <f>COUNTIFS('2026 Time Off Request'!$A:$A,'April 2026'!$D29,'2026 Time Off Request'!$L:$L,'April 2026'!V$6)</f>
        <v>0</v>
      </c>
      <c r="W29" s="147">
        <f>COUNTIFS('2026 Time Off Request'!$A:$A,'April 2026'!$D29,'2026 Time Off Request'!$L:$L,'April 2026'!W$6)</f>
        <v>0</v>
      </c>
      <c r="X29" s="147">
        <f>COUNTIFS('2026 Time Off Request'!$A:$A,'April 2026'!$D29,'2026 Time Off Request'!$L:$L,'April 2026'!X$6)</f>
        <v>0</v>
      </c>
      <c r="Y29" s="148">
        <f>COUNTIFS('2026 Time Off Request'!$A:$A,'April 2026'!$D29,'2026 Time Off Request'!$L:$L,'April 2026'!Y$6)</f>
        <v>0</v>
      </c>
      <c r="Z29" s="148">
        <f>COUNTIFS('2026 Time Off Request'!$A:$A,'April 2026'!$D29,'2026 Time Off Request'!$L:$L,'April 2026'!Z$6)</f>
        <v>0</v>
      </c>
      <c r="AA29" s="148">
        <f>COUNTIFS('2026 Time Off Request'!$A:$A,'April 2026'!$D29,'2026 Time Off Request'!$L:$L,'April 2026'!AA$6)</f>
        <v>0</v>
      </c>
      <c r="AB29" s="148">
        <f>COUNTIFS('2026 Time Off Request'!$A:$A,'April 2026'!$D29,'2026 Time Off Request'!$L:$L,'April 2026'!AB$6)</f>
        <v>0</v>
      </c>
      <c r="AC29" s="148">
        <f>COUNTIFS('2026 Time Off Request'!$A:$A,'April 2026'!$D29,'2026 Time Off Request'!$L:$L,'April 2026'!AC$6)</f>
        <v>0</v>
      </c>
      <c r="AD29" s="147">
        <f>COUNTIFS('2026 Time Off Request'!$A:$A,'April 2026'!$D29,'2026 Time Off Request'!$L:$L,'April 2026'!AD$6)</f>
        <v>0</v>
      </c>
      <c r="AE29" s="147">
        <f>COUNTIFS('2026 Time Off Request'!$A:$A,'April 2026'!$D29,'2026 Time Off Request'!$L:$L,'April 2026'!AE$6)</f>
        <v>0</v>
      </c>
      <c r="AF29" s="148">
        <f>COUNTIFS('2026 Time Off Request'!$A:$A,'April 2026'!$D29,'2026 Time Off Request'!$L:$L,'April 2026'!AF$6)</f>
        <v>0</v>
      </c>
      <c r="AG29" s="148">
        <f>COUNTIFS('2026 Time Off Request'!$A:$A,'April 2026'!$D29,'2026 Time Off Request'!$L:$L,'April 2026'!AG$6)</f>
        <v>0</v>
      </c>
      <c r="AH29" s="148">
        <f>COUNTIFS('2026 Time Off Request'!$A:$A,'April 2026'!$D29,'2026 Time Off Request'!$L:$L,'April 2026'!AH$6)</f>
        <v>0</v>
      </c>
      <c r="AI29" s="148">
        <f>COUNTIFS('2026 Time Off Request'!$A:$A,'April 2026'!$D29,'2026 Time Off Request'!$L:$L,'April 2026'!AI$6)</f>
        <v>0</v>
      </c>
    </row>
    <row r="30" spans="1:35" ht="15.75">
      <c r="A30" s="2">
        <v>21</v>
      </c>
      <c r="B30" s="209" t="s">
        <v>49</v>
      </c>
      <c r="C30" s="210" t="s">
        <v>64</v>
      </c>
      <c r="D30" s="215" t="s">
        <v>65</v>
      </c>
      <c r="E30" s="212">
        <f t="shared" si="2"/>
        <v>0</v>
      </c>
      <c r="F30" s="223">
        <f>COUNTIFS('2026 Time Off Request'!$A:$A,'April 2026'!$D30,'2026 Time Off Request'!$L:$L,'April 2026'!F$6)</f>
        <v>0</v>
      </c>
      <c r="G30" s="148">
        <f>COUNTIFS('2026 Time Off Request'!$A:$A,'April 2026'!$D30,'2026 Time Off Request'!$L:$L,'April 2026'!G$6)</f>
        <v>0</v>
      </c>
      <c r="H30" s="148">
        <f>COUNTIFS('2026 Time Off Request'!$A:$A,'April 2026'!$D30,'2026 Time Off Request'!$L:$L,'April 2026'!H$6)</f>
        <v>0</v>
      </c>
      <c r="I30" s="147">
        <f>COUNTIFS('2026 Time Off Request'!$A:$A,'April 2026'!$D30,'2026 Time Off Request'!$L:$L,'April 2026'!I$6)</f>
        <v>0</v>
      </c>
      <c r="J30" s="147">
        <f>COUNTIFS('2026 Time Off Request'!$A:$A,'April 2026'!$D30,'2026 Time Off Request'!$L:$L,'April 2026'!J$6)</f>
        <v>0</v>
      </c>
      <c r="K30" s="148">
        <f>COUNTIFS('2026 Time Off Request'!$A:$A,'April 2026'!$D30,'2026 Time Off Request'!$L:$L,'April 2026'!K$6)</f>
        <v>0</v>
      </c>
      <c r="L30" s="148">
        <f>COUNTIFS('2026 Time Off Request'!$A:$A,'April 2026'!$D30,'2026 Time Off Request'!$L:$L,'April 2026'!L$6)</f>
        <v>0</v>
      </c>
      <c r="M30" s="148">
        <f>COUNTIFS('2026 Time Off Request'!$A:$A,'April 2026'!$D30,'2026 Time Off Request'!$L:$L,'April 2026'!M$6)</f>
        <v>0</v>
      </c>
      <c r="N30" s="148">
        <f>COUNTIFS('2026 Time Off Request'!$A:$A,'April 2026'!$D30,'2026 Time Off Request'!$L:$L,'April 2026'!N$6)</f>
        <v>0</v>
      </c>
      <c r="O30" s="148">
        <f>COUNTIFS('2026 Time Off Request'!$A:$A,'April 2026'!$D30,'2026 Time Off Request'!$L:$L,'April 2026'!O$6)</f>
        <v>0</v>
      </c>
      <c r="P30" s="147">
        <f>COUNTIFS('2026 Time Off Request'!$A:$A,'April 2026'!$D30,'2026 Time Off Request'!$L:$L,'April 2026'!P$6)</f>
        <v>0</v>
      </c>
      <c r="Q30" s="147">
        <f>COUNTIFS('2026 Time Off Request'!$A:$A,'April 2026'!$D30,'2026 Time Off Request'!$L:$L,'April 2026'!Q$6)</f>
        <v>0</v>
      </c>
      <c r="R30" s="148">
        <f>COUNTIFS('2026 Time Off Request'!$A:$A,'April 2026'!$D30,'2026 Time Off Request'!$L:$L,'April 2026'!R$6)</f>
        <v>0</v>
      </c>
      <c r="S30" s="148">
        <f>COUNTIFS('2026 Time Off Request'!$A:$A,'April 2026'!$D30,'2026 Time Off Request'!$L:$L,'April 2026'!S$6)</f>
        <v>0</v>
      </c>
      <c r="T30" s="148">
        <f>COUNTIFS('2026 Time Off Request'!$A:$A,'April 2026'!$D30,'2026 Time Off Request'!$L:$L,'April 2026'!T$6)</f>
        <v>0</v>
      </c>
      <c r="U30" s="148">
        <f>COUNTIFS('2026 Time Off Request'!$A:$A,'April 2026'!$D30,'2026 Time Off Request'!$L:$L,'April 2026'!U$6)</f>
        <v>0</v>
      </c>
      <c r="V30" s="148">
        <f>COUNTIFS('2026 Time Off Request'!$A:$A,'April 2026'!$D30,'2026 Time Off Request'!$L:$L,'April 2026'!V$6)</f>
        <v>0</v>
      </c>
      <c r="W30" s="147">
        <f>COUNTIFS('2026 Time Off Request'!$A:$A,'April 2026'!$D30,'2026 Time Off Request'!$L:$L,'April 2026'!W$6)</f>
        <v>0</v>
      </c>
      <c r="X30" s="147">
        <f>COUNTIFS('2026 Time Off Request'!$A:$A,'April 2026'!$D30,'2026 Time Off Request'!$L:$L,'April 2026'!X$6)</f>
        <v>0</v>
      </c>
      <c r="Y30" s="148">
        <f>COUNTIFS('2026 Time Off Request'!$A:$A,'April 2026'!$D30,'2026 Time Off Request'!$L:$L,'April 2026'!Y$6)</f>
        <v>0</v>
      </c>
      <c r="Z30" s="148">
        <f>COUNTIFS('2026 Time Off Request'!$A:$A,'April 2026'!$D30,'2026 Time Off Request'!$L:$L,'April 2026'!Z$6)</f>
        <v>0</v>
      </c>
      <c r="AA30" s="148">
        <f>COUNTIFS('2026 Time Off Request'!$A:$A,'April 2026'!$D30,'2026 Time Off Request'!$L:$L,'April 2026'!AA$6)</f>
        <v>0</v>
      </c>
      <c r="AB30" s="148">
        <f>COUNTIFS('2026 Time Off Request'!$A:$A,'April 2026'!$D30,'2026 Time Off Request'!$L:$L,'April 2026'!AB$6)</f>
        <v>0</v>
      </c>
      <c r="AC30" s="148">
        <f>COUNTIFS('2026 Time Off Request'!$A:$A,'April 2026'!$D30,'2026 Time Off Request'!$L:$L,'April 2026'!AC$6)</f>
        <v>0</v>
      </c>
      <c r="AD30" s="147">
        <f>COUNTIFS('2026 Time Off Request'!$A:$A,'April 2026'!$D30,'2026 Time Off Request'!$L:$L,'April 2026'!AD$6)</f>
        <v>0</v>
      </c>
      <c r="AE30" s="147">
        <f>COUNTIFS('2026 Time Off Request'!$A:$A,'April 2026'!$D30,'2026 Time Off Request'!$L:$L,'April 2026'!AE$6)</f>
        <v>0</v>
      </c>
      <c r="AF30" s="148">
        <f>COUNTIFS('2026 Time Off Request'!$A:$A,'April 2026'!$D30,'2026 Time Off Request'!$L:$L,'April 2026'!AF$6)</f>
        <v>0</v>
      </c>
      <c r="AG30" s="148">
        <f>COUNTIFS('2026 Time Off Request'!$A:$A,'April 2026'!$D30,'2026 Time Off Request'!$L:$L,'April 2026'!AG$6)</f>
        <v>0</v>
      </c>
      <c r="AH30" s="148">
        <f>COUNTIFS('2026 Time Off Request'!$A:$A,'April 2026'!$D30,'2026 Time Off Request'!$L:$L,'April 2026'!AH$6)</f>
        <v>0</v>
      </c>
      <c r="AI30" s="148">
        <f>COUNTIFS('2026 Time Off Request'!$A:$A,'April 2026'!$D30,'2026 Time Off Request'!$L:$L,'April 2026'!AI$6)</f>
        <v>0</v>
      </c>
    </row>
    <row r="31" spans="1:35" ht="15.75">
      <c r="A31" s="2">
        <v>22</v>
      </c>
      <c r="B31" s="209" t="s">
        <v>49</v>
      </c>
      <c r="C31" s="210" t="s">
        <v>66</v>
      </c>
      <c r="D31" s="215" t="s">
        <v>67</v>
      </c>
      <c r="E31" s="212">
        <f t="shared" si="2"/>
        <v>0</v>
      </c>
      <c r="F31" s="223">
        <f>COUNTIFS('2026 Time Off Request'!$A:$A,'April 2026'!$D31,'2026 Time Off Request'!$L:$L,'April 2026'!F$6)</f>
        <v>0</v>
      </c>
      <c r="G31" s="148">
        <f>COUNTIFS('2026 Time Off Request'!$A:$A,'April 2026'!$D31,'2026 Time Off Request'!$L:$L,'April 2026'!G$6)</f>
        <v>0</v>
      </c>
      <c r="H31" s="148">
        <f>COUNTIFS('2026 Time Off Request'!$A:$A,'April 2026'!$D31,'2026 Time Off Request'!$L:$L,'April 2026'!H$6)</f>
        <v>0</v>
      </c>
      <c r="I31" s="147">
        <f>COUNTIFS('2026 Time Off Request'!$A:$A,'April 2026'!$D31,'2026 Time Off Request'!$L:$L,'April 2026'!I$6)</f>
        <v>0</v>
      </c>
      <c r="J31" s="147">
        <f>COUNTIFS('2026 Time Off Request'!$A:$A,'April 2026'!$D31,'2026 Time Off Request'!$L:$L,'April 2026'!J$6)</f>
        <v>0</v>
      </c>
      <c r="K31" s="148">
        <f>COUNTIFS('2026 Time Off Request'!$A:$A,'April 2026'!$D31,'2026 Time Off Request'!$L:$L,'April 2026'!K$6)</f>
        <v>0</v>
      </c>
      <c r="L31" s="148">
        <f>COUNTIFS('2026 Time Off Request'!$A:$A,'April 2026'!$D31,'2026 Time Off Request'!$L:$L,'April 2026'!L$6)</f>
        <v>0</v>
      </c>
      <c r="M31" s="148">
        <f>COUNTIFS('2026 Time Off Request'!$A:$A,'April 2026'!$D31,'2026 Time Off Request'!$L:$L,'April 2026'!M$6)</f>
        <v>0</v>
      </c>
      <c r="N31" s="148">
        <f>COUNTIFS('2026 Time Off Request'!$A:$A,'April 2026'!$D31,'2026 Time Off Request'!$L:$L,'April 2026'!N$6)</f>
        <v>0</v>
      </c>
      <c r="O31" s="148">
        <f>COUNTIFS('2026 Time Off Request'!$A:$A,'April 2026'!$D31,'2026 Time Off Request'!$L:$L,'April 2026'!O$6)</f>
        <v>0</v>
      </c>
      <c r="P31" s="147">
        <f>COUNTIFS('2026 Time Off Request'!$A:$A,'April 2026'!$D31,'2026 Time Off Request'!$L:$L,'April 2026'!P$6)</f>
        <v>0</v>
      </c>
      <c r="Q31" s="147">
        <f>COUNTIFS('2026 Time Off Request'!$A:$A,'April 2026'!$D31,'2026 Time Off Request'!$L:$L,'April 2026'!Q$6)</f>
        <v>0</v>
      </c>
      <c r="R31" s="148">
        <f>COUNTIFS('2026 Time Off Request'!$A:$A,'April 2026'!$D31,'2026 Time Off Request'!$L:$L,'April 2026'!R$6)</f>
        <v>0</v>
      </c>
      <c r="S31" s="148">
        <f>COUNTIFS('2026 Time Off Request'!$A:$A,'April 2026'!$D31,'2026 Time Off Request'!$L:$L,'April 2026'!S$6)</f>
        <v>0</v>
      </c>
      <c r="T31" s="148">
        <f>COUNTIFS('2026 Time Off Request'!$A:$A,'April 2026'!$D31,'2026 Time Off Request'!$L:$L,'April 2026'!T$6)</f>
        <v>0</v>
      </c>
      <c r="U31" s="148">
        <f>COUNTIFS('2026 Time Off Request'!$A:$A,'April 2026'!$D31,'2026 Time Off Request'!$L:$L,'April 2026'!U$6)</f>
        <v>0</v>
      </c>
      <c r="V31" s="148">
        <f>COUNTIFS('2026 Time Off Request'!$A:$A,'April 2026'!$D31,'2026 Time Off Request'!$L:$L,'April 2026'!V$6)</f>
        <v>0</v>
      </c>
      <c r="W31" s="147">
        <f>COUNTIFS('2026 Time Off Request'!$A:$A,'April 2026'!$D31,'2026 Time Off Request'!$L:$L,'April 2026'!W$6)</f>
        <v>0</v>
      </c>
      <c r="X31" s="147">
        <f>COUNTIFS('2026 Time Off Request'!$A:$A,'April 2026'!$D31,'2026 Time Off Request'!$L:$L,'April 2026'!X$6)</f>
        <v>0</v>
      </c>
      <c r="Y31" s="148">
        <f>COUNTIFS('2026 Time Off Request'!$A:$A,'April 2026'!$D31,'2026 Time Off Request'!$L:$L,'April 2026'!Y$6)</f>
        <v>0</v>
      </c>
      <c r="Z31" s="148">
        <f>COUNTIFS('2026 Time Off Request'!$A:$A,'April 2026'!$D31,'2026 Time Off Request'!$L:$L,'April 2026'!Z$6)</f>
        <v>0</v>
      </c>
      <c r="AA31" s="148">
        <f>COUNTIFS('2026 Time Off Request'!$A:$A,'April 2026'!$D31,'2026 Time Off Request'!$L:$L,'April 2026'!AA$6)</f>
        <v>0</v>
      </c>
      <c r="AB31" s="148">
        <f>COUNTIFS('2026 Time Off Request'!$A:$A,'April 2026'!$D31,'2026 Time Off Request'!$L:$L,'April 2026'!AB$6)</f>
        <v>0</v>
      </c>
      <c r="AC31" s="148">
        <f>COUNTIFS('2026 Time Off Request'!$A:$A,'April 2026'!$D31,'2026 Time Off Request'!$L:$L,'April 2026'!AC$6)</f>
        <v>0</v>
      </c>
      <c r="AD31" s="147">
        <f>COUNTIFS('2026 Time Off Request'!$A:$A,'April 2026'!$D31,'2026 Time Off Request'!$L:$L,'April 2026'!AD$6)</f>
        <v>0</v>
      </c>
      <c r="AE31" s="147">
        <f>COUNTIFS('2026 Time Off Request'!$A:$A,'April 2026'!$D31,'2026 Time Off Request'!$L:$L,'April 2026'!AE$6)</f>
        <v>0</v>
      </c>
      <c r="AF31" s="148">
        <f>COUNTIFS('2026 Time Off Request'!$A:$A,'April 2026'!$D31,'2026 Time Off Request'!$L:$L,'April 2026'!AF$6)</f>
        <v>0</v>
      </c>
      <c r="AG31" s="148">
        <f>COUNTIFS('2026 Time Off Request'!$A:$A,'April 2026'!$D31,'2026 Time Off Request'!$L:$L,'April 2026'!AG$6)</f>
        <v>0</v>
      </c>
      <c r="AH31" s="148">
        <f>COUNTIFS('2026 Time Off Request'!$A:$A,'April 2026'!$D31,'2026 Time Off Request'!$L:$L,'April 2026'!AH$6)</f>
        <v>0</v>
      </c>
      <c r="AI31" s="148">
        <f>COUNTIFS('2026 Time Off Request'!$A:$A,'April 2026'!$D31,'2026 Time Off Request'!$L:$L,'April 2026'!AI$6)</f>
        <v>0</v>
      </c>
    </row>
    <row r="32" spans="1:35" ht="15.75">
      <c r="A32" s="2">
        <v>23</v>
      </c>
      <c r="B32" s="209" t="s">
        <v>45</v>
      </c>
      <c r="C32" s="210" t="s">
        <v>68</v>
      </c>
      <c r="D32" s="215" t="s">
        <v>69</v>
      </c>
      <c r="E32" s="212">
        <f t="shared" si="2"/>
        <v>0</v>
      </c>
      <c r="F32" s="223">
        <f>COUNTIFS('2026 Time Off Request'!$A:$A,'April 2026'!$D32,'2026 Time Off Request'!$L:$L,'April 2026'!F$6)</f>
        <v>0</v>
      </c>
      <c r="G32" s="148">
        <f>COUNTIFS('2026 Time Off Request'!$A:$A,'April 2026'!$D32,'2026 Time Off Request'!$L:$L,'April 2026'!G$6)</f>
        <v>0</v>
      </c>
      <c r="H32" s="148">
        <f>COUNTIFS('2026 Time Off Request'!$A:$A,'April 2026'!$D32,'2026 Time Off Request'!$L:$L,'April 2026'!H$6)</f>
        <v>0</v>
      </c>
      <c r="I32" s="147">
        <f>COUNTIFS('2026 Time Off Request'!$A:$A,'April 2026'!$D32,'2026 Time Off Request'!$L:$L,'April 2026'!I$6)</f>
        <v>0</v>
      </c>
      <c r="J32" s="147">
        <f>COUNTIFS('2026 Time Off Request'!$A:$A,'April 2026'!$D32,'2026 Time Off Request'!$L:$L,'April 2026'!J$6)</f>
        <v>0</v>
      </c>
      <c r="K32" s="148">
        <f>COUNTIFS('2026 Time Off Request'!$A:$A,'April 2026'!$D32,'2026 Time Off Request'!$L:$L,'April 2026'!K$6)</f>
        <v>0</v>
      </c>
      <c r="L32" s="148">
        <f>COUNTIFS('2026 Time Off Request'!$A:$A,'April 2026'!$D32,'2026 Time Off Request'!$L:$L,'April 2026'!L$6)</f>
        <v>0</v>
      </c>
      <c r="M32" s="148">
        <f>COUNTIFS('2026 Time Off Request'!$A:$A,'April 2026'!$D32,'2026 Time Off Request'!$L:$L,'April 2026'!M$6)</f>
        <v>0</v>
      </c>
      <c r="N32" s="148">
        <f>COUNTIFS('2026 Time Off Request'!$A:$A,'April 2026'!$D32,'2026 Time Off Request'!$L:$L,'April 2026'!N$6)</f>
        <v>0</v>
      </c>
      <c r="O32" s="148">
        <f>COUNTIFS('2026 Time Off Request'!$A:$A,'April 2026'!$D32,'2026 Time Off Request'!$L:$L,'April 2026'!O$6)</f>
        <v>0</v>
      </c>
      <c r="P32" s="147">
        <f>COUNTIFS('2026 Time Off Request'!$A:$A,'April 2026'!$D32,'2026 Time Off Request'!$L:$L,'April 2026'!P$6)</f>
        <v>0</v>
      </c>
      <c r="Q32" s="147">
        <f>COUNTIFS('2026 Time Off Request'!$A:$A,'April 2026'!$D32,'2026 Time Off Request'!$L:$L,'April 2026'!Q$6)</f>
        <v>0</v>
      </c>
      <c r="R32" s="148">
        <f>COUNTIFS('2026 Time Off Request'!$A:$A,'April 2026'!$D32,'2026 Time Off Request'!$L:$L,'April 2026'!R$6)</f>
        <v>0</v>
      </c>
      <c r="S32" s="148">
        <f>COUNTIFS('2026 Time Off Request'!$A:$A,'April 2026'!$D32,'2026 Time Off Request'!$L:$L,'April 2026'!S$6)</f>
        <v>0</v>
      </c>
      <c r="T32" s="148">
        <f>COUNTIFS('2026 Time Off Request'!$A:$A,'April 2026'!$D32,'2026 Time Off Request'!$L:$L,'April 2026'!T$6)</f>
        <v>0</v>
      </c>
      <c r="U32" s="148">
        <f>COUNTIFS('2026 Time Off Request'!$A:$A,'April 2026'!$D32,'2026 Time Off Request'!$L:$L,'April 2026'!U$6)</f>
        <v>0</v>
      </c>
      <c r="V32" s="148">
        <f>COUNTIFS('2026 Time Off Request'!$A:$A,'April 2026'!$D32,'2026 Time Off Request'!$L:$L,'April 2026'!V$6)</f>
        <v>0</v>
      </c>
      <c r="W32" s="147">
        <f>COUNTIFS('2026 Time Off Request'!$A:$A,'April 2026'!$D32,'2026 Time Off Request'!$L:$L,'April 2026'!W$6)</f>
        <v>0</v>
      </c>
      <c r="X32" s="147">
        <f>COUNTIFS('2026 Time Off Request'!$A:$A,'April 2026'!$D32,'2026 Time Off Request'!$L:$L,'April 2026'!X$6)</f>
        <v>0</v>
      </c>
      <c r="Y32" s="148">
        <f>COUNTIFS('2026 Time Off Request'!$A:$A,'April 2026'!$D32,'2026 Time Off Request'!$L:$L,'April 2026'!Y$6)</f>
        <v>0</v>
      </c>
      <c r="Z32" s="148">
        <f>COUNTIFS('2026 Time Off Request'!$A:$A,'April 2026'!$D32,'2026 Time Off Request'!$L:$L,'April 2026'!Z$6)</f>
        <v>0</v>
      </c>
      <c r="AA32" s="148">
        <f>COUNTIFS('2026 Time Off Request'!$A:$A,'April 2026'!$D32,'2026 Time Off Request'!$L:$L,'April 2026'!AA$6)</f>
        <v>0</v>
      </c>
      <c r="AB32" s="148">
        <f>COUNTIFS('2026 Time Off Request'!$A:$A,'April 2026'!$D32,'2026 Time Off Request'!$L:$L,'April 2026'!AB$6)</f>
        <v>0</v>
      </c>
      <c r="AC32" s="148">
        <f>COUNTIFS('2026 Time Off Request'!$A:$A,'April 2026'!$D32,'2026 Time Off Request'!$L:$L,'April 2026'!AC$6)</f>
        <v>0</v>
      </c>
      <c r="AD32" s="147">
        <f>COUNTIFS('2026 Time Off Request'!$A:$A,'April 2026'!$D32,'2026 Time Off Request'!$L:$L,'April 2026'!AD$6)</f>
        <v>0</v>
      </c>
      <c r="AE32" s="147">
        <f>COUNTIFS('2026 Time Off Request'!$A:$A,'April 2026'!$D32,'2026 Time Off Request'!$L:$L,'April 2026'!AE$6)</f>
        <v>0</v>
      </c>
      <c r="AF32" s="148">
        <f>COUNTIFS('2026 Time Off Request'!$A:$A,'April 2026'!$D32,'2026 Time Off Request'!$L:$L,'April 2026'!AF$6)</f>
        <v>0</v>
      </c>
      <c r="AG32" s="148">
        <f>COUNTIFS('2026 Time Off Request'!$A:$A,'April 2026'!$D32,'2026 Time Off Request'!$L:$L,'April 2026'!AG$6)</f>
        <v>0</v>
      </c>
      <c r="AH32" s="148">
        <f>COUNTIFS('2026 Time Off Request'!$A:$A,'April 2026'!$D32,'2026 Time Off Request'!$L:$L,'April 2026'!AH$6)</f>
        <v>0</v>
      </c>
      <c r="AI32" s="148">
        <f>COUNTIFS('2026 Time Off Request'!$A:$A,'April 2026'!$D32,'2026 Time Off Request'!$L:$L,'April 2026'!AI$6)</f>
        <v>0</v>
      </c>
    </row>
    <row r="33" spans="1:35" ht="15.75">
      <c r="A33" s="2">
        <v>24</v>
      </c>
      <c r="B33" s="209" t="s">
        <v>45</v>
      </c>
      <c r="C33" s="210" t="s">
        <v>70</v>
      </c>
      <c r="D33" s="215" t="s">
        <v>71</v>
      </c>
      <c r="E33" s="212">
        <f t="shared" si="2"/>
        <v>0</v>
      </c>
      <c r="F33" s="223">
        <f>COUNTIFS('2026 Time Off Request'!$A:$A,'April 2026'!$D33,'2026 Time Off Request'!$L:$L,'April 2026'!F$6)</f>
        <v>0</v>
      </c>
      <c r="G33" s="148">
        <f>COUNTIFS('2026 Time Off Request'!$A:$A,'April 2026'!$D33,'2026 Time Off Request'!$L:$L,'April 2026'!G$6)</f>
        <v>0</v>
      </c>
      <c r="H33" s="148">
        <f>COUNTIFS('2026 Time Off Request'!$A:$A,'April 2026'!$D33,'2026 Time Off Request'!$L:$L,'April 2026'!H$6)</f>
        <v>0</v>
      </c>
      <c r="I33" s="147">
        <f>COUNTIFS('2026 Time Off Request'!$A:$A,'April 2026'!$D33,'2026 Time Off Request'!$L:$L,'April 2026'!I$6)</f>
        <v>0</v>
      </c>
      <c r="J33" s="147">
        <f>COUNTIFS('2026 Time Off Request'!$A:$A,'April 2026'!$D33,'2026 Time Off Request'!$L:$L,'April 2026'!J$6)</f>
        <v>0</v>
      </c>
      <c r="K33" s="148">
        <f>COUNTIFS('2026 Time Off Request'!$A:$A,'April 2026'!$D33,'2026 Time Off Request'!$L:$L,'April 2026'!K$6)</f>
        <v>0</v>
      </c>
      <c r="L33" s="148">
        <f>COUNTIFS('2026 Time Off Request'!$A:$A,'April 2026'!$D33,'2026 Time Off Request'!$L:$L,'April 2026'!L$6)</f>
        <v>0</v>
      </c>
      <c r="M33" s="148">
        <f>COUNTIFS('2026 Time Off Request'!$A:$A,'April 2026'!$D33,'2026 Time Off Request'!$L:$L,'April 2026'!M$6)</f>
        <v>0</v>
      </c>
      <c r="N33" s="148">
        <f>COUNTIFS('2026 Time Off Request'!$A:$A,'April 2026'!$D33,'2026 Time Off Request'!$L:$L,'April 2026'!N$6)</f>
        <v>0</v>
      </c>
      <c r="O33" s="148">
        <f>COUNTIFS('2026 Time Off Request'!$A:$A,'April 2026'!$D33,'2026 Time Off Request'!$L:$L,'April 2026'!O$6)</f>
        <v>0</v>
      </c>
      <c r="P33" s="147">
        <f>COUNTIFS('2026 Time Off Request'!$A:$A,'April 2026'!$D33,'2026 Time Off Request'!$L:$L,'April 2026'!P$6)</f>
        <v>0</v>
      </c>
      <c r="Q33" s="147">
        <f>COUNTIFS('2026 Time Off Request'!$A:$A,'April 2026'!$D33,'2026 Time Off Request'!$L:$L,'April 2026'!Q$6)</f>
        <v>0</v>
      </c>
      <c r="R33" s="148">
        <f>COUNTIFS('2026 Time Off Request'!$A:$A,'April 2026'!$D33,'2026 Time Off Request'!$L:$L,'April 2026'!R$6)</f>
        <v>0</v>
      </c>
      <c r="S33" s="148">
        <f>COUNTIFS('2026 Time Off Request'!$A:$A,'April 2026'!$D33,'2026 Time Off Request'!$L:$L,'April 2026'!S$6)</f>
        <v>0</v>
      </c>
      <c r="T33" s="148">
        <f>COUNTIFS('2026 Time Off Request'!$A:$A,'April 2026'!$D33,'2026 Time Off Request'!$L:$L,'April 2026'!T$6)</f>
        <v>0</v>
      </c>
      <c r="U33" s="148">
        <f>COUNTIFS('2026 Time Off Request'!$A:$A,'April 2026'!$D33,'2026 Time Off Request'!$L:$L,'April 2026'!U$6)</f>
        <v>0</v>
      </c>
      <c r="V33" s="148">
        <f>COUNTIFS('2026 Time Off Request'!$A:$A,'April 2026'!$D33,'2026 Time Off Request'!$L:$L,'April 2026'!V$6)</f>
        <v>0</v>
      </c>
      <c r="W33" s="147">
        <f>COUNTIFS('2026 Time Off Request'!$A:$A,'April 2026'!$D33,'2026 Time Off Request'!$L:$L,'April 2026'!W$6)</f>
        <v>0</v>
      </c>
      <c r="X33" s="147">
        <f>COUNTIFS('2026 Time Off Request'!$A:$A,'April 2026'!$D33,'2026 Time Off Request'!$L:$L,'April 2026'!X$6)</f>
        <v>0</v>
      </c>
      <c r="Y33" s="148">
        <f>COUNTIFS('2026 Time Off Request'!$A:$A,'April 2026'!$D33,'2026 Time Off Request'!$L:$L,'April 2026'!Y$6)</f>
        <v>0</v>
      </c>
      <c r="Z33" s="148">
        <f>COUNTIFS('2026 Time Off Request'!$A:$A,'April 2026'!$D33,'2026 Time Off Request'!$L:$L,'April 2026'!Z$6)</f>
        <v>0</v>
      </c>
      <c r="AA33" s="148">
        <f>COUNTIFS('2026 Time Off Request'!$A:$A,'April 2026'!$D33,'2026 Time Off Request'!$L:$L,'April 2026'!AA$6)</f>
        <v>0</v>
      </c>
      <c r="AB33" s="148">
        <f>COUNTIFS('2026 Time Off Request'!$A:$A,'April 2026'!$D33,'2026 Time Off Request'!$L:$L,'April 2026'!AB$6)</f>
        <v>0</v>
      </c>
      <c r="AC33" s="148">
        <f>COUNTIFS('2026 Time Off Request'!$A:$A,'April 2026'!$D33,'2026 Time Off Request'!$L:$L,'April 2026'!AC$6)</f>
        <v>0</v>
      </c>
      <c r="AD33" s="147">
        <f>COUNTIFS('2026 Time Off Request'!$A:$A,'April 2026'!$D33,'2026 Time Off Request'!$L:$L,'April 2026'!AD$6)</f>
        <v>0</v>
      </c>
      <c r="AE33" s="147">
        <f>COUNTIFS('2026 Time Off Request'!$A:$A,'April 2026'!$D33,'2026 Time Off Request'!$L:$L,'April 2026'!AE$6)</f>
        <v>0</v>
      </c>
      <c r="AF33" s="148">
        <f>COUNTIFS('2026 Time Off Request'!$A:$A,'April 2026'!$D33,'2026 Time Off Request'!$L:$L,'April 2026'!AF$6)</f>
        <v>0</v>
      </c>
      <c r="AG33" s="148">
        <f>COUNTIFS('2026 Time Off Request'!$A:$A,'April 2026'!$D33,'2026 Time Off Request'!$L:$L,'April 2026'!AG$6)</f>
        <v>0</v>
      </c>
      <c r="AH33" s="148">
        <f>COUNTIFS('2026 Time Off Request'!$A:$A,'April 2026'!$D33,'2026 Time Off Request'!$L:$L,'April 2026'!AH$6)</f>
        <v>0</v>
      </c>
      <c r="AI33" s="148">
        <f>COUNTIFS('2026 Time Off Request'!$A:$A,'April 2026'!$D33,'2026 Time Off Request'!$L:$L,'April 2026'!AI$6)</f>
        <v>0</v>
      </c>
    </row>
    <row r="34" spans="1:35" ht="15.75">
      <c r="A34" s="2">
        <v>25</v>
      </c>
      <c r="B34" s="209" t="s">
        <v>45</v>
      </c>
      <c r="C34" s="210" t="s">
        <v>70</v>
      </c>
      <c r="D34" s="215" t="s">
        <v>72</v>
      </c>
      <c r="E34" s="212">
        <f t="shared" si="2"/>
        <v>0</v>
      </c>
      <c r="F34" s="223">
        <f>COUNTIFS('2026 Time Off Request'!$A:$A,'April 2026'!$D34,'2026 Time Off Request'!$L:$L,'April 2026'!F$6)</f>
        <v>0</v>
      </c>
      <c r="G34" s="148">
        <f>COUNTIFS('2026 Time Off Request'!$A:$A,'April 2026'!$D34,'2026 Time Off Request'!$L:$L,'April 2026'!G$6)</f>
        <v>0</v>
      </c>
      <c r="H34" s="148">
        <f>COUNTIFS('2026 Time Off Request'!$A:$A,'April 2026'!$D34,'2026 Time Off Request'!$L:$L,'April 2026'!H$6)</f>
        <v>0</v>
      </c>
      <c r="I34" s="147">
        <f>COUNTIFS('2026 Time Off Request'!$A:$A,'April 2026'!$D34,'2026 Time Off Request'!$L:$L,'April 2026'!I$6)</f>
        <v>0</v>
      </c>
      <c r="J34" s="147">
        <f>COUNTIFS('2026 Time Off Request'!$A:$A,'April 2026'!$D34,'2026 Time Off Request'!$L:$L,'April 2026'!J$6)</f>
        <v>0</v>
      </c>
      <c r="K34" s="148">
        <f>COUNTIFS('2026 Time Off Request'!$A:$A,'April 2026'!$D34,'2026 Time Off Request'!$L:$L,'April 2026'!K$6)</f>
        <v>0</v>
      </c>
      <c r="L34" s="148">
        <f>COUNTIFS('2026 Time Off Request'!$A:$A,'April 2026'!$D34,'2026 Time Off Request'!$L:$L,'April 2026'!L$6)</f>
        <v>0</v>
      </c>
      <c r="M34" s="148">
        <f>COUNTIFS('2026 Time Off Request'!$A:$A,'April 2026'!$D34,'2026 Time Off Request'!$L:$L,'April 2026'!M$6)</f>
        <v>0</v>
      </c>
      <c r="N34" s="148">
        <f>COUNTIFS('2026 Time Off Request'!$A:$A,'April 2026'!$D34,'2026 Time Off Request'!$L:$L,'April 2026'!N$6)</f>
        <v>0</v>
      </c>
      <c r="O34" s="148">
        <f>COUNTIFS('2026 Time Off Request'!$A:$A,'April 2026'!$D34,'2026 Time Off Request'!$L:$L,'April 2026'!O$6)</f>
        <v>0</v>
      </c>
      <c r="P34" s="147">
        <f>COUNTIFS('2026 Time Off Request'!$A:$A,'April 2026'!$D34,'2026 Time Off Request'!$L:$L,'April 2026'!P$6)</f>
        <v>0</v>
      </c>
      <c r="Q34" s="147">
        <f>COUNTIFS('2026 Time Off Request'!$A:$A,'April 2026'!$D34,'2026 Time Off Request'!$L:$L,'April 2026'!Q$6)</f>
        <v>0</v>
      </c>
      <c r="R34" s="148">
        <f>COUNTIFS('2026 Time Off Request'!$A:$A,'April 2026'!$D34,'2026 Time Off Request'!$L:$L,'April 2026'!R$6)</f>
        <v>0</v>
      </c>
      <c r="S34" s="148">
        <f>COUNTIFS('2026 Time Off Request'!$A:$A,'April 2026'!$D34,'2026 Time Off Request'!$L:$L,'April 2026'!S$6)</f>
        <v>0</v>
      </c>
      <c r="T34" s="148">
        <f>COUNTIFS('2026 Time Off Request'!$A:$A,'April 2026'!$D34,'2026 Time Off Request'!$L:$L,'April 2026'!T$6)</f>
        <v>0</v>
      </c>
      <c r="U34" s="148">
        <f>COUNTIFS('2026 Time Off Request'!$A:$A,'April 2026'!$D34,'2026 Time Off Request'!$L:$L,'April 2026'!U$6)</f>
        <v>0</v>
      </c>
      <c r="V34" s="148">
        <f>COUNTIFS('2026 Time Off Request'!$A:$A,'April 2026'!$D34,'2026 Time Off Request'!$L:$L,'April 2026'!V$6)</f>
        <v>0</v>
      </c>
      <c r="W34" s="147">
        <f>COUNTIFS('2026 Time Off Request'!$A:$A,'April 2026'!$D34,'2026 Time Off Request'!$L:$L,'April 2026'!W$6)</f>
        <v>0</v>
      </c>
      <c r="X34" s="147">
        <f>COUNTIFS('2026 Time Off Request'!$A:$A,'April 2026'!$D34,'2026 Time Off Request'!$L:$L,'April 2026'!X$6)</f>
        <v>0</v>
      </c>
      <c r="Y34" s="148">
        <f>COUNTIFS('2026 Time Off Request'!$A:$A,'April 2026'!$D34,'2026 Time Off Request'!$L:$L,'April 2026'!Y$6)</f>
        <v>0</v>
      </c>
      <c r="Z34" s="148">
        <f>COUNTIFS('2026 Time Off Request'!$A:$A,'April 2026'!$D34,'2026 Time Off Request'!$L:$L,'April 2026'!Z$6)</f>
        <v>0</v>
      </c>
      <c r="AA34" s="148">
        <f>COUNTIFS('2026 Time Off Request'!$A:$A,'April 2026'!$D34,'2026 Time Off Request'!$L:$L,'April 2026'!AA$6)</f>
        <v>0</v>
      </c>
      <c r="AB34" s="148">
        <f>COUNTIFS('2026 Time Off Request'!$A:$A,'April 2026'!$D34,'2026 Time Off Request'!$L:$L,'April 2026'!AB$6)</f>
        <v>0</v>
      </c>
      <c r="AC34" s="148">
        <f>COUNTIFS('2026 Time Off Request'!$A:$A,'April 2026'!$D34,'2026 Time Off Request'!$L:$L,'April 2026'!AC$6)</f>
        <v>0</v>
      </c>
      <c r="AD34" s="147">
        <f>COUNTIFS('2026 Time Off Request'!$A:$A,'April 2026'!$D34,'2026 Time Off Request'!$L:$L,'April 2026'!AD$6)</f>
        <v>0</v>
      </c>
      <c r="AE34" s="147">
        <f>COUNTIFS('2026 Time Off Request'!$A:$A,'April 2026'!$D34,'2026 Time Off Request'!$L:$L,'April 2026'!AE$6)</f>
        <v>0</v>
      </c>
      <c r="AF34" s="148">
        <f>COUNTIFS('2026 Time Off Request'!$A:$A,'April 2026'!$D34,'2026 Time Off Request'!$L:$L,'April 2026'!AF$6)</f>
        <v>0</v>
      </c>
      <c r="AG34" s="148">
        <f>COUNTIFS('2026 Time Off Request'!$A:$A,'April 2026'!$D34,'2026 Time Off Request'!$L:$L,'April 2026'!AG$6)</f>
        <v>0</v>
      </c>
      <c r="AH34" s="148">
        <f>COUNTIFS('2026 Time Off Request'!$A:$A,'April 2026'!$D34,'2026 Time Off Request'!$L:$L,'April 2026'!AH$6)</f>
        <v>0</v>
      </c>
      <c r="AI34" s="148">
        <f>COUNTIFS('2026 Time Off Request'!$A:$A,'April 2026'!$D34,'2026 Time Off Request'!$L:$L,'April 2026'!AI$6)</f>
        <v>0</v>
      </c>
    </row>
    <row r="35" spans="1:35" ht="15.75">
      <c r="A35" s="2">
        <v>26</v>
      </c>
      <c r="B35" s="209" t="s">
        <v>45</v>
      </c>
      <c r="C35" s="210" t="s">
        <v>73</v>
      </c>
      <c r="D35" s="215" t="s">
        <v>74</v>
      </c>
      <c r="E35" s="212">
        <f t="shared" ref="E35" si="4">SUM(F35:AI35)</f>
        <v>0</v>
      </c>
      <c r="F35" s="223">
        <f>COUNTIFS('2026 Time Off Request'!$A:$A,'April 2026'!$D35,'2026 Time Off Request'!$L:$L,'April 2026'!F$6)</f>
        <v>0</v>
      </c>
      <c r="G35" s="148">
        <f>COUNTIFS('2026 Time Off Request'!$A:$A,'April 2026'!$D35,'2026 Time Off Request'!$L:$L,'April 2026'!G$6)</f>
        <v>0</v>
      </c>
      <c r="H35" s="148">
        <f>COUNTIFS('2026 Time Off Request'!$A:$A,'April 2026'!$D35,'2026 Time Off Request'!$L:$L,'April 2026'!H$6)</f>
        <v>0</v>
      </c>
      <c r="I35" s="147">
        <f>COUNTIFS('2026 Time Off Request'!$A:$A,'April 2026'!$D35,'2026 Time Off Request'!$L:$L,'April 2026'!I$6)</f>
        <v>0</v>
      </c>
      <c r="J35" s="147">
        <f>COUNTIFS('2026 Time Off Request'!$A:$A,'April 2026'!$D35,'2026 Time Off Request'!$L:$L,'April 2026'!J$6)</f>
        <v>0</v>
      </c>
      <c r="K35" s="148">
        <f>COUNTIFS('2026 Time Off Request'!$A:$A,'April 2026'!$D35,'2026 Time Off Request'!$L:$L,'April 2026'!K$6)</f>
        <v>0</v>
      </c>
      <c r="L35" s="148">
        <f>COUNTIFS('2026 Time Off Request'!$A:$A,'April 2026'!$D35,'2026 Time Off Request'!$L:$L,'April 2026'!L$6)</f>
        <v>0</v>
      </c>
      <c r="M35" s="148">
        <f>COUNTIFS('2026 Time Off Request'!$A:$A,'April 2026'!$D35,'2026 Time Off Request'!$L:$L,'April 2026'!M$6)</f>
        <v>0</v>
      </c>
      <c r="N35" s="148">
        <f>COUNTIFS('2026 Time Off Request'!$A:$A,'April 2026'!$D35,'2026 Time Off Request'!$L:$L,'April 2026'!N$6)</f>
        <v>0</v>
      </c>
      <c r="O35" s="148">
        <f>COUNTIFS('2026 Time Off Request'!$A:$A,'April 2026'!$D35,'2026 Time Off Request'!$L:$L,'April 2026'!O$6)</f>
        <v>0</v>
      </c>
      <c r="P35" s="147">
        <f>COUNTIFS('2026 Time Off Request'!$A:$A,'April 2026'!$D35,'2026 Time Off Request'!$L:$L,'April 2026'!P$6)</f>
        <v>0</v>
      </c>
      <c r="Q35" s="147">
        <f>COUNTIFS('2026 Time Off Request'!$A:$A,'April 2026'!$D35,'2026 Time Off Request'!$L:$L,'April 2026'!Q$6)</f>
        <v>0</v>
      </c>
      <c r="R35" s="148">
        <f>COUNTIFS('2026 Time Off Request'!$A:$A,'April 2026'!$D35,'2026 Time Off Request'!$L:$L,'April 2026'!R$6)</f>
        <v>0</v>
      </c>
      <c r="S35" s="148">
        <f>COUNTIFS('2026 Time Off Request'!$A:$A,'April 2026'!$D35,'2026 Time Off Request'!$L:$L,'April 2026'!S$6)</f>
        <v>0</v>
      </c>
      <c r="T35" s="148">
        <f>COUNTIFS('2026 Time Off Request'!$A:$A,'April 2026'!$D35,'2026 Time Off Request'!$L:$L,'April 2026'!T$6)</f>
        <v>0</v>
      </c>
      <c r="U35" s="148">
        <f>COUNTIFS('2026 Time Off Request'!$A:$A,'April 2026'!$D35,'2026 Time Off Request'!$L:$L,'April 2026'!U$6)</f>
        <v>0</v>
      </c>
      <c r="V35" s="148">
        <f>COUNTIFS('2026 Time Off Request'!$A:$A,'April 2026'!$D35,'2026 Time Off Request'!$L:$L,'April 2026'!V$6)</f>
        <v>0</v>
      </c>
      <c r="W35" s="147">
        <f>COUNTIFS('2026 Time Off Request'!$A:$A,'April 2026'!$D35,'2026 Time Off Request'!$L:$L,'April 2026'!W$6)</f>
        <v>0</v>
      </c>
      <c r="X35" s="147">
        <f>COUNTIFS('2026 Time Off Request'!$A:$A,'April 2026'!$D35,'2026 Time Off Request'!$L:$L,'April 2026'!X$6)</f>
        <v>0</v>
      </c>
      <c r="Y35" s="148">
        <f>COUNTIFS('2026 Time Off Request'!$A:$A,'April 2026'!$D35,'2026 Time Off Request'!$L:$L,'April 2026'!Y$6)</f>
        <v>0</v>
      </c>
      <c r="Z35" s="148">
        <f>COUNTIFS('2026 Time Off Request'!$A:$A,'April 2026'!$D35,'2026 Time Off Request'!$L:$L,'April 2026'!Z$6)</f>
        <v>0</v>
      </c>
      <c r="AA35" s="148">
        <f>COUNTIFS('2026 Time Off Request'!$A:$A,'April 2026'!$D35,'2026 Time Off Request'!$L:$L,'April 2026'!AA$6)</f>
        <v>0</v>
      </c>
      <c r="AB35" s="148">
        <f>COUNTIFS('2026 Time Off Request'!$A:$A,'April 2026'!$D35,'2026 Time Off Request'!$L:$L,'April 2026'!AB$6)</f>
        <v>0</v>
      </c>
      <c r="AC35" s="148">
        <f>COUNTIFS('2026 Time Off Request'!$A:$A,'April 2026'!$D35,'2026 Time Off Request'!$L:$L,'April 2026'!AC$6)</f>
        <v>0</v>
      </c>
      <c r="AD35" s="147">
        <f>COUNTIFS('2026 Time Off Request'!$A:$A,'April 2026'!$D35,'2026 Time Off Request'!$L:$L,'April 2026'!AD$6)</f>
        <v>0</v>
      </c>
      <c r="AE35" s="147">
        <f>COUNTIFS('2026 Time Off Request'!$A:$A,'April 2026'!$D35,'2026 Time Off Request'!$L:$L,'April 2026'!AE$6)</f>
        <v>0</v>
      </c>
      <c r="AF35" s="148">
        <f>COUNTIFS('2026 Time Off Request'!$A:$A,'April 2026'!$D35,'2026 Time Off Request'!$L:$L,'April 2026'!AF$6)</f>
        <v>0</v>
      </c>
      <c r="AG35" s="148">
        <f>COUNTIFS('2026 Time Off Request'!$A:$A,'April 2026'!$D35,'2026 Time Off Request'!$L:$L,'April 2026'!AG$6)</f>
        <v>0</v>
      </c>
      <c r="AH35" s="148">
        <f>COUNTIFS('2026 Time Off Request'!$A:$A,'April 2026'!$D35,'2026 Time Off Request'!$L:$L,'April 2026'!AH$6)</f>
        <v>0</v>
      </c>
      <c r="AI35" s="148">
        <f>COUNTIFS('2026 Time Off Request'!$A:$A,'April 2026'!$D35,'2026 Time Off Request'!$L:$L,'April 2026'!AI$6)</f>
        <v>0</v>
      </c>
    </row>
    <row r="36" spans="1:35" ht="15.75">
      <c r="A36" s="2">
        <v>27</v>
      </c>
      <c r="B36" s="209" t="s">
        <v>49</v>
      </c>
      <c r="C36" s="210" t="s">
        <v>75</v>
      </c>
      <c r="D36" s="215" t="s">
        <v>76</v>
      </c>
      <c r="E36" s="212">
        <f t="shared" si="2"/>
        <v>0</v>
      </c>
      <c r="F36" s="223">
        <f>COUNTIFS('2026 Time Off Request'!$A:$A,'April 2026'!$D36,'2026 Time Off Request'!$L:$L,'April 2026'!F$6)</f>
        <v>0</v>
      </c>
      <c r="G36" s="148">
        <f>COUNTIFS('2026 Time Off Request'!$A:$A,'April 2026'!$D36,'2026 Time Off Request'!$L:$L,'April 2026'!G$6)</f>
        <v>0</v>
      </c>
      <c r="H36" s="148">
        <f>COUNTIFS('2026 Time Off Request'!$A:$A,'April 2026'!$D36,'2026 Time Off Request'!$L:$L,'April 2026'!H$6)</f>
        <v>0</v>
      </c>
      <c r="I36" s="147">
        <f>COUNTIFS('2026 Time Off Request'!$A:$A,'April 2026'!$D36,'2026 Time Off Request'!$L:$L,'April 2026'!I$6)</f>
        <v>0</v>
      </c>
      <c r="J36" s="147">
        <f>COUNTIFS('2026 Time Off Request'!$A:$A,'April 2026'!$D36,'2026 Time Off Request'!$L:$L,'April 2026'!J$6)</f>
        <v>0</v>
      </c>
      <c r="K36" s="148">
        <f>COUNTIFS('2026 Time Off Request'!$A:$A,'April 2026'!$D36,'2026 Time Off Request'!$L:$L,'April 2026'!K$6)</f>
        <v>0</v>
      </c>
      <c r="L36" s="148">
        <f>COUNTIFS('2026 Time Off Request'!$A:$A,'April 2026'!$D36,'2026 Time Off Request'!$L:$L,'April 2026'!L$6)</f>
        <v>0</v>
      </c>
      <c r="M36" s="148">
        <f>COUNTIFS('2026 Time Off Request'!$A:$A,'April 2026'!$D36,'2026 Time Off Request'!$L:$L,'April 2026'!M$6)</f>
        <v>0</v>
      </c>
      <c r="N36" s="148">
        <f>COUNTIFS('2026 Time Off Request'!$A:$A,'April 2026'!$D36,'2026 Time Off Request'!$L:$L,'April 2026'!N$6)</f>
        <v>0</v>
      </c>
      <c r="O36" s="148">
        <f>COUNTIFS('2026 Time Off Request'!$A:$A,'April 2026'!$D36,'2026 Time Off Request'!$L:$L,'April 2026'!O$6)</f>
        <v>0</v>
      </c>
      <c r="P36" s="147">
        <f>COUNTIFS('2026 Time Off Request'!$A:$A,'April 2026'!$D36,'2026 Time Off Request'!$L:$L,'April 2026'!P$6)</f>
        <v>0</v>
      </c>
      <c r="Q36" s="147">
        <f>COUNTIFS('2026 Time Off Request'!$A:$A,'April 2026'!$D36,'2026 Time Off Request'!$L:$L,'April 2026'!Q$6)</f>
        <v>0</v>
      </c>
      <c r="R36" s="148">
        <f>COUNTIFS('2026 Time Off Request'!$A:$A,'April 2026'!$D36,'2026 Time Off Request'!$L:$L,'April 2026'!R$6)</f>
        <v>0</v>
      </c>
      <c r="S36" s="148">
        <f>COUNTIFS('2026 Time Off Request'!$A:$A,'April 2026'!$D36,'2026 Time Off Request'!$L:$L,'April 2026'!S$6)</f>
        <v>0</v>
      </c>
      <c r="T36" s="148">
        <f>COUNTIFS('2026 Time Off Request'!$A:$A,'April 2026'!$D36,'2026 Time Off Request'!$L:$L,'April 2026'!T$6)</f>
        <v>0</v>
      </c>
      <c r="U36" s="148">
        <f>COUNTIFS('2026 Time Off Request'!$A:$A,'April 2026'!$D36,'2026 Time Off Request'!$L:$L,'April 2026'!U$6)</f>
        <v>0</v>
      </c>
      <c r="V36" s="148">
        <f>COUNTIFS('2026 Time Off Request'!$A:$A,'April 2026'!$D36,'2026 Time Off Request'!$L:$L,'April 2026'!V$6)</f>
        <v>0</v>
      </c>
      <c r="W36" s="147">
        <f>COUNTIFS('2026 Time Off Request'!$A:$A,'April 2026'!$D36,'2026 Time Off Request'!$L:$L,'April 2026'!W$6)</f>
        <v>0</v>
      </c>
      <c r="X36" s="147">
        <f>COUNTIFS('2026 Time Off Request'!$A:$A,'April 2026'!$D36,'2026 Time Off Request'!$L:$L,'April 2026'!X$6)</f>
        <v>0</v>
      </c>
      <c r="Y36" s="148">
        <f>COUNTIFS('2026 Time Off Request'!$A:$A,'April 2026'!$D36,'2026 Time Off Request'!$L:$L,'April 2026'!Y$6)</f>
        <v>0</v>
      </c>
      <c r="Z36" s="148">
        <f>COUNTIFS('2026 Time Off Request'!$A:$A,'April 2026'!$D36,'2026 Time Off Request'!$L:$L,'April 2026'!Z$6)</f>
        <v>0</v>
      </c>
      <c r="AA36" s="148">
        <f>COUNTIFS('2026 Time Off Request'!$A:$A,'April 2026'!$D36,'2026 Time Off Request'!$L:$L,'April 2026'!AA$6)</f>
        <v>0</v>
      </c>
      <c r="AB36" s="148">
        <f>COUNTIFS('2026 Time Off Request'!$A:$A,'April 2026'!$D36,'2026 Time Off Request'!$L:$L,'April 2026'!AB$6)</f>
        <v>0</v>
      </c>
      <c r="AC36" s="148">
        <f>COUNTIFS('2026 Time Off Request'!$A:$A,'April 2026'!$D36,'2026 Time Off Request'!$L:$L,'April 2026'!AC$6)</f>
        <v>0</v>
      </c>
      <c r="AD36" s="147">
        <f>COUNTIFS('2026 Time Off Request'!$A:$A,'April 2026'!$D36,'2026 Time Off Request'!$L:$L,'April 2026'!AD$6)</f>
        <v>0</v>
      </c>
      <c r="AE36" s="147">
        <f>COUNTIFS('2026 Time Off Request'!$A:$A,'April 2026'!$D36,'2026 Time Off Request'!$L:$L,'April 2026'!AE$6)</f>
        <v>0</v>
      </c>
      <c r="AF36" s="148">
        <f>COUNTIFS('2026 Time Off Request'!$A:$A,'April 2026'!$D36,'2026 Time Off Request'!$L:$L,'April 2026'!AF$6)</f>
        <v>0</v>
      </c>
      <c r="AG36" s="148">
        <f>COUNTIFS('2026 Time Off Request'!$A:$A,'April 2026'!$D36,'2026 Time Off Request'!$L:$L,'April 2026'!AG$6)</f>
        <v>0</v>
      </c>
      <c r="AH36" s="148">
        <f>COUNTIFS('2026 Time Off Request'!$A:$A,'April 2026'!$D36,'2026 Time Off Request'!$L:$L,'April 2026'!AH$6)</f>
        <v>0</v>
      </c>
      <c r="AI36" s="148">
        <f>COUNTIFS('2026 Time Off Request'!$A:$A,'April 2026'!$D36,'2026 Time Off Request'!$L:$L,'April 2026'!AI$6)</f>
        <v>0</v>
      </c>
    </row>
    <row r="37" spans="1:35" ht="15.75">
      <c r="A37" s="2">
        <v>28</v>
      </c>
      <c r="B37" s="209" t="s">
        <v>45</v>
      </c>
      <c r="C37" s="210" t="s">
        <v>77</v>
      </c>
      <c r="D37" s="215" t="s">
        <v>78</v>
      </c>
      <c r="E37" s="212">
        <f t="shared" si="2"/>
        <v>0</v>
      </c>
      <c r="F37" s="223">
        <f>COUNTIFS('2026 Time Off Request'!$A:$A,'April 2026'!$D37,'2026 Time Off Request'!$L:$L,'April 2026'!F$6)</f>
        <v>0</v>
      </c>
      <c r="G37" s="148">
        <f>COUNTIFS('2026 Time Off Request'!$A:$A,'April 2026'!$D37,'2026 Time Off Request'!$L:$L,'April 2026'!G$6)</f>
        <v>0</v>
      </c>
      <c r="H37" s="148">
        <f>COUNTIFS('2026 Time Off Request'!$A:$A,'April 2026'!$D37,'2026 Time Off Request'!$L:$L,'April 2026'!H$6)</f>
        <v>0</v>
      </c>
      <c r="I37" s="147">
        <f>COUNTIFS('2026 Time Off Request'!$A:$A,'April 2026'!$D37,'2026 Time Off Request'!$L:$L,'April 2026'!I$6)</f>
        <v>0</v>
      </c>
      <c r="J37" s="147">
        <f>COUNTIFS('2026 Time Off Request'!$A:$A,'April 2026'!$D37,'2026 Time Off Request'!$L:$L,'April 2026'!J$6)</f>
        <v>0</v>
      </c>
      <c r="K37" s="148">
        <f>COUNTIFS('2026 Time Off Request'!$A:$A,'April 2026'!$D37,'2026 Time Off Request'!$L:$L,'April 2026'!K$6)</f>
        <v>0</v>
      </c>
      <c r="L37" s="148">
        <f>COUNTIFS('2026 Time Off Request'!$A:$A,'April 2026'!$D37,'2026 Time Off Request'!$L:$L,'April 2026'!L$6)</f>
        <v>0</v>
      </c>
      <c r="M37" s="148">
        <f>COUNTIFS('2026 Time Off Request'!$A:$A,'April 2026'!$D37,'2026 Time Off Request'!$L:$L,'April 2026'!M$6)</f>
        <v>0</v>
      </c>
      <c r="N37" s="148">
        <f>COUNTIFS('2026 Time Off Request'!$A:$A,'April 2026'!$D37,'2026 Time Off Request'!$L:$L,'April 2026'!N$6)</f>
        <v>0</v>
      </c>
      <c r="O37" s="148">
        <f>COUNTIFS('2026 Time Off Request'!$A:$A,'April 2026'!$D37,'2026 Time Off Request'!$L:$L,'April 2026'!O$6)</f>
        <v>0</v>
      </c>
      <c r="P37" s="147">
        <f>COUNTIFS('2026 Time Off Request'!$A:$A,'April 2026'!$D37,'2026 Time Off Request'!$L:$L,'April 2026'!P$6)</f>
        <v>0</v>
      </c>
      <c r="Q37" s="147">
        <f>COUNTIFS('2026 Time Off Request'!$A:$A,'April 2026'!$D37,'2026 Time Off Request'!$L:$L,'April 2026'!Q$6)</f>
        <v>0</v>
      </c>
      <c r="R37" s="148">
        <f>COUNTIFS('2026 Time Off Request'!$A:$A,'April 2026'!$D37,'2026 Time Off Request'!$L:$L,'April 2026'!R$6)</f>
        <v>0</v>
      </c>
      <c r="S37" s="148">
        <f>COUNTIFS('2026 Time Off Request'!$A:$A,'April 2026'!$D37,'2026 Time Off Request'!$L:$L,'April 2026'!S$6)</f>
        <v>0</v>
      </c>
      <c r="T37" s="148">
        <f>COUNTIFS('2026 Time Off Request'!$A:$A,'April 2026'!$D37,'2026 Time Off Request'!$L:$L,'April 2026'!T$6)</f>
        <v>0</v>
      </c>
      <c r="U37" s="148">
        <f>COUNTIFS('2026 Time Off Request'!$A:$A,'April 2026'!$D37,'2026 Time Off Request'!$L:$L,'April 2026'!U$6)</f>
        <v>0</v>
      </c>
      <c r="V37" s="148">
        <f>COUNTIFS('2026 Time Off Request'!$A:$A,'April 2026'!$D37,'2026 Time Off Request'!$L:$L,'April 2026'!V$6)</f>
        <v>0</v>
      </c>
      <c r="W37" s="147">
        <f>COUNTIFS('2026 Time Off Request'!$A:$A,'April 2026'!$D37,'2026 Time Off Request'!$L:$L,'April 2026'!W$6)</f>
        <v>0</v>
      </c>
      <c r="X37" s="147">
        <f>COUNTIFS('2026 Time Off Request'!$A:$A,'April 2026'!$D37,'2026 Time Off Request'!$L:$L,'April 2026'!X$6)</f>
        <v>0</v>
      </c>
      <c r="Y37" s="148">
        <f>COUNTIFS('2026 Time Off Request'!$A:$A,'April 2026'!$D37,'2026 Time Off Request'!$L:$L,'April 2026'!Y$6)</f>
        <v>0</v>
      </c>
      <c r="Z37" s="148">
        <f>COUNTIFS('2026 Time Off Request'!$A:$A,'April 2026'!$D37,'2026 Time Off Request'!$L:$L,'April 2026'!Z$6)</f>
        <v>0</v>
      </c>
      <c r="AA37" s="148">
        <f>COUNTIFS('2026 Time Off Request'!$A:$A,'April 2026'!$D37,'2026 Time Off Request'!$L:$L,'April 2026'!AA$6)</f>
        <v>0</v>
      </c>
      <c r="AB37" s="148">
        <f>COUNTIFS('2026 Time Off Request'!$A:$A,'April 2026'!$D37,'2026 Time Off Request'!$L:$L,'April 2026'!AB$6)</f>
        <v>0</v>
      </c>
      <c r="AC37" s="148">
        <f>COUNTIFS('2026 Time Off Request'!$A:$A,'April 2026'!$D37,'2026 Time Off Request'!$L:$L,'April 2026'!AC$6)</f>
        <v>0</v>
      </c>
      <c r="AD37" s="147">
        <f>COUNTIFS('2026 Time Off Request'!$A:$A,'April 2026'!$D37,'2026 Time Off Request'!$L:$L,'April 2026'!AD$6)</f>
        <v>0</v>
      </c>
      <c r="AE37" s="147">
        <f>COUNTIFS('2026 Time Off Request'!$A:$A,'April 2026'!$D37,'2026 Time Off Request'!$L:$L,'April 2026'!AE$6)</f>
        <v>0</v>
      </c>
      <c r="AF37" s="148">
        <f>COUNTIFS('2026 Time Off Request'!$A:$A,'April 2026'!$D37,'2026 Time Off Request'!$L:$L,'April 2026'!AF$6)</f>
        <v>0</v>
      </c>
      <c r="AG37" s="148">
        <f>COUNTIFS('2026 Time Off Request'!$A:$A,'April 2026'!$D37,'2026 Time Off Request'!$L:$L,'April 2026'!AG$6)</f>
        <v>0</v>
      </c>
      <c r="AH37" s="148">
        <f>COUNTIFS('2026 Time Off Request'!$A:$A,'April 2026'!$D37,'2026 Time Off Request'!$L:$L,'April 2026'!AH$6)</f>
        <v>0</v>
      </c>
      <c r="AI37" s="148">
        <f>COUNTIFS('2026 Time Off Request'!$A:$A,'April 2026'!$D37,'2026 Time Off Request'!$L:$L,'April 2026'!AI$6)</f>
        <v>0</v>
      </c>
    </row>
    <row r="38" spans="1:35" ht="15.75">
      <c r="A38" s="2">
        <v>29</v>
      </c>
      <c r="B38" s="209" t="s">
        <v>45</v>
      </c>
      <c r="C38" s="210" t="s">
        <v>77</v>
      </c>
      <c r="D38" s="215" t="s">
        <v>79</v>
      </c>
      <c r="E38" s="212">
        <f t="shared" si="2"/>
        <v>0</v>
      </c>
      <c r="F38" s="223">
        <f>COUNTIFS('2026 Time Off Request'!$A:$A,'April 2026'!$D38,'2026 Time Off Request'!$L:$L,'April 2026'!F$6)</f>
        <v>0</v>
      </c>
      <c r="G38" s="148">
        <f>COUNTIFS('2026 Time Off Request'!$A:$A,'April 2026'!$D38,'2026 Time Off Request'!$L:$L,'April 2026'!G$6)</f>
        <v>0</v>
      </c>
      <c r="H38" s="148">
        <f>COUNTIFS('2026 Time Off Request'!$A:$A,'April 2026'!$D38,'2026 Time Off Request'!$L:$L,'April 2026'!H$6)</f>
        <v>0</v>
      </c>
      <c r="I38" s="147">
        <f>COUNTIFS('2026 Time Off Request'!$A:$A,'April 2026'!$D38,'2026 Time Off Request'!$L:$L,'April 2026'!I$6)</f>
        <v>0</v>
      </c>
      <c r="J38" s="147">
        <f>COUNTIFS('2026 Time Off Request'!$A:$A,'April 2026'!$D38,'2026 Time Off Request'!$L:$L,'April 2026'!J$6)</f>
        <v>0</v>
      </c>
      <c r="K38" s="148">
        <f>COUNTIFS('2026 Time Off Request'!$A:$A,'April 2026'!$D38,'2026 Time Off Request'!$L:$L,'April 2026'!K$6)</f>
        <v>0</v>
      </c>
      <c r="L38" s="148">
        <f>COUNTIFS('2026 Time Off Request'!$A:$A,'April 2026'!$D38,'2026 Time Off Request'!$L:$L,'April 2026'!L$6)</f>
        <v>0</v>
      </c>
      <c r="M38" s="148">
        <f>COUNTIFS('2026 Time Off Request'!$A:$A,'April 2026'!$D38,'2026 Time Off Request'!$L:$L,'April 2026'!M$6)</f>
        <v>0</v>
      </c>
      <c r="N38" s="148">
        <f>COUNTIFS('2026 Time Off Request'!$A:$A,'April 2026'!$D38,'2026 Time Off Request'!$L:$L,'April 2026'!N$6)</f>
        <v>0</v>
      </c>
      <c r="O38" s="148">
        <f>COUNTIFS('2026 Time Off Request'!$A:$A,'April 2026'!$D38,'2026 Time Off Request'!$L:$L,'April 2026'!O$6)</f>
        <v>0</v>
      </c>
      <c r="P38" s="147">
        <f>COUNTIFS('2026 Time Off Request'!$A:$A,'April 2026'!$D38,'2026 Time Off Request'!$L:$L,'April 2026'!P$6)</f>
        <v>0</v>
      </c>
      <c r="Q38" s="147">
        <f>COUNTIFS('2026 Time Off Request'!$A:$A,'April 2026'!$D38,'2026 Time Off Request'!$L:$L,'April 2026'!Q$6)</f>
        <v>0</v>
      </c>
      <c r="R38" s="148">
        <f>COUNTIFS('2026 Time Off Request'!$A:$A,'April 2026'!$D38,'2026 Time Off Request'!$L:$L,'April 2026'!R$6)</f>
        <v>0</v>
      </c>
      <c r="S38" s="148">
        <f>COUNTIFS('2026 Time Off Request'!$A:$A,'April 2026'!$D38,'2026 Time Off Request'!$L:$L,'April 2026'!S$6)</f>
        <v>0</v>
      </c>
      <c r="T38" s="148">
        <f>COUNTIFS('2026 Time Off Request'!$A:$A,'April 2026'!$D38,'2026 Time Off Request'!$L:$L,'April 2026'!T$6)</f>
        <v>0</v>
      </c>
      <c r="U38" s="148">
        <f>COUNTIFS('2026 Time Off Request'!$A:$A,'April 2026'!$D38,'2026 Time Off Request'!$L:$L,'April 2026'!U$6)</f>
        <v>0</v>
      </c>
      <c r="V38" s="148">
        <f>COUNTIFS('2026 Time Off Request'!$A:$A,'April 2026'!$D38,'2026 Time Off Request'!$L:$L,'April 2026'!V$6)</f>
        <v>0</v>
      </c>
      <c r="W38" s="147">
        <f>COUNTIFS('2026 Time Off Request'!$A:$A,'April 2026'!$D38,'2026 Time Off Request'!$L:$L,'April 2026'!W$6)</f>
        <v>0</v>
      </c>
      <c r="X38" s="147">
        <f>COUNTIFS('2026 Time Off Request'!$A:$A,'April 2026'!$D38,'2026 Time Off Request'!$L:$L,'April 2026'!X$6)</f>
        <v>0</v>
      </c>
      <c r="Y38" s="148">
        <f>COUNTIFS('2026 Time Off Request'!$A:$A,'April 2026'!$D38,'2026 Time Off Request'!$L:$L,'April 2026'!Y$6)</f>
        <v>0</v>
      </c>
      <c r="Z38" s="148">
        <f>COUNTIFS('2026 Time Off Request'!$A:$A,'April 2026'!$D38,'2026 Time Off Request'!$L:$L,'April 2026'!Z$6)</f>
        <v>0</v>
      </c>
      <c r="AA38" s="148">
        <f>COUNTIFS('2026 Time Off Request'!$A:$A,'April 2026'!$D38,'2026 Time Off Request'!$L:$L,'April 2026'!AA$6)</f>
        <v>0</v>
      </c>
      <c r="AB38" s="148">
        <f>COUNTIFS('2026 Time Off Request'!$A:$A,'April 2026'!$D38,'2026 Time Off Request'!$L:$L,'April 2026'!AB$6)</f>
        <v>0</v>
      </c>
      <c r="AC38" s="148">
        <f>COUNTIFS('2026 Time Off Request'!$A:$A,'April 2026'!$D38,'2026 Time Off Request'!$L:$L,'April 2026'!AC$6)</f>
        <v>0</v>
      </c>
      <c r="AD38" s="147">
        <f>COUNTIFS('2026 Time Off Request'!$A:$A,'April 2026'!$D38,'2026 Time Off Request'!$L:$L,'April 2026'!AD$6)</f>
        <v>0</v>
      </c>
      <c r="AE38" s="147">
        <f>COUNTIFS('2026 Time Off Request'!$A:$A,'April 2026'!$D38,'2026 Time Off Request'!$L:$L,'April 2026'!AE$6)</f>
        <v>0</v>
      </c>
      <c r="AF38" s="148">
        <f>COUNTIFS('2026 Time Off Request'!$A:$A,'April 2026'!$D38,'2026 Time Off Request'!$L:$L,'April 2026'!AF$6)</f>
        <v>0</v>
      </c>
      <c r="AG38" s="148">
        <f>COUNTIFS('2026 Time Off Request'!$A:$A,'April 2026'!$D38,'2026 Time Off Request'!$L:$L,'April 2026'!AG$6)</f>
        <v>0</v>
      </c>
      <c r="AH38" s="148">
        <f>COUNTIFS('2026 Time Off Request'!$A:$A,'April 2026'!$D38,'2026 Time Off Request'!$L:$L,'April 2026'!AH$6)</f>
        <v>0</v>
      </c>
      <c r="AI38" s="148">
        <f>COUNTIFS('2026 Time Off Request'!$A:$A,'April 2026'!$D38,'2026 Time Off Request'!$L:$L,'April 2026'!AI$6)</f>
        <v>0</v>
      </c>
    </row>
    <row r="39" spans="1:35" ht="15.75">
      <c r="A39" s="2">
        <v>30</v>
      </c>
      <c r="B39" s="209" t="s">
        <v>45</v>
      </c>
      <c r="C39" s="210" t="s">
        <v>77</v>
      </c>
      <c r="D39" s="215" t="s">
        <v>80</v>
      </c>
      <c r="E39" s="212">
        <f t="shared" si="2"/>
        <v>0</v>
      </c>
      <c r="F39" s="223">
        <f>COUNTIFS('2026 Time Off Request'!$A:$A,'April 2026'!$D39,'2026 Time Off Request'!$L:$L,'April 2026'!F$6)</f>
        <v>0</v>
      </c>
      <c r="G39" s="148">
        <f>COUNTIFS('2026 Time Off Request'!$A:$A,'April 2026'!$D39,'2026 Time Off Request'!$L:$L,'April 2026'!G$6)</f>
        <v>0</v>
      </c>
      <c r="H39" s="148">
        <f>COUNTIFS('2026 Time Off Request'!$A:$A,'April 2026'!$D39,'2026 Time Off Request'!$L:$L,'April 2026'!H$6)</f>
        <v>0</v>
      </c>
      <c r="I39" s="147">
        <f>COUNTIFS('2026 Time Off Request'!$A:$A,'April 2026'!$D39,'2026 Time Off Request'!$L:$L,'April 2026'!I$6)</f>
        <v>0</v>
      </c>
      <c r="J39" s="147">
        <f>COUNTIFS('2026 Time Off Request'!$A:$A,'April 2026'!$D39,'2026 Time Off Request'!$L:$L,'April 2026'!J$6)</f>
        <v>0</v>
      </c>
      <c r="K39" s="148">
        <f>COUNTIFS('2026 Time Off Request'!$A:$A,'April 2026'!$D39,'2026 Time Off Request'!$L:$L,'April 2026'!K$6)</f>
        <v>0</v>
      </c>
      <c r="L39" s="148">
        <f>COUNTIFS('2026 Time Off Request'!$A:$A,'April 2026'!$D39,'2026 Time Off Request'!$L:$L,'April 2026'!L$6)</f>
        <v>0</v>
      </c>
      <c r="M39" s="148">
        <f>COUNTIFS('2026 Time Off Request'!$A:$A,'April 2026'!$D39,'2026 Time Off Request'!$L:$L,'April 2026'!M$6)</f>
        <v>0</v>
      </c>
      <c r="N39" s="148">
        <f>COUNTIFS('2026 Time Off Request'!$A:$A,'April 2026'!$D39,'2026 Time Off Request'!$L:$L,'April 2026'!N$6)</f>
        <v>0</v>
      </c>
      <c r="O39" s="148">
        <f>COUNTIFS('2026 Time Off Request'!$A:$A,'April 2026'!$D39,'2026 Time Off Request'!$L:$L,'April 2026'!O$6)</f>
        <v>0</v>
      </c>
      <c r="P39" s="147">
        <f>COUNTIFS('2026 Time Off Request'!$A:$A,'April 2026'!$D39,'2026 Time Off Request'!$L:$L,'April 2026'!P$6)</f>
        <v>0</v>
      </c>
      <c r="Q39" s="147">
        <f>COUNTIFS('2026 Time Off Request'!$A:$A,'April 2026'!$D39,'2026 Time Off Request'!$L:$L,'April 2026'!Q$6)</f>
        <v>0</v>
      </c>
      <c r="R39" s="148">
        <f>COUNTIFS('2026 Time Off Request'!$A:$A,'April 2026'!$D39,'2026 Time Off Request'!$L:$L,'April 2026'!R$6)</f>
        <v>0</v>
      </c>
      <c r="S39" s="148">
        <f>COUNTIFS('2026 Time Off Request'!$A:$A,'April 2026'!$D39,'2026 Time Off Request'!$L:$L,'April 2026'!S$6)</f>
        <v>0</v>
      </c>
      <c r="T39" s="148">
        <f>COUNTIFS('2026 Time Off Request'!$A:$A,'April 2026'!$D39,'2026 Time Off Request'!$L:$L,'April 2026'!T$6)</f>
        <v>0</v>
      </c>
      <c r="U39" s="148">
        <f>COUNTIFS('2026 Time Off Request'!$A:$A,'April 2026'!$D39,'2026 Time Off Request'!$L:$L,'April 2026'!U$6)</f>
        <v>0</v>
      </c>
      <c r="V39" s="148">
        <f>COUNTIFS('2026 Time Off Request'!$A:$A,'April 2026'!$D39,'2026 Time Off Request'!$L:$L,'April 2026'!V$6)</f>
        <v>0</v>
      </c>
      <c r="W39" s="147">
        <f>COUNTIFS('2026 Time Off Request'!$A:$A,'April 2026'!$D39,'2026 Time Off Request'!$L:$L,'April 2026'!W$6)</f>
        <v>0</v>
      </c>
      <c r="X39" s="147">
        <f>COUNTIFS('2026 Time Off Request'!$A:$A,'April 2026'!$D39,'2026 Time Off Request'!$L:$L,'April 2026'!X$6)</f>
        <v>0</v>
      </c>
      <c r="Y39" s="148">
        <f>COUNTIFS('2026 Time Off Request'!$A:$A,'April 2026'!$D39,'2026 Time Off Request'!$L:$L,'April 2026'!Y$6)</f>
        <v>0</v>
      </c>
      <c r="Z39" s="148">
        <f>COUNTIFS('2026 Time Off Request'!$A:$A,'April 2026'!$D39,'2026 Time Off Request'!$L:$L,'April 2026'!Z$6)</f>
        <v>0</v>
      </c>
      <c r="AA39" s="148">
        <f>COUNTIFS('2026 Time Off Request'!$A:$A,'April 2026'!$D39,'2026 Time Off Request'!$L:$L,'April 2026'!AA$6)</f>
        <v>0</v>
      </c>
      <c r="AB39" s="148">
        <f>COUNTIFS('2026 Time Off Request'!$A:$A,'April 2026'!$D39,'2026 Time Off Request'!$L:$L,'April 2026'!AB$6)</f>
        <v>0</v>
      </c>
      <c r="AC39" s="148">
        <f>COUNTIFS('2026 Time Off Request'!$A:$A,'April 2026'!$D39,'2026 Time Off Request'!$L:$L,'April 2026'!AC$6)</f>
        <v>0</v>
      </c>
      <c r="AD39" s="147">
        <f>COUNTIFS('2026 Time Off Request'!$A:$A,'April 2026'!$D39,'2026 Time Off Request'!$L:$L,'April 2026'!AD$6)</f>
        <v>0</v>
      </c>
      <c r="AE39" s="147">
        <f>COUNTIFS('2026 Time Off Request'!$A:$A,'April 2026'!$D39,'2026 Time Off Request'!$L:$L,'April 2026'!AE$6)</f>
        <v>0</v>
      </c>
      <c r="AF39" s="148">
        <f>COUNTIFS('2026 Time Off Request'!$A:$A,'April 2026'!$D39,'2026 Time Off Request'!$L:$L,'April 2026'!AF$6)</f>
        <v>0</v>
      </c>
      <c r="AG39" s="148">
        <f>COUNTIFS('2026 Time Off Request'!$A:$A,'April 2026'!$D39,'2026 Time Off Request'!$L:$L,'April 2026'!AG$6)</f>
        <v>0</v>
      </c>
      <c r="AH39" s="148">
        <f>COUNTIFS('2026 Time Off Request'!$A:$A,'April 2026'!$D39,'2026 Time Off Request'!$L:$L,'April 2026'!AH$6)</f>
        <v>0</v>
      </c>
      <c r="AI39" s="148">
        <f>COUNTIFS('2026 Time Off Request'!$A:$A,'April 2026'!$D39,'2026 Time Off Request'!$L:$L,'April 2026'!AI$6)</f>
        <v>0</v>
      </c>
    </row>
    <row r="40" spans="1:35" ht="15.75">
      <c r="A40" s="2">
        <v>31</v>
      </c>
      <c r="B40" s="209" t="s">
        <v>49</v>
      </c>
      <c r="C40" s="210" t="s">
        <v>81</v>
      </c>
      <c r="D40" s="215" t="s">
        <v>82</v>
      </c>
      <c r="E40" s="212">
        <f t="shared" si="2"/>
        <v>0</v>
      </c>
      <c r="F40" s="223">
        <f>COUNTIFS('2026 Time Off Request'!$A:$A,'April 2026'!$D40,'2026 Time Off Request'!$L:$L,'April 2026'!F$6)</f>
        <v>0</v>
      </c>
      <c r="G40" s="148">
        <f>COUNTIFS('2026 Time Off Request'!$A:$A,'April 2026'!$D40,'2026 Time Off Request'!$L:$L,'April 2026'!G$6)</f>
        <v>0</v>
      </c>
      <c r="H40" s="148">
        <f>COUNTIFS('2026 Time Off Request'!$A:$A,'April 2026'!$D40,'2026 Time Off Request'!$L:$L,'April 2026'!H$6)</f>
        <v>0</v>
      </c>
      <c r="I40" s="147">
        <f>COUNTIFS('2026 Time Off Request'!$A:$A,'April 2026'!$D40,'2026 Time Off Request'!$L:$L,'April 2026'!I$6)</f>
        <v>0</v>
      </c>
      <c r="J40" s="147">
        <f>COUNTIFS('2026 Time Off Request'!$A:$A,'April 2026'!$D40,'2026 Time Off Request'!$L:$L,'April 2026'!J$6)</f>
        <v>0</v>
      </c>
      <c r="K40" s="148">
        <f>COUNTIFS('2026 Time Off Request'!$A:$A,'April 2026'!$D40,'2026 Time Off Request'!$L:$L,'April 2026'!K$6)</f>
        <v>0</v>
      </c>
      <c r="L40" s="148">
        <f>COUNTIFS('2026 Time Off Request'!$A:$A,'April 2026'!$D40,'2026 Time Off Request'!$L:$L,'April 2026'!L$6)</f>
        <v>0</v>
      </c>
      <c r="M40" s="148">
        <f>COUNTIFS('2026 Time Off Request'!$A:$A,'April 2026'!$D40,'2026 Time Off Request'!$L:$L,'April 2026'!M$6)</f>
        <v>0</v>
      </c>
      <c r="N40" s="148">
        <f>COUNTIFS('2026 Time Off Request'!$A:$A,'April 2026'!$D40,'2026 Time Off Request'!$L:$L,'April 2026'!N$6)</f>
        <v>0</v>
      </c>
      <c r="O40" s="148">
        <f>COUNTIFS('2026 Time Off Request'!$A:$A,'April 2026'!$D40,'2026 Time Off Request'!$L:$L,'April 2026'!O$6)</f>
        <v>0</v>
      </c>
      <c r="P40" s="147">
        <f>COUNTIFS('2026 Time Off Request'!$A:$A,'April 2026'!$D40,'2026 Time Off Request'!$L:$L,'April 2026'!P$6)</f>
        <v>0</v>
      </c>
      <c r="Q40" s="147">
        <f>COUNTIFS('2026 Time Off Request'!$A:$A,'April 2026'!$D40,'2026 Time Off Request'!$L:$L,'April 2026'!Q$6)</f>
        <v>0</v>
      </c>
      <c r="R40" s="148">
        <f>COUNTIFS('2026 Time Off Request'!$A:$A,'April 2026'!$D40,'2026 Time Off Request'!$L:$L,'April 2026'!R$6)</f>
        <v>0</v>
      </c>
      <c r="S40" s="148">
        <f>COUNTIFS('2026 Time Off Request'!$A:$A,'April 2026'!$D40,'2026 Time Off Request'!$L:$L,'April 2026'!S$6)</f>
        <v>0</v>
      </c>
      <c r="T40" s="148">
        <f>COUNTIFS('2026 Time Off Request'!$A:$A,'April 2026'!$D40,'2026 Time Off Request'!$L:$L,'April 2026'!T$6)</f>
        <v>0</v>
      </c>
      <c r="U40" s="148">
        <f>COUNTIFS('2026 Time Off Request'!$A:$A,'April 2026'!$D40,'2026 Time Off Request'!$L:$L,'April 2026'!U$6)</f>
        <v>0</v>
      </c>
      <c r="V40" s="148">
        <f>COUNTIFS('2026 Time Off Request'!$A:$A,'April 2026'!$D40,'2026 Time Off Request'!$L:$L,'April 2026'!V$6)</f>
        <v>0</v>
      </c>
      <c r="W40" s="147">
        <f>COUNTIFS('2026 Time Off Request'!$A:$A,'April 2026'!$D40,'2026 Time Off Request'!$L:$L,'April 2026'!W$6)</f>
        <v>0</v>
      </c>
      <c r="X40" s="147">
        <f>COUNTIFS('2026 Time Off Request'!$A:$A,'April 2026'!$D40,'2026 Time Off Request'!$L:$L,'April 2026'!X$6)</f>
        <v>0</v>
      </c>
      <c r="Y40" s="148">
        <f>COUNTIFS('2026 Time Off Request'!$A:$A,'April 2026'!$D40,'2026 Time Off Request'!$L:$L,'April 2026'!Y$6)</f>
        <v>0</v>
      </c>
      <c r="Z40" s="148">
        <f>COUNTIFS('2026 Time Off Request'!$A:$A,'April 2026'!$D40,'2026 Time Off Request'!$L:$L,'April 2026'!Z$6)</f>
        <v>0</v>
      </c>
      <c r="AA40" s="148">
        <f>COUNTIFS('2026 Time Off Request'!$A:$A,'April 2026'!$D40,'2026 Time Off Request'!$L:$L,'April 2026'!AA$6)</f>
        <v>0</v>
      </c>
      <c r="AB40" s="148">
        <f>COUNTIFS('2026 Time Off Request'!$A:$A,'April 2026'!$D40,'2026 Time Off Request'!$L:$L,'April 2026'!AB$6)</f>
        <v>0</v>
      </c>
      <c r="AC40" s="148">
        <f>COUNTIFS('2026 Time Off Request'!$A:$A,'April 2026'!$D40,'2026 Time Off Request'!$L:$L,'April 2026'!AC$6)</f>
        <v>0</v>
      </c>
      <c r="AD40" s="147">
        <f>COUNTIFS('2026 Time Off Request'!$A:$A,'April 2026'!$D40,'2026 Time Off Request'!$L:$L,'April 2026'!AD$6)</f>
        <v>0</v>
      </c>
      <c r="AE40" s="147">
        <f>COUNTIFS('2026 Time Off Request'!$A:$A,'April 2026'!$D40,'2026 Time Off Request'!$L:$L,'April 2026'!AE$6)</f>
        <v>0</v>
      </c>
      <c r="AF40" s="148">
        <f>COUNTIFS('2026 Time Off Request'!$A:$A,'April 2026'!$D40,'2026 Time Off Request'!$L:$L,'April 2026'!AF$6)</f>
        <v>0</v>
      </c>
      <c r="AG40" s="148">
        <f>COUNTIFS('2026 Time Off Request'!$A:$A,'April 2026'!$D40,'2026 Time Off Request'!$L:$L,'April 2026'!AG$6)</f>
        <v>0</v>
      </c>
      <c r="AH40" s="148">
        <f>COUNTIFS('2026 Time Off Request'!$A:$A,'April 2026'!$D40,'2026 Time Off Request'!$L:$L,'April 2026'!AH$6)</f>
        <v>0</v>
      </c>
      <c r="AI40" s="148">
        <f>COUNTIFS('2026 Time Off Request'!$A:$A,'April 2026'!$D40,'2026 Time Off Request'!$L:$L,'April 2026'!AI$6)</f>
        <v>0</v>
      </c>
    </row>
    <row r="41" spans="1:35" ht="15.75">
      <c r="A41" s="2">
        <v>32</v>
      </c>
      <c r="B41" s="209" t="s">
        <v>45</v>
      </c>
      <c r="C41" s="210" t="s">
        <v>83</v>
      </c>
      <c r="D41" s="215" t="s">
        <v>84</v>
      </c>
      <c r="E41" s="212">
        <f t="shared" si="2"/>
        <v>0</v>
      </c>
      <c r="F41" s="223">
        <f>COUNTIFS('2026 Time Off Request'!$A:$A,'April 2026'!$D41,'2026 Time Off Request'!$L:$L,'April 2026'!F$6)</f>
        <v>0</v>
      </c>
      <c r="G41" s="148">
        <f>COUNTIFS('2026 Time Off Request'!$A:$A,'April 2026'!$D41,'2026 Time Off Request'!$L:$L,'April 2026'!G$6)</f>
        <v>0</v>
      </c>
      <c r="H41" s="148">
        <f>COUNTIFS('2026 Time Off Request'!$A:$A,'April 2026'!$D41,'2026 Time Off Request'!$L:$L,'April 2026'!H$6)</f>
        <v>0</v>
      </c>
      <c r="I41" s="147">
        <f>COUNTIFS('2026 Time Off Request'!$A:$A,'April 2026'!$D41,'2026 Time Off Request'!$L:$L,'April 2026'!I$6)</f>
        <v>0</v>
      </c>
      <c r="J41" s="147">
        <f>COUNTIFS('2026 Time Off Request'!$A:$A,'April 2026'!$D41,'2026 Time Off Request'!$L:$L,'April 2026'!J$6)</f>
        <v>0</v>
      </c>
      <c r="K41" s="148">
        <f>COUNTIFS('2026 Time Off Request'!$A:$A,'April 2026'!$D41,'2026 Time Off Request'!$L:$L,'April 2026'!K$6)</f>
        <v>0</v>
      </c>
      <c r="L41" s="148">
        <f>COUNTIFS('2026 Time Off Request'!$A:$A,'April 2026'!$D41,'2026 Time Off Request'!$L:$L,'April 2026'!L$6)</f>
        <v>0</v>
      </c>
      <c r="M41" s="148">
        <f>COUNTIFS('2026 Time Off Request'!$A:$A,'April 2026'!$D41,'2026 Time Off Request'!$L:$L,'April 2026'!M$6)</f>
        <v>0</v>
      </c>
      <c r="N41" s="148">
        <f>COUNTIFS('2026 Time Off Request'!$A:$A,'April 2026'!$D41,'2026 Time Off Request'!$L:$L,'April 2026'!N$6)</f>
        <v>0</v>
      </c>
      <c r="O41" s="148">
        <f>COUNTIFS('2026 Time Off Request'!$A:$A,'April 2026'!$D41,'2026 Time Off Request'!$L:$L,'April 2026'!O$6)</f>
        <v>0</v>
      </c>
      <c r="P41" s="147">
        <f>COUNTIFS('2026 Time Off Request'!$A:$A,'April 2026'!$D41,'2026 Time Off Request'!$L:$L,'April 2026'!P$6)</f>
        <v>0</v>
      </c>
      <c r="Q41" s="147">
        <f>COUNTIFS('2026 Time Off Request'!$A:$A,'April 2026'!$D41,'2026 Time Off Request'!$L:$L,'April 2026'!Q$6)</f>
        <v>0</v>
      </c>
      <c r="R41" s="148">
        <f>COUNTIFS('2026 Time Off Request'!$A:$A,'April 2026'!$D41,'2026 Time Off Request'!$L:$L,'April 2026'!R$6)</f>
        <v>0</v>
      </c>
      <c r="S41" s="148">
        <f>COUNTIFS('2026 Time Off Request'!$A:$A,'April 2026'!$D41,'2026 Time Off Request'!$L:$L,'April 2026'!S$6)</f>
        <v>0</v>
      </c>
      <c r="T41" s="148">
        <f>COUNTIFS('2026 Time Off Request'!$A:$A,'April 2026'!$D41,'2026 Time Off Request'!$L:$L,'April 2026'!T$6)</f>
        <v>0</v>
      </c>
      <c r="U41" s="148">
        <f>COUNTIFS('2026 Time Off Request'!$A:$A,'April 2026'!$D41,'2026 Time Off Request'!$L:$L,'April 2026'!U$6)</f>
        <v>0</v>
      </c>
      <c r="V41" s="148">
        <f>COUNTIFS('2026 Time Off Request'!$A:$A,'April 2026'!$D41,'2026 Time Off Request'!$L:$L,'April 2026'!V$6)</f>
        <v>0</v>
      </c>
      <c r="W41" s="147">
        <f>COUNTIFS('2026 Time Off Request'!$A:$A,'April 2026'!$D41,'2026 Time Off Request'!$L:$L,'April 2026'!W$6)</f>
        <v>0</v>
      </c>
      <c r="X41" s="147">
        <f>COUNTIFS('2026 Time Off Request'!$A:$A,'April 2026'!$D41,'2026 Time Off Request'!$L:$L,'April 2026'!X$6)</f>
        <v>0</v>
      </c>
      <c r="Y41" s="148">
        <f>COUNTIFS('2026 Time Off Request'!$A:$A,'April 2026'!$D41,'2026 Time Off Request'!$L:$L,'April 2026'!Y$6)</f>
        <v>0</v>
      </c>
      <c r="Z41" s="148">
        <f>COUNTIFS('2026 Time Off Request'!$A:$A,'April 2026'!$D41,'2026 Time Off Request'!$L:$L,'April 2026'!Z$6)</f>
        <v>0</v>
      </c>
      <c r="AA41" s="148">
        <f>COUNTIFS('2026 Time Off Request'!$A:$A,'April 2026'!$D41,'2026 Time Off Request'!$L:$L,'April 2026'!AA$6)</f>
        <v>0</v>
      </c>
      <c r="AB41" s="148">
        <f>COUNTIFS('2026 Time Off Request'!$A:$A,'April 2026'!$D41,'2026 Time Off Request'!$L:$L,'April 2026'!AB$6)</f>
        <v>0</v>
      </c>
      <c r="AC41" s="148">
        <f>COUNTIFS('2026 Time Off Request'!$A:$A,'April 2026'!$D41,'2026 Time Off Request'!$L:$L,'April 2026'!AC$6)</f>
        <v>0</v>
      </c>
      <c r="AD41" s="147">
        <f>COUNTIFS('2026 Time Off Request'!$A:$A,'April 2026'!$D41,'2026 Time Off Request'!$L:$L,'April 2026'!AD$6)</f>
        <v>0</v>
      </c>
      <c r="AE41" s="147">
        <f>COUNTIFS('2026 Time Off Request'!$A:$A,'April 2026'!$D41,'2026 Time Off Request'!$L:$L,'April 2026'!AE$6)</f>
        <v>0</v>
      </c>
      <c r="AF41" s="148">
        <f>COUNTIFS('2026 Time Off Request'!$A:$A,'April 2026'!$D41,'2026 Time Off Request'!$L:$L,'April 2026'!AF$6)</f>
        <v>0</v>
      </c>
      <c r="AG41" s="148">
        <f>COUNTIFS('2026 Time Off Request'!$A:$A,'April 2026'!$D41,'2026 Time Off Request'!$L:$L,'April 2026'!AG$6)</f>
        <v>0</v>
      </c>
      <c r="AH41" s="148">
        <f>COUNTIFS('2026 Time Off Request'!$A:$A,'April 2026'!$D41,'2026 Time Off Request'!$L:$L,'April 2026'!AH$6)</f>
        <v>0</v>
      </c>
      <c r="AI41" s="148">
        <f>COUNTIFS('2026 Time Off Request'!$A:$A,'April 2026'!$D41,'2026 Time Off Request'!$L:$L,'April 2026'!AI$6)</f>
        <v>0</v>
      </c>
    </row>
    <row r="42" spans="1:35" ht="15.75">
      <c r="A42" s="2">
        <v>33</v>
      </c>
      <c r="B42" s="209" t="s">
        <v>45</v>
      </c>
      <c r="C42" s="210" t="s">
        <v>85</v>
      </c>
      <c r="D42" s="215" t="s">
        <v>86</v>
      </c>
      <c r="E42" s="212">
        <f t="shared" si="2"/>
        <v>0</v>
      </c>
      <c r="F42" s="223">
        <f>COUNTIFS('2026 Time Off Request'!$A:$A,'April 2026'!$D42,'2026 Time Off Request'!$L:$L,'April 2026'!F$6)</f>
        <v>0</v>
      </c>
      <c r="G42" s="148">
        <f>COUNTIFS('2026 Time Off Request'!$A:$A,'April 2026'!$D42,'2026 Time Off Request'!$L:$L,'April 2026'!G$6)</f>
        <v>0</v>
      </c>
      <c r="H42" s="148">
        <f>COUNTIFS('2026 Time Off Request'!$A:$A,'April 2026'!$D42,'2026 Time Off Request'!$L:$L,'April 2026'!H$6)</f>
        <v>0</v>
      </c>
      <c r="I42" s="147">
        <f>COUNTIFS('2026 Time Off Request'!$A:$A,'April 2026'!$D42,'2026 Time Off Request'!$L:$L,'April 2026'!I$6)</f>
        <v>0</v>
      </c>
      <c r="J42" s="147">
        <f>COUNTIFS('2026 Time Off Request'!$A:$A,'April 2026'!$D42,'2026 Time Off Request'!$L:$L,'April 2026'!J$6)</f>
        <v>0</v>
      </c>
      <c r="K42" s="148">
        <f>COUNTIFS('2026 Time Off Request'!$A:$A,'April 2026'!$D42,'2026 Time Off Request'!$L:$L,'April 2026'!K$6)</f>
        <v>0</v>
      </c>
      <c r="L42" s="148">
        <f>COUNTIFS('2026 Time Off Request'!$A:$A,'April 2026'!$D42,'2026 Time Off Request'!$L:$L,'April 2026'!L$6)</f>
        <v>0</v>
      </c>
      <c r="M42" s="148">
        <f>COUNTIFS('2026 Time Off Request'!$A:$A,'April 2026'!$D42,'2026 Time Off Request'!$L:$L,'April 2026'!M$6)</f>
        <v>0</v>
      </c>
      <c r="N42" s="148">
        <f>COUNTIFS('2026 Time Off Request'!$A:$A,'April 2026'!$D42,'2026 Time Off Request'!$L:$L,'April 2026'!N$6)</f>
        <v>0</v>
      </c>
      <c r="O42" s="148">
        <f>COUNTIFS('2026 Time Off Request'!$A:$A,'April 2026'!$D42,'2026 Time Off Request'!$L:$L,'April 2026'!O$6)</f>
        <v>0</v>
      </c>
      <c r="P42" s="147">
        <f>COUNTIFS('2026 Time Off Request'!$A:$A,'April 2026'!$D42,'2026 Time Off Request'!$L:$L,'April 2026'!P$6)</f>
        <v>0</v>
      </c>
      <c r="Q42" s="147">
        <f>COUNTIFS('2026 Time Off Request'!$A:$A,'April 2026'!$D42,'2026 Time Off Request'!$L:$L,'April 2026'!Q$6)</f>
        <v>0</v>
      </c>
      <c r="R42" s="148">
        <f>COUNTIFS('2026 Time Off Request'!$A:$A,'April 2026'!$D42,'2026 Time Off Request'!$L:$L,'April 2026'!R$6)</f>
        <v>0</v>
      </c>
      <c r="S42" s="148">
        <f>COUNTIFS('2026 Time Off Request'!$A:$A,'April 2026'!$D42,'2026 Time Off Request'!$L:$L,'April 2026'!S$6)</f>
        <v>0</v>
      </c>
      <c r="T42" s="148">
        <f>COUNTIFS('2026 Time Off Request'!$A:$A,'April 2026'!$D42,'2026 Time Off Request'!$L:$L,'April 2026'!T$6)</f>
        <v>0</v>
      </c>
      <c r="U42" s="148">
        <f>COUNTIFS('2026 Time Off Request'!$A:$A,'April 2026'!$D42,'2026 Time Off Request'!$L:$L,'April 2026'!U$6)</f>
        <v>0</v>
      </c>
      <c r="V42" s="148">
        <f>COUNTIFS('2026 Time Off Request'!$A:$A,'April 2026'!$D42,'2026 Time Off Request'!$L:$L,'April 2026'!V$6)</f>
        <v>0</v>
      </c>
      <c r="W42" s="147">
        <f>COUNTIFS('2026 Time Off Request'!$A:$A,'April 2026'!$D42,'2026 Time Off Request'!$L:$L,'April 2026'!W$6)</f>
        <v>0</v>
      </c>
      <c r="X42" s="147">
        <f>COUNTIFS('2026 Time Off Request'!$A:$A,'April 2026'!$D42,'2026 Time Off Request'!$L:$L,'April 2026'!X$6)</f>
        <v>0</v>
      </c>
      <c r="Y42" s="148">
        <f>COUNTIFS('2026 Time Off Request'!$A:$A,'April 2026'!$D42,'2026 Time Off Request'!$L:$L,'April 2026'!Y$6)</f>
        <v>0</v>
      </c>
      <c r="Z42" s="148">
        <f>COUNTIFS('2026 Time Off Request'!$A:$A,'April 2026'!$D42,'2026 Time Off Request'!$L:$L,'April 2026'!Z$6)</f>
        <v>0</v>
      </c>
      <c r="AA42" s="148">
        <f>COUNTIFS('2026 Time Off Request'!$A:$A,'April 2026'!$D42,'2026 Time Off Request'!$L:$L,'April 2026'!AA$6)</f>
        <v>0</v>
      </c>
      <c r="AB42" s="148">
        <f>COUNTIFS('2026 Time Off Request'!$A:$A,'April 2026'!$D42,'2026 Time Off Request'!$L:$L,'April 2026'!AB$6)</f>
        <v>0</v>
      </c>
      <c r="AC42" s="148">
        <f>COUNTIFS('2026 Time Off Request'!$A:$A,'April 2026'!$D42,'2026 Time Off Request'!$L:$L,'April 2026'!AC$6)</f>
        <v>0</v>
      </c>
      <c r="AD42" s="147">
        <f>COUNTIFS('2026 Time Off Request'!$A:$A,'April 2026'!$D42,'2026 Time Off Request'!$L:$L,'April 2026'!AD$6)</f>
        <v>0</v>
      </c>
      <c r="AE42" s="147">
        <f>COUNTIFS('2026 Time Off Request'!$A:$A,'April 2026'!$D42,'2026 Time Off Request'!$L:$L,'April 2026'!AE$6)</f>
        <v>0</v>
      </c>
      <c r="AF42" s="148">
        <f>COUNTIFS('2026 Time Off Request'!$A:$A,'April 2026'!$D42,'2026 Time Off Request'!$L:$L,'April 2026'!AF$6)</f>
        <v>0</v>
      </c>
      <c r="AG42" s="148">
        <f>COUNTIFS('2026 Time Off Request'!$A:$A,'April 2026'!$D42,'2026 Time Off Request'!$L:$L,'April 2026'!AG$6)</f>
        <v>0</v>
      </c>
      <c r="AH42" s="148">
        <f>COUNTIFS('2026 Time Off Request'!$A:$A,'April 2026'!$D42,'2026 Time Off Request'!$L:$L,'April 2026'!AH$6)</f>
        <v>0</v>
      </c>
      <c r="AI42" s="148">
        <f>COUNTIFS('2026 Time Off Request'!$A:$A,'April 2026'!$D42,'2026 Time Off Request'!$L:$L,'April 2026'!AI$6)</f>
        <v>0</v>
      </c>
    </row>
    <row r="43" spans="1:35" ht="15.75">
      <c r="A43" s="2">
        <v>34</v>
      </c>
      <c r="B43" s="209" t="s">
        <v>45</v>
      </c>
      <c r="C43" s="210" t="s">
        <v>87</v>
      </c>
      <c r="D43" s="215" t="s">
        <v>88</v>
      </c>
      <c r="E43" s="212">
        <f t="shared" si="2"/>
        <v>0</v>
      </c>
      <c r="F43" s="223">
        <f>COUNTIFS('2026 Time Off Request'!$A:$A,'April 2026'!$D43,'2026 Time Off Request'!$L:$L,'April 2026'!F$6)</f>
        <v>0</v>
      </c>
      <c r="G43" s="148">
        <f>COUNTIFS('2026 Time Off Request'!$A:$A,'April 2026'!$D43,'2026 Time Off Request'!$L:$L,'April 2026'!G$6)</f>
        <v>0</v>
      </c>
      <c r="H43" s="148">
        <f>COUNTIFS('2026 Time Off Request'!$A:$A,'April 2026'!$D43,'2026 Time Off Request'!$L:$L,'April 2026'!H$6)</f>
        <v>0</v>
      </c>
      <c r="I43" s="147">
        <f>COUNTIFS('2026 Time Off Request'!$A:$A,'April 2026'!$D43,'2026 Time Off Request'!$L:$L,'April 2026'!I$6)</f>
        <v>0</v>
      </c>
      <c r="J43" s="147">
        <f>COUNTIFS('2026 Time Off Request'!$A:$A,'April 2026'!$D43,'2026 Time Off Request'!$L:$L,'April 2026'!J$6)</f>
        <v>0</v>
      </c>
      <c r="K43" s="148">
        <f>COUNTIFS('2026 Time Off Request'!$A:$A,'April 2026'!$D43,'2026 Time Off Request'!$L:$L,'April 2026'!K$6)</f>
        <v>0</v>
      </c>
      <c r="L43" s="148">
        <f>COUNTIFS('2026 Time Off Request'!$A:$A,'April 2026'!$D43,'2026 Time Off Request'!$L:$L,'April 2026'!L$6)</f>
        <v>0</v>
      </c>
      <c r="M43" s="148">
        <f>COUNTIFS('2026 Time Off Request'!$A:$A,'April 2026'!$D43,'2026 Time Off Request'!$L:$L,'April 2026'!M$6)</f>
        <v>0</v>
      </c>
      <c r="N43" s="148">
        <f>COUNTIFS('2026 Time Off Request'!$A:$A,'April 2026'!$D43,'2026 Time Off Request'!$L:$L,'April 2026'!N$6)</f>
        <v>0</v>
      </c>
      <c r="O43" s="148">
        <f>COUNTIFS('2026 Time Off Request'!$A:$A,'April 2026'!$D43,'2026 Time Off Request'!$L:$L,'April 2026'!O$6)</f>
        <v>0</v>
      </c>
      <c r="P43" s="147">
        <f>COUNTIFS('2026 Time Off Request'!$A:$A,'April 2026'!$D43,'2026 Time Off Request'!$L:$L,'April 2026'!P$6)</f>
        <v>0</v>
      </c>
      <c r="Q43" s="147">
        <f>COUNTIFS('2026 Time Off Request'!$A:$A,'April 2026'!$D43,'2026 Time Off Request'!$L:$L,'April 2026'!Q$6)</f>
        <v>0</v>
      </c>
      <c r="R43" s="148">
        <f>COUNTIFS('2026 Time Off Request'!$A:$A,'April 2026'!$D43,'2026 Time Off Request'!$L:$L,'April 2026'!R$6)</f>
        <v>0</v>
      </c>
      <c r="S43" s="148">
        <f>COUNTIFS('2026 Time Off Request'!$A:$A,'April 2026'!$D43,'2026 Time Off Request'!$L:$L,'April 2026'!S$6)</f>
        <v>0</v>
      </c>
      <c r="T43" s="148">
        <f>COUNTIFS('2026 Time Off Request'!$A:$A,'April 2026'!$D43,'2026 Time Off Request'!$L:$L,'April 2026'!T$6)</f>
        <v>0</v>
      </c>
      <c r="U43" s="148">
        <f>COUNTIFS('2026 Time Off Request'!$A:$A,'April 2026'!$D43,'2026 Time Off Request'!$L:$L,'April 2026'!U$6)</f>
        <v>0</v>
      </c>
      <c r="V43" s="148">
        <f>COUNTIFS('2026 Time Off Request'!$A:$A,'April 2026'!$D43,'2026 Time Off Request'!$L:$L,'April 2026'!V$6)</f>
        <v>0</v>
      </c>
      <c r="W43" s="147">
        <f>COUNTIFS('2026 Time Off Request'!$A:$A,'April 2026'!$D43,'2026 Time Off Request'!$L:$L,'April 2026'!W$6)</f>
        <v>0</v>
      </c>
      <c r="X43" s="147">
        <f>COUNTIFS('2026 Time Off Request'!$A:$A,'April 2026'!$D43,'2026 Time Off Request'!$L:$L,'April 2026'!X$6)</f>
        <v>0</v>
      </c>
      <c r="Y43" s="148">
        <f>COUNTIFS('2026 Time Off Request'!$A:$A,'April 2026'!$D43,'2026 Time Off Request'!$L:$L,'April 2026'!Y$6)</f>
        <v>0</v>
      </c>
      <c r="Z43" s="148">
        <f>COUNTIFS('2026 Time Off Request'!$A:$A,'April 2026'!$D43,'2026 Time Off Request'!$L:$L,'April 2026'!Z$6)</f>
        <v>0</v>
      </c>
      <c r="AA43" s="148">
        <f>COUNTIFS('2026 Time Off Request'!$A:$A,'April 2026'!$D43,'2026 Time Off Request'!$L:$L,'April 2026'!AA$6)</f>
        <v>0</v>
      </c>
      <c r="AB43" s="148">
        <f>COUNTIFS('2026 Time Off Request'!$A:$A,'April 2026'!$D43,'2026 Time Off Request'!$L:$L,'April 2026'!AB$6)</f>
        <v>0</v>
      </c>
      <c r="AC43" s="148">
        <f>COUNTIFS('2026 Time Off Request'!$A:$A,'April 2026'!$D43,'2026 Time Off Request'!$L:$L,'April 2026'!AC$6)</f>
        <v>0</v>
      </c>
      <c r="AD43" s="147">
        <f>COUNTIFS('2026 Time Off Request'!$A:$A,'April 2026'!$D43,'2026 Time Off Request'!$L:$L,'April 2026'!AD$6)</f>
        <v>0</v>
      </c>
      <c r="AE43" s="147">
        <f>COUNTIFS('2026 Time Off Request'!$A:$A,'April 2026'!$D43,'2026 Time Off Request'!$L:$L,'April 2026'!AE$6)</f>
        <v>0</v>
      </c>
      <c r="AF43" s="148">
        <f>COUNTIFS('2026 Time Off Request'!$A:$A,'April 2026'!$D43,'2026 Time Off Request'!$L:$L,'April 2026'!AF$6)</f>
        <v>0</v>
      </c>
      <c r="AG43" s="148">
        <f>COUNTIFS('2026 Time Off Request'!$A:$A,'April 2026'!$D43,'2026 Time Off Request'!$L:$L,'April 2026'!AG$6)</f>
        <v>0</v>
      </c>
      <c r="AH43" s="148">
        <f>COUNTIFS('2026 Time Off Request'!$A:$A,'April 2026'!$D43,'2026 Time Off Request'!$L:$L,'April 2026'!AH$6)</f>
        <v>0</v>
      </c>
      <c r="AI43" s="148">
        <f>COUNTIFS('2026 Time Off Request'!$A:$A,'April 2026'!$D43,'2026 Time Off Request'!$L:$L,'April 2026'!AI$6)</f>
        <v>0</v>
      </c>
    </row>
    <row r="44" spans="1:35" ht="15.75">
      <c r="A44" s="2">
        <v>35</v>
      </c>
      <c r="B44" s="209" t="s">
        <v>45</v>
      </c>
      <c r="C44" s="210" t="s">
        <v>89</v>
      </c>
      <c r="D44" s="215" t="s">
        <v>90</v>
      </c>
      <c r="E44" s="212">
        <f t="shared" si="2"/>
        <v>0</v>
      </c>
      <c r="F44" s="223">
        <f>COUNTIFS('2026 Time Off Request'!$A:$A,'April 2026'!$D44,'2026 Time Off Request'!$L:$L,'April 2026'!F$6)</f>
        <v>0</v>
      </c>
      <c r="G44" s="148">
        <f>COUNTIFS('2026 Time Off Request'!$A:$A,'April 2026'!$D44,'2026 Time Off Request'!$L:$L,'April 2026'!G$6)</f>
        <v>0</v>
      </c>
      <c r="H44" s="148">
        <f>COUNTIFS('2026 Time Off Request'!$A:$A,'April 2026'!$D44,'2026 Time Off Request'!$L:$L,'April 2026'!H$6)</f>
        <v>0</v>
      </c>
      <c r="I44" s="147">
        <f>COUNTIFS('2026 Time Off Request'!$A:$A,'April 2026'!$D44,'2026 Time Off Request'!$L:$L,'April 2026'!I$6)</f>
        <v>0</v>
      </c>
      <c r="J44" s="147">
        <f>COUNTIFS('2026 Time Off Request'!$A:$A,'April 2026'!$D44,'2026 Time Off Request'!$L:$L,'April 2026'!J$6)</f>
        <v>0</v>
      </c>
      <c r="K44" s="148">
        <f>COUNTIFS('2026 Time Off Request'!$A:$A,'April 2026'!$D44,'2026 Time Off Request'!$L:$L,'April 2026'!K$6)</f>
        <v>0</v>
      </c>
      <c r="L44" s="148">
        <f>COUNTIFS('2026 Time Off Request'!$A:$A,'April 2026'!$D44,'2026 Time Off Request'!$L:$L,'April 2026'!L$6)</f>
        <v>0</v>
      </c>
      <c r="M44" s="148">
        <f>COUNTIFS('2026 Time Off Request'!$A:$A,'April 2026'!$D44,'2026 Time Off Request'!$L:$L,'April 2026'!M$6)</f>
        <v>0</v>
      </c>
      <c r="N44" s="148">
        <f>COUNTIFS('2026 Time Off Request'!$A:$A,'April 2026'!$D44,'2026 Time Off Request'!$L:$L,'April 2026'!N$6)</f>
        <v>0</v>
      </c>
      <c r="O44" s="148">
        <f>COUNTIFS('2026 Time Off Request'!$A:$A,'April 2026'!$D44,'2026 Time Off Request'!$L:$L,'April 2026'!O$6)</f>
        <v>0</v>
      </c>
      <c r="P44" s="147">
        <f>COUNTIFS('2026 Time Off Request'!$A:$A,'April 2026'!$D44,'2026 Time Off Request'!$L:$L,'April 2026'!P$6)</f>
        <v>0</v>
      </c>
      <c r="Q44" s="147">
        <f>COUNTIFS('2026 Time Off Request'!$A:$A,'April 2026'!$D44,'2026 Time Off Request'!$L:$L,'April 2026'!Q$6)</f>
        <v>0</v>
      </c>
      <c r="R44" s="148">
        <f>COUNTIFS('2026 Time Off Request'!$A:$A,'April 2026'!$D44,'2026 Time Off Request'!$L:$L,'April 2026'!R$6)</f>
        <v>0</v>
      </c>
      <c r="S44" s="148">
        <f>COUNTIFS('2026 Time Off Request'!$A:$A,'April 2026'!$D44,'2026 Time Off Request'!$L:$L,'April 2026'!S$6)</f>
        <v>0</v>
      </c>
      <c r="T44" s="148">
        <f>COUNTIFS('2026 Time Off Request'!$A:$A,'April 2026'!$D44,'2026 Time Off Request'!$L:$L,'April 2026'!T$6)</f>
        <v>0</v>
      </c>
      <c r="U44" s="148">
        <f>COUNTIFS('2026 Time Off Request'!$A:$A,'April 2026'!$D44,'2026 Time Off Request'!$L:$L,'April 2026'!U$6)</f>
        <v>0</v>
      </c>
      <c r="V44" s="148">
        <f>COUNTIFS('2026 Time Off Request'!$A:$A,'April 2026'!$D44,'2026 Time Off Request'!$L:$L,'April 2026'!V$6)</f>
        <v>0</v>
      </c>
      <c r="W44" s="147">
        <f>COUNTIFS('2026 Time Off Request'!$A:$A,'April 2026'!$D44,'2026 Time Off Request'!$L:$L,'April 2026'!W$6)</f>
        <v>0</v>
      </c>
      <c r="X44" s="147">
        <f>COUNTIFS('2026 Time Off Request'!$A:$A,'April 2026'!$D44,'2026 Time Off Request'!$L:$L,'April 2026'!X$6)</f>
        <v>0</v>
      </c>
      <c r="Y44" s="148">
        <f>COUNTIFS('2026 Time Off Request'!$A:$A,'April 2026'!$D44,'2026 Time Off Request'!$L:$L,'April 2026'!Y$6)</f>
        <v>0</v>
      </c>
      <c r="Z44" s="148">
        <f>COUNTIFS('2026 Time Off Request'!$A:$A,'April 2026'!$D44,'2026 Time Off Request'!$L:$L,'April 2026'!Z$6)</f>
        <v>0</v>
      </c>
      <c r="AA44" s="148">
        <f>COUNTIFS('2026 Time Off Request'!$A:$A,'April 2026'!$D44,'2026 Time Off Request'!$L:$L,'April 2026'!AA$6)</f>
        <v>0</v>
      </c>
      <c r="AB44" s="148">
        <f>COUNTIFS('2026 Time Off Request'!$A:$A,'April 2026'!$D44,'2026 Time Off Request'!$L:$L,'April 2026'!AB$6)</f>
        <v>0</v>
      </c>
      <c r="AC44" s="148">
        <f>COUNTIFS('2026 Time Off Request'!$A:$A,'April 2026'!$D44,'2026 Time Off Request'!$L:$L,'April 2026'!AC$6)</f>
        <v>0</v>
      </c>
      <c r="AD44" s="147">
        <f>COUNTIFS('2026 Time Off Request'!$A:$A,'April 2026'!$D44,'2026 Time Off Request'!$L:$L,'April 2026'!AD$6)</f>
        <v>0</v>
      </c>
      <c r="AE44" s="147">
        <f>COUNTIFS('2026 Time Off Request'!$A:$A,'April 2026'!$D44,'2026 Time Off Request'!$L:$L,'April 2026'!AE$6)</f>
        <v>0</v>
      </c>
      <c r="AF44" s="148">
        <f>COUNTIFS('2026 Time Off Request'!$A:$A,'April 2026'!$D44,'2026 Time Off Request'!$L:$L,'April 2026'!AF$6)</f>
        <v>0</v>
      </c>
      <c r="AG44" s="148">
        <f>COUNTIFS('2026 Time Off Request'!$A:$A,'April 2026'!$D44,'2026 Time Off Request'!$L:$L,'April 2026'!AG$6)</f>
        <v>0</v>
      </c>
      <c r="AH44" s="148">
        <f>COUNTIFS('2026 Time Off Request'!$A:$A,'April 2026'!$D44,'2026 Time Off Request'!$L:$L,'April 2026'!AH$6)</f>
        <v>0</v>
      </c>
      <c r="AI44" s="148">
        <f>COUNTIFS('2026 Time Off Request'!$A:$A,'April 2026'!$D44,'2026 Time Off Request'!$L:$L,'April 2026'!AI$6)</f>
        <v>0</v>
      </c>
    </row>
    <row r="45" spans="1:35" ht="15.75">
      <c r="A45" s="2">
        <v>36</v>
      </c>
      <c r="B45" s="209" t="s">
        <v>45</v>
      </c>
      <c r="C45" s="210" t="s">
        <v>89</v>
      </c>
      <c r="D45" s="215" t="s">
        <v>91</v>
      </c>
      <c r="E45" s="212">
        <f t="shared" si="2"/>
        <v>0</v>
      </c>
      <c r="F45" s="223">
        <f>COUNTIFS('2026 Time Off Request'!$A:$A,'April 2026'!$D45,'2026 Time Off Request'!$L:$L,'April 2026'!F$6)</f>
        <v>0</v>
      </c>
      <c r="G45" s="148">
        <f>COUNTIFS('2026 Time Off Request'!$A:$A,'April 2026'!$D45,'2026 Time Off Request'!$L:$L,'April 2026'!G$6)</f>
        <v>0</v>
      </c>
      <c r="H45" s="148">
        <f>COUNTIFS('2026 Time Off Request'!$A:$A,'April 2026'!$D45,'2026 Time Off Request'!$L:$L,'April 2026'!H$6)</f>
        <v>0</v>
      </c>
      <c r="I45" s="147">
        <f>COUNTIFS('2026 Time Off Request'!$A:$A,'April 2026'!$D45,'2026 Time Off Request'!$L:$L,'April 2026'!I$6)</f>
        <v>0</v>
      </c>
      <c r="J45" s="147">
        <f>COUNTIFS('2026 Time Off Request'!$A:$A,'April 2026'!$D45,'2026 Time Off Request'!$L:$L,'April 2026'!J$6)</f>
        <v>0</v>
      </c>
      <c r="K45" s="148">
        <f>COUNTIFS('2026 Time Off Request'!$A:$A,'April 2026'!$D45,'2026 Time Off Request'!$L:$L,'April 2026'!K$6)</f>
        <v>0</v>
      </c>
      <c r="L45" s="148">
        <f>COUNTIFS('2026 Time Off Request'!$A:$A,'April 2026'!$D45,'2026 Time Off Request'!$L:$L,'April 2026'!L$6)</f>
        <v>0</v>
      </c>
      <c r="M45" s="148">
        <f>COUNTIFS('2026 Time Off Request'!$A:$A,'April 2026'!$D45,'2026 Time Off Request'!$L:$L,'April 2026'!M$6)</f>
        <v>0</v>
      </c>
      <c r="N45" s="148">
        <f>COUNTIFS('2026 Time Off Request'!$A:$A,'April 2026'!$D45,'2026 Time Off Request'!$L:$L,'April 2026'!N$6)</f>
        <v>0</v>
      </c>
      <c r="O45" s="148">
        <f>COUNTIFS('2026 Time Off Request'!$A:$A,'April 2026'!$D45,'2026 Time Off Request'!$L:$L,'April 2026'!O$6)</f>
        <v>0</v>
      </c>
      <c r="P45" s="147">
        <f>COUNTIFS('2026 Time Off Request'!$A:$A,'April 2026'!$D45,'2026 Time Off Request'!$L:$L,'April 2026'!P$6)</f>
        <v>0</v>
      </c>
      <c r="Q45" s="147">
        <f>COUNTIFS('2026 Time Off Request'!$A:$A,'April 2026'!$D45,'2026 Time Off Request'!$L:$L,'April 2026'!Q$6)</f>
        <v>0</v>
      </c>
      <c r="R45" s="148">
        <f>COUNTIFS('2026 Time Off Request'!$A:$A,'April 2026'!$D45,'2026 Time Off Request'!$L:$L,'April 2026'!R$6)</f>
        <v>0</v>
      </c>
      <c r="S45" s="148">
        <f>COUNTIFS('2026 Time Off Request'!$A:$A,'April 2026'!$D45,'2026 Time Off Request'!$L:$L,'April 2026'!S$6)</f>
        <v>0</v>
      </c>
      <c r="T45" s="148">
        <f>COUNTIFS('2026 Time Off Request'!$A:$A,'April 2026'!$D45,'2026 Time Off Request'!$L:$L,'April 2026'!T$6)</f>
        <v>0</v>
      </c>
      <c r="U45" s="148">
        <f>COUNTIFS('2026 Time Off Request'!$A:$A,'April 2026'!$D45,'2026 Time Off Request'!$L:$L,'April 2026'!U$6)</f>
        <v>0</v>
      </c>
      <c r="V45" s="148">
        <f>COUNTIFS('2026 Time Off Request'!$A:$A,'April 2026'!$D45,'2026 Time Off Request'!$L:$L,'April 2026'!V$6)</f>
        <v>0</v>
      </c>
      <c r="W45" s="147">
        <f>COUNTIFS('2026 Time Off Request'!$A:$A,'April 2026'!$D45,'2026 Time Off Request'!$L:$L,'April 2026'!W$6)</f>
        <v>0</v>
      </c>
      <c r="X45" s="147">
        <f>COUNTIFS('2026 Time Off Request'!$A:$A,'April 2026'!$D45,'2026 Time Off Request'!$L:$L,'April 2026'!X$6)</f>
        <v>0</v>
      </c>
      <c r="Y45" s="148">
        <f>COUNTIFS('2026 Time Off Request'!$A:$A,'April 2026'!$D45,'2026 Time Off Request'!$L:$L,'April 2026'!Y$6)</f>
        <v>0</v>
      </c>
      <c r="Z45" s="148">
        <f>COUNTIFS('2026 Time Off Request'!$A:$A,'April 2026'!$D45,'2026 Time Off Request'!$L:$L,'April 2026'!Z$6)</f>
        <v>0</v>
      </c>
      <c r="AA45" s="148">
        <f>COUNTIFS('2026 Time Off Request'!$A:$A,'April 2026'!$D45,'2026 Time Off Request'!$L:$L,'April 2026'!AA$6)</f>
        <v>0</v>
      </c>
      <c r="AB45" s="148">
        <f>COUNTIFS('2026 Time Off Request'!$A:$A,'April 2026'!$D45,'2026 Time Off Request'!$L:$L,'April 2026'!AB$6)</f>
        <v>0</v>
      </c>
      <c r="AC45" s="148">
        <f>COUNTIFS('2026 Time Off Request'!$A:$A,'April 2026'!$D45,'2026 Time Off Request'!$L:$L,'April 2026'!AC$6)</f>
        <v>0</v>
      </c>
      <c r="AD45" s="147">
        <f>COUNTIFS('2026 Time Off Request'!$A:$A,'April 2026'!$D45,'2026 Time Off Request'!$L:$L,'April 2026'!AD$6)</f>
        <v>0</v>
      </c>
      <c r="AE45" s="147">
        <f>COUNTIFS('2026 Time Off Request'!$A:$A,'April 2026'!$D45,'2026 Time Off Request'!$L:$L,'April 2026'!AE$6)</f>
        <v>0</v>
      </c>
      <c r="AF45" s="148">
        <f>COUNTIFS('2026 Time Off Request'!$A:$A,'April 2026'!$D45,'2026 Time Off Request'!$L:$L,'April 2026'!AF$6)</f>
        <v>0</v>
      </c>
      <c r="AG45" s="148">
        <f>COUNTIFS('2026 Time Off Request'!$A:$A,'April 2026'!$D45,'2026 Time Off Request'!$L:$L,'April 2026'!AG$6)</f>
        <v>0</v>
      </c>
      <c r="AH45" s="148">
        <f>COUNTIFS('2026 Time Off Request'!$A:$A,'April 2026'!$D45,'2026 Time Off Request'!$L:$L,'April 2026'!AH$6)</f>
        <v>0</v>
      </c>
      <c r="AI45" s="148">
        <f>COUNTIFS('2026 Time Off Request'!$A:$A,'April 2026'!$D45,'2026 Time Off Request'!$L:$L,'April 2026'!AI$6)</f>
        <v>0</v>
      </c>
    </row>
    <row r="46" spans="1:35" ht="15.75">
      <c r="A46" s="2"/>
      <c r="B46" s="29"/>
      <c r="C46" s="23"/>
      <c r="D46" s="2"/>
      <c r="E46" s="3"/>
    </row>
    <row r="47" spans="1:35" ht="15.6">
      <c r="A47" s="2"/>
      <c r="B47" s="29"/>
      <c r="C47" s="23"/>
      <c r="D47" s="2"/>
      <c r="E47" s="3"/>
    </row>
    <row r="48" spans="1:35" ht="15.6">
      <c r="A48" s="2"/>
      <c r="B48" s="29"/>
      <c r="C48" s="23"/>
      <c r="D48" s="2"/>
      <c r="E48" s="3"/>
    </row>
    <row r="49" spans="1:5" ht="15.6">
      <c r="A49" s="2"/>
      <c r="B49" s="29"/>
      <c r="C49" s="105"/>
      <c r="D49" s="2"/>
      <c r="E49" s="3"/>
    </row>
    <row r="50" spans="1:5" ht="15.6">
      <c r="A50" s="2"/>
      <c r="B50" s="29"/>
      <c r="C50" s="23"/>
      <c r="D50" s="2"/>
      <c r="E50" s="2"/>
    </row>
    <row r="51" spans="1:5" ht="15.6">
      <c r="A51" s="2"/>
      <c r="B51" s="29"/>
      <c r="C51" s="23"/>
      <c r="D51" s="2"/>
      <c r="E51" s="2"/>
    </row>
    <row r="52" spans="1:5" ht="15.6">
      <c r="A52" s="2"/>
      <c r="B52" s="29"/>
      <c r="C52" s="23"/>
      <c r="D52" s="2"/>
      <c r="E52" s="2"/>
    </row>
    <row r="53" spans="1:5" ht="15.6">
      <c r="A53" s="2"/>
      <c r="B53" s="29"/>
      <c r="C53" s="23"/>
      <c r="D53" s="2"/>
      <c r="E53" s="2"/>
    </row>
    <row r="54" spans="1:5" ht="15.6">
      <c r="A54" s="2"/>
      <c r="B54" s="29"/>
      <c r="C54" s="23"/>
      <c r="D54" s="2"/>
      <c r="E54" s="2"/>
    </row>
    <row r="55" spans="1:5" ht="15.6">
      <c r="A55" s="2"/>
      <c r="B55" s="29"/>
      <c r="C55" s="23"/>
      <c r="D55" s="2"/>
      <c r="E55" s="2"/>
    </row>
    <row r="56" spans="1:5" ht="15.6">
      <c r="A56" s="2"/>
      <c r="B56" s="29"/>
      <c r="C56" s="23"/>
      <c r="D56" s="2"/>
      <c r="E56" s="2"/>
    </row>
    <row r="57" spans="1:5" ht="15.6">
      <c r="A57" s="2"/>
      <c r="B57" s="29"/>
      <c r="C57" s="23"/>
      <c r="D57" s="2"/>
      <c r="E57" s="2"/>
    </row>
    <row r="58" spans="1:5" ht="15.6">
      <c r="A58" s="2"/>
      <c r="B58" s="29"/>
      <c r="C58" s="23"/>
      <c r="D58" s="2"/>
      <c r="E58" s="2"/>
    </row>
    <row r="59" spans="1:5" ht="15.6">
      <c r="A59" s="2"/>
      <c r="B59" s="29"/>
      <c r="C59" s="23"/>
      <c r="D59" s="2"/>
      <c r="E59" s="2"/>
    </row>
    <row r="60" spans="1:5" ht="15"/>
    <row r="61" spans="1:5" ht="15"/>
  </sheetData>
  <mergeCells count="1">
    <mergeCell ref="B6:D6"/>
  </mergeCells>
  <conditionalFormatting sqref="E8:AI45">
    <cfRule type="cellIs" dxfId="8" priority="1" operator="greaterThan">
      <formula>0</formula>
    </cfRule>
  </conditionalFormatting>
  <dataValidations count="1">
    <dataValidation allowBlank="1" showInputMessage="1" showErrorMessage="1" sqref="A3:A59" xr:uid="{6B787FCF-52D8-4FB9-B359-DCAF59E02707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7EEE-D557-4A82-A896-7577E5EA1088}">
  <sheetPr>
    <tabColor rgb="FF00B050"/>
  </sheetPr>
  <dimension ref="A2:AN61"/>
  <sheetViews>
    <sheetView showGridLines="0" workbookViewId="0">
      <pane xSplit="4" ySplit="7" topLeftCell="AA49" activePane="bottomRight" state="frozen"/>
      <selection pane="bottomRight" activeCell="D27" sqref="D27"/>
      <selection pane="bottomLeft"/>
      <selection pane="topRight"/>
    </sheetView>
  </sheetViews>
  <sheetFormatPr defaultColWidth="9.140625" defaultRowHeight="14.45"/>
  <cols>
    <col min="1" max="1" width="3.28515625" bestFit="1" customWidth="1"/>
    <col min="3" max="3" width="22.7109375" bestFit="1" customWidth="1"/>
    <col min="4" max="4" width="27.140625" customWidth="1"/>
    <col min="5" max="5" width="15" customWidth="1"/>
    <col min="6" max="6" width="17.140625" style="57" customWidth="1"/>
    <col min="7" max="8" width="17.42578125" style="48" bestFit="1" customWidth="1"/>
    <col min="9" max="13" width="17.42578125" bestFit="1" customWidth="1"/>
    <col min="14" max="14" width="17.42578125" style="48" bestFit="1" customWidth="1"/>
    <col min="15" max="15" width="18.42578125" style="48" bestFit="1" customWidth="1"/>
    <col min="16" max="20" width="18.42578125" bestFit="1" customWidth="1"/>
    <col min="21" max="22" width="18.42578125" style="48" bestFit="1" customWidth="1"/>
    <col min="23" max="23" width="18.42578125" style="51" bestFit="1" customWidth="1"/>
    <col min="24" max="27" width="18.42578125" bestFit="1" customWidth="1"/>
    <col min="28" max="29" width="18.42578125" style="48" bestFit="1" customWidth="1"/>
    <col min="30" max="34" width="18.42578125" bestFit="1" customWidth="1"/>
    <col min="35" max="35" width="18.42578125" style="48" bestFit="1" customWidth="1"/>
    <col min="36" max="36" width="16.140625" style="48" customWidth="1"/>
  </cols>
  <sheetData>
    <row r="2" spans="1:40" s="80" customFormat="1" ht="18.75" customHeight="1">
      <c r="D2" s="96" t="s">
        <v>95</v>
      </c>
      <c r="F2" s="115">
        <f>COUNTA($D$8:$D$52)</f>
        <v>38</v>
      </c>
      <c r="G2" s="46">
        <f t="shared" ref="G2:AJ2" si="0">COUNTA($D$8:$D$52)</f>
        <v>38</v>
      </c>
      <c r="H2" s="46">
        <f t="shared" si="0"/>
        <v>38</v>
      </c>
      <c r="I2" s="80">
        <f t="shared" si="0"/>
        <v>38</v>
      </c>
      <c r="J2" s="80">
        <f t="shared" si="0"/>
        <v>38</v>
      </c>
      <c r="K2" s="80">
        <f t="shared" si="0"/>
        <v>38</v>
      </c>
      <c r="L2" s="80">
        <f t="shared" si="0"/>
        <v>38</v>
      </c>
      <c r="M2" s="80">
        <f t="shared" si="0"/>
        <v>38</v>
      </c>
      <c r="N2" s="46">
        <f t="shared" si="0"/>
        <v>38</v>
      </c>
      <c r="O2" s="46">
        <f t="shared" si="0"/>
        <v>38</v>
      </c>
      <c r="P2" s="80">
        <f t="shared" si="0"/>
        <v>38</v>
      </c>
      <c r="Q2" s="80">
        <f t="shared" si="0"/>
        <v>38</v>
      </c>
      <c r="R2" s="80">
        <f t="shared" si="0"/>
        <v>38</v>
      </c>
      <c r="S2" s="80">
        <f t="shared" si="0"/>
        <v>38</v>
      </c>
      <c r="T2" s="80">
        <f t="shared" si="0"/>
        <v>38</v>
      </c>
      <c r="U2" s="46">
        <f t="shared" si="0"/>
        <v>38</v>
      </c>
      <c r="V2" s="46">
        <f t="shared" si="0"/>
        <v>38</v>
      </c>
      <c r="W2" s="49">
        <f t="shared" si="0"/>
        <v>38</v>
      </c>
      <c r="X2" s="80">
        <f t="shared" si="0"/>
        <v>38</v>
      </c>
      <c r="Y2" s="80">
        <f t="shared" si="0"/>
        <v>38</v>
      </c>
      <c r="Z2" s="80">
        <f t="shared" si="0"/>
        <v>38</v>
      </c>
      <c r="AA2" s="80">
        <f t="shared" si="0"/>
        <v>38</v>
      </c>
      <c r="AB2" s="46">
        <f t="shared" si="0"/>
        <v>38</v>
      </c>
      <c r="AC2" s="46">
        <f t="shared" si="0"/>
        <v>38</v>
      </c>
      <c r="AD2" s="80">
        <f t="shared" si="0"/>
        <v>38</v>
      </c>
      <c r="AE2" s="80">
        <f t="shared" si="0"/>
        <v>38</v>
      </c>
      <c r="AF2" s="80">
        <f t="shared" si="0"/>
        <v>38</v>
      </c>
      <c r="AG2" s="80">
        <f t="shared" si="0"/>
        <v>38</v>
      </c>
      <c r="AH2" s="80">
        <f t="shared" si="0"/>
        <v>38</v>
      </c>
      <c r="AI2" s="46">
        <f t="shared" si="0"/>
        <v>38</v>
      </c>
      <c r="AJ2" s="46">
        <f t="shared" si="0"/>
        <v>38</v>
      </c>
    </row>
    <row r="3" spans="1:40" s="80" customFormat="1" ht="12">
      <c r="A3" s="96"/>
      <c r="C3" s="96"/>
      <c r="D3" s="96" t="s">
        <v>96</v>
      </c>
      <c r="E3" s="96"/>
      <c r="F3" s="115">
        <f>SUM(F8:F49)</f>
        <v>0</v>
      </c>
      <c r="G3" s="46">
        <f t="shared" ref="G3:AI3" si="1">SUM(G8:G49)</f>
        <v>0</v>
      </c>
      <c r="H3" s="46">
        <f t="shared" si="1"/>
        <v>0</v>
      </c>
      <c r="I3" s="80">
        <f t="shared" si="1"/>
        <v>1</v>
      </c>
      <c r="J3" s="80">
        <f t="shared" si="1"/>
        <v>1</v>
      </c>
      <c r="K3" s="80">
        <f t="shared" si="1"/>
        <v>1</v>
      </c>
      <c r="L3" s="80">
        <f t="shared" si="1"/>
        <v>1</v>
      </c>
      <c r="M3" s="80">
        <f>SUM(M8:M49)</f>
        <v>0</v>
      </c>
      <c r="N3" s="46">
        <f t="shared" si="1"/>
        <v>0</v>
      </c>
      <c r="O3" s="46">
        <f t="shared" si="1"/>
        <v>0</v>
      </c>
      <c r="P3" s="80">
        <f t="shared" si="1"/>
        <v>0</v>
      </c>
      <c r="Q3" s="80">
        <f t="shared" si="1"/>
        <v>0</v>
      </c>
      <c r="R3" s="80">
        <f>SUM(R8:R49)</f>
        <v>0</v>
      </c>
      <c r="S3" s="80">
        <f t="shared" si="1"/>
        <v>0</v>
      </c>
      <c r="T3" s="80">
        <f t="shared" si="1"/>
        <v>0</v>
      </c>
      <c r="U3" s="46">
        <f t="shared" si="1"/>
        <v>0</v>
      </c>
      <c r="V3" s="46">
        <f t="shared" si="1"/>
        <v>0</v>
      </c>
      <c r="W3" s="49">
        <f>SUM(W8:W49)</f>
        <v>0</v>
      </c>
      <c r="X3" s="80">
        <f t="shared" si="1"/>
        <v>1</v>
      </c>
      <c r="Y3" s="80">
        <f t="shared" si="1"/>
        <v>1</v>
      </c>
      <c r="Z3" s="80">
        <f t="shared" si="1"/>
        <v>1</v>
      </c>
      <c r="AA3" s="80">
        <f t="shared" si="1"/>
        <v>1</v>
      </c>
      <c r="AB3" s="46">
        <f t="shared" si="1"/>
        <v>0</v>
      </c>
      <c r="AC3" s="46">
        <f t="shared" si="1"/>
        <v>0</v>
      </c>
      <c r="AD3" s="80">
        <f>SUM(AD8:AD49)</f>
        <v>0</v>
      </c>
      <c r="AE3" s="80">
        <f t="shared" si="1"/>
        <v>0</v>
      </c>
      <c r="AF3" s="80">
        <f>SUM(AF8:AF49)</f>
        <v>0</v>
      </c>
      <c r="AG3" s="80">
        <f t="shared" si="1"/>
        <v>0</v>
      </c>
      <c r="AH3" s="80">
        <f t="shared" si="1"/>
        <v>0</v>
      </c>
      <c r="AI3" s="46">
        <f t="shared" si="1"/>
        <v>0</v>
      </c>
      <c r="AJ3" s="46">
        <f t="shared" ref="AJ3" si="2">SUM(AJ8:AJ49)</f>
        <v>0</v>
      </c>
    </row>
    <row r="4" spans="1:40" s="80" customFormat="1" ht="12">
      <c r="A4" s="96"/>
      <c r="B4" s="97"/>
      <c r="C4" s="96"/>
      <c r="D4" s="96" t="s">
        <v>97</v>
      </c>
      <c r="E4" s="96"/>
      <c r="F4" s="116">
        <f>(COUNTA($D$8:$D$49)-F$3)/(COUNTA($D$8:$D$49))</f>
        <v>1</v>
      </c>
      <c r="G4" s="47">
        <f>(COUNTA($D$8:$D$49)-G$3)/(COUNTA($D$8:$D$49))</f>
        <v>1</v>
      </c>
      <c r="H4" s="47">
        <f>(COUNTA($D$8:$D$49)-H$3)/(COUNTA($D$8:$D$49))</f>
        <v>1</v>
      </c>
      <c r="I4" s="81">
        <f>(COUNTA($D$8:$D$49)-I$3)/(COUNTA($D$8:$D$49))</f>
        <v>0.97368421052631582</v>
      </c>
      <c r="J4" s="81">
        <f>(COUNTA($D$8:$D$49)-J$3)/(COUNTA($D$8:$D$49))</f>
        <v>0.97368421052631582</v>
      </c>
      <c r="K4" s="81">
        <f>(COUNTA($D$8:$D$49)-K$3)/(COUNTA($D$8:$D$49))</f>
        <v>0.97368421052631582</v>
      </c>
      <c r="L4" s="81">
        <f>(COUNTA($D$8:$D$49)-L$3)/(COUNTA($D$8:$D$49))</f>
        <v>0.97368421052631582</v>
      </c>
      <c r="M4" s="81">
        <f>(COUNTA($D$8:$D$49)-M$3)/(COUNTA($D$8:$D$49))</f>
        <v>1</v>
      </c>
      <c r="N4" s="47">
        <f>(COUNTA($D$8:$D$49)-N$3)/(COUNTA($D$8:$D$49))</f>
        <v>1</v>
      </c>
      <c r="O4" s="47">
        <f>(COUNTA($D$8:$D$49)-O$3)/(COUNTA($D$8:$D$49))</f>
        <v>1</v>
      </c>
      <c r="P4" s="81">
        <f>(COUNTA($D$8:$D$49)-P$3)/(COUNTA($D$8:$D$49))</f>
        <v>1</v>
      </c>
      <c r="Q4" s="81">
        <f>(COUNTA($D$8:$D$49)-Q$3)/(COUNTA($D$8:$D$49))</f>
        <v>1</v>
      </c>
      <c r="R4" s="81">
        <f>(COUNTA($D$8:$D$49)-R$3)/(COUNTA($D$8:$D$49))</f>
        <v>1</v>
      </c>
      <c r="S4" s="81">
        <f>(COUNTA($D$8:$D$49)-S$3)/(COUNTA($D$8:$D$49))</f>
        <v>1</v>
      </c>
      <c r="T4" s="81">
        <f>(COUNTA($D$8:$D$49)-T$3)/(COUNTA($D$8:$D$49))</f>
        <v>1</v>
      </c>
      <c r="U4" s="47">
        <f>(COUNTA($D$8:$D$49)-U$3)/(COUNTA($D$8:$D$49))</f>
        <v>1</v>
      </c>
      <c r="V4" s="47">
        <f>(COUNTA($D$8:$D$49)-V$3)/(COUNTA($D$8:$D$49))</f>
        <v>1</v>
      </c>
      <c r="W4" s="50">
        <f>(COUNTA($D$8:$D$49)-W$3)/(COUNTA($D$8:$D$49))</f>
        <v>1</v>
      </c>
      <c r="X4" s="81">
        <f>(COUNTA($D$8:$D$49)-X$3)/(COUNTA($D$8:$D$49))</f>
        <v>0.97368421052631582</v>
      </c>
      <c r="Y4" s="81">
        <f>(COUNTA($D$8:$D$49)-Y$3)/(COUNTA($D$8:$D$49))</f>
        <v>0.97368421052631582</v>
      </c>
      <c r="Z4" s="81">
        <f>(COUNTA($D$8:$D$49)-Z$3)/(COUNTA($D$8:$D$49))</f>
        <v>0.97368421052631582</v>
      </c>
      <c r="AA4" s="81">
        <f>(COUNTA($D$8:$D$49)-AA$3)/(COUNTA($D$8:$D$49))</f>
        <v>0.97368421052631582</v>
      </c>
      <c r="AB4" s="47">
        <f>(COUNTA($D$8:$D$49)-AB$3)/(COUNTA($D$8:$D$49))</f>
        <v>1</v>
      </c>
      <c r="AC4" s="47">
        <f>(COUNTA($D$8:$D$49)-AC$3)/(COUNTA($D$8:$D$49))</f>
        <v>1</v>
      </c>
      <c r="AD4" s="81">
        <f>(COUNTA($D$8:$D$49)-AD$3)/(COUNTA($D$8:$D$49))</f>
        <v>1</v>
      </c>
      <c r="AE4" s="81">
        <f>(COUNTA($D$8:$D$49)-AE$3)/(COUNTA($D$8:$D$49))</f>
        <v>1</v>
      </c>
      <c r="AF4" s="81">
        <f>(COUNTA($D$8:$D$49)-AF$3)/(COUNTA($D$8:$D$49))</f>
        <v>1</v>
      </c>
      <c r="AG4" s="81">
        <f>(COUNTA($D$8:$D$49)-AG$3)/(COUNTA($D$8:$D$49))</f>
        <v>1</v>
      </c>
      <c r="AH4" s="81">
        <f>(COUNTA($D$8:$D$49)-AH$3)/(COUNTA($D$8:$D$49))</f>
        <v>1</v>
      </c>
      <c r="AI4" s="47">
        <f>(COUNTA($D$8:$D$49)-AI$3)/(COUNTA($D$8:$D$49))</f>
        <v>1</v>
      </c>
      <c r="AJ4" s="47">
        <f>(COUNTA($D$8:$D$49)-AJ$3)/(COUNTA($D$8:$D$49))</f>
        <v>1</v>
      </c>
    </row>
    <row r="5" spans="1:40" s="80" customFormat="1" ht="8.25" customHeight="1">
      <c r="A5" s="96"/>
      <c r="B5" s="97"/>
      <c r="C5" s="96"/>
      <c r="D5" s="96"/>
      <c r="E5" s="96"/>
      <c r="F5" s="116"/>
      <c r="G5" s="47"/>
      <c r="H5" s="47"/>
      <c r="I5" s="81"/>
      <c r="J5" s="81"/>
      <c r="K5" s="81"/>
      <c r="L5" s="81"/>
      <c r="M5" s="81"/>
      <c r="N5" s="47"/>
      <c r="O5" s="47"/>
      <c r="P5" s="81"/>
      <c r="Q5" s="81"/>
      <c r="R5" s="81"/>
      <c r="S5" s="81"/>
      <c r="T5" s="81"/>
      <c r="U5" s="47"/>
      <c r="V5" s="47"/>
      <c r="W5" s="50"/>
      <c r="X5" s="81"/>
      <c r="Y5" s="81"/>
      <c r="Z5" s="81"/>
      <c r="AA5" s="81"/>
      <c r="AB5" s="47"/>
      <c r="AC5" s="47"/>
      <c r="AD5" s="81"/>
      <c r="AE5" s="81"/>
      <c r="AF5" s="81"/>
      <c r="AG5" s="81"/>
      <c r="AH5" s="81"/>
      <c r="AI5" s="47"/>
      <c r="AJ5" s="46"/>
    </row>
    <row r="6" spans="1:40" s="100" customFormat="1" ht="34.5" customHeight="1">
      <c r="A6" s="98"/>
      <c r="B6" s="246" t="s">
        <v>0</v>
      </c>
      <c r="C6" s="247"/>
      <c r="D6" s="247"/>
      <c r="E6" s="16" t="s">
        <v>98</v>
      </c>
      <c r="F6" s="95">
        <v>46143</v>
      </c>
      <c r="G6" s="109">
        <v>46144</v>
      </c>
      <c r="H6" s="109">
        <v>46145</v>
      </c>
      <c r="I6" s="95">
        <v>46146</v>
      </c>
      <c r="J6" s="95">
        <v>46147</v>
      </c>
      <c r="K6" s="95">
        <v>46148</v>
      </c>
      <c r="L6" s="95">
        <v>46149</v>
      </c>
      <c r="M6" s="95">
        <v>46150</v>
      </c>
      <c r="N6" s="109">
        <v>46151</v>
      </c>
      <c r="O6" s="109">
        <v>46152</v>
      </c>
      <c r="P6" s="95">
        <v>46153</v>
      </c>
      <c r="Q6" s="95">
        <v>46154</v>
      </c>
      <c r="R6" s="95">
        <v>46155</v>
      </c>
      <c r="S6" s="95">
        <v>46156</v>
      </c>
      <c r="T6" s="95">
        <v>46157</v>
      </c>
      <c r="U6" s="109">
        <v>46158</v>
      </c>
      <c r="V6" s="109">
        <v>46159</v>
      </c>
      <c r="W6" s="85">
        <v>46160</v>
      </c>
      <c r="X6" s="95">
        <v>46161</v>
      </c>
      <c r="Y6" s="95">
        <v>46162</v>
      </c>
      <c r="Z6" s="95">
        <v>46163</v>
      </c>
      <c r="AA6" s="95">
        <v>46164</v>
      </c>
      <c r="AB6" s="109">
        <v>46165</v>
      </c>
      <c r="AC6" s="109">
        <v>46166</v>
      </c>
      <c r="AD6" s="95">
        <v>46167</v>
      </c>
      <c r="AE6" s="95">
        <v>46168</v>
      </c>
      <c r="AF6" s="95">
        <v>46169</v>
      </c>
      <c r="AG6" s="95">
        <v>46170</v>
      </c>
      <c r="AH6" s="95">
        <v>46171</v>
      </c>
      <c r="AI6" s="109">
        <v>46172</v>
      </c>
      <c r="AJ6" s="110">
        <v>46173</v>
      </c>
      <c r="AK6" s="99"/>
      <c r="AL6" s="99"/>
      <c r="AM6" s="99"/>
      <c r="AN6" s="99"/>
    </row>
    <row r="7" spans="1:40" ht="15.75">
      <c r="A7" s="1"/>
      <c r="B7" s="28" t="s">
        <v>3</v>
      </c>
      <c r="C7" s="24" t="s">
        <v>4</v>
      </c>
      <c r="D7" s="1" t="s">
        <v>5</v>
      </c>
      <c r="E7" s="5" t="s">
        <v>99</v>
      </c>
      <c r="F7" s="218" t="s">
        <v>104</v>
      </c>
      <c r="G7" s="216" t="s">
        <v>105</v>
      </c>
      <c r="H7" s="216" t="s">
        <v>106</v>
      </c>
      <c r="I7" s="218" t="s">
        <v>100</v>
      </c>
      <c r="J7" s="218" t="s">
        <v>101</v>
      </c>
      <c r="K7" s="218" t="s">
        <v>102</v>
      </c>
      <c r="L7" s="218" t="s">
        <v>103</v>
      </c>
      <c r="M7" s="218" t="s">
        <v>104</v>
      </c>
      <c r="N7" s="216" t="s">
        <v>105</v>
      </c>
      <c r="O7" s="216" t="s">
        <v>106</v>
      </c>
      <c r="P7" s="218" t="s">
        <v>100</v>
      </c>
      <c r="Q7" s="218" t="s">
        <v>101</v>
      </c>
      <c r="R7" s="218" t="s">
        <v>102</v>
      </c>
      <c r="S7" s="218" t="s">
        <v>103</v>
      </c>
      <c r="T7" s="218" t="s">
        <v>104</v>
      </c>
      <c r="U7" s="216" t="s">
        <v>105</v>
      </c>
      <c r="V7" s="216" t="s">
        <v>106</v>
      </c>
      <c r="W7" s="225" t="s">
        <v>100</v>
      </c>
      <c r="X7" s="218" t="s">
        <v>101</v>
      </c>
      <c r="Y7" s="218" t="s">
        <v>102</v>
      </c>
      <c r="Z7" s="218" t="s">
        <v>103</v>
      </c>
      <c r="AA7" s="218" t="s">
        <v>104</v>
      </c>
      <c r="AB7" s="216" t="s">
        <v>105</v>
      </c>
      <c r="AC7" s="216" t="s">
        <v>106</v>
      </c>
      <c r="AD7" s="218" t="s">
        <v>100</v>
      </c>
      <c r="AE7" s="218" t="s">
        <v>101</v>
      </c>
      <c r="AF7" s="218" t="s">
        <v>102</v>
      </c>
      <c r="AG7" s="218" t="s">
        <v>103</v>
      </c>
      <c r="AH7" s="218" t="s">
        <v>104</v>
      </c>
      <c r="AI7" s="216" t="s">
        <v>105</v>
      </c>
      <c r="AJ7" s="221" t="s">
        <v>106</v>
      </c>
    </row>
    <row r="8" spans="1:40" ht="15.75">
      <c r="A8" s="2">
        <v>1</v>
      </c>
      <c r="B8" s="209" t="s">
        <v>25</v>
      </c>
      <c r="C8" s="210" t="s">
        <v>26</v>
      </c>
      <c r="D8" s="211" t="s">
        <v>27</v>
      </c>
      <c r="E8" s="212">
        <f t="shared" ref="E8:E45" si="3">SUM(F8:AI8)</f>
        <v>0</v>
      </c>
      <c r="F8" s="223">
        <f>COUNTIFS('2026 Time Off Request'!$A:$A,'May 2026'!$D8,'2026 Time Off Request'!$L:$L,'May 2026'!F$6)</f>
        <v>0</v>
      </c>
      <c r="G8" s="147">
        <f>COUNTIFS('2026 Time Off Request'!$A:$A,'May 2026'!$D8,'2026 Time Off Request'!$L:$L,'May 2026'!G$6)</f>
        <v>0</v>
      </c>
      <c r="H8" s="147">
        <f>COUNTIFS('2026 Time Off Request'!$A:$A,'May 2026'!$D8,'2026 Time Off Request'!$L:$L,'May 2026'!H$6)</f>
        <v>0</v>
      </c>
      <c r="I8" s="148">
        <f>COUNTIFS('2026 Time Off Request'!$A:$A,'May 2026'!$D8,'2026 Time Off Request'!$L:$L,'May 2026'!I$6)</f>
        <v>0</v>
      </c>
      <c r="J8" s="148">
        <f>COUNTIFS('2026 Time Off Request'!$A:$A,'May 2026'!$D8,'2026 Time Off Request'!$L:$L,'May 2026'!J$6)</f>
        <v>0</v>
      </c>
      <c r="K8" s="148">
        <f>COUNTIFS('2026 Time Off Request'!$A:$A,'May 2026'!$D8,'2026 Time Off Request'!$L:$L,'May 2026'!K$6)</f>
        <v>0</v>
      </c>
      <c r="L8" s="148">
        <f>COUNTIFS('2026 Time Off Request'!$A:$A,'May 2026'!$D8,'2026 Time Off Request'!$L:$L,'May 2026'!L$6)</f>
        <v>0</v>
      </c>
      <c r="M8" s="148">
        <f>COUNTIFS('2026 Time Off Request'!$A:$A,'May 2026'!$D8,'2026 Time Off Request'!$L:$L,'May 2026'!M$6)</f>
        <v>0</v>
      </c>
      <c r="N8" s="147">
        <f>COUNTIFS('2026 Time Off Request'!$A:$A,'May 2026'!$D8,'2026 Time Off Request'!$L:$L,'May 2026'!N$6)</f>
        <v>0</v>
      </c>
      <c r="O8" s="147">
        <f>COUNTIFS('2026 Time Off Request'!$A:$A,'May 2026'!$D8,'2026 Time Off Request'!$L:$L,'May 2026'!O$6)</f>
        <v>0</v>
      </c>
      <c r="P8" s="148">
        <f>COUNTIFS('2026 Time Off Request'!$A:$A,'May 2026'!$D8,'2026 Time Off Request'!$L:$L,'May 2026'!P$6)</f>
        <v>0</v>
      </c>
      <c r="Q8" s="148">
        <f>COUNTIFS('2026 Time Off Request'!$A:$A,'May 2026'!$D8,'2026 Time Off Request'!$L:$L,'May 2026'!Q$6)</f>
        <v>0</v>
      </c>
      <c r="R8" s="148">
        <f>COUNTIFS('2026 Time Off Request'!$A:$A,'May 2026'!$D8,'2026 Time Off Request'!$L:$L,'May 2026'!R$6)</f>
        <v>0</v>
      </c>
      <c r="S8" s="148">
        <f>COUNTIFS('2026 Time Off Request'!$A:$A,'May 2026'!$D8,'2026 Time Off Request'!$L:$L,'May 2026'!S$6)</f>
        <v>0</v>
      </c>
      <c r="T8" s="148">
        <f>COUNTIFS('2026 Time Off Request'!$A:$A,'May 2026'!$D8,'2026 Time Off Request'!$L:$L,'May 2026'!T$6)</f>
        <v>0</v>
      </c>
      <c r="U8" s="147">
        <f>COUNTIFS('2026 Time Off Request'!$A:$A,'May 2026'!$D8,'2026 Time Off Request'!$L:$L,'May 2026'!U$6)</f>
        <v>0</v>
      </c>
      <c r="V8" s="147">
        <f>COUNTIFS('2026 Time Off Request'!$A:$A,'May 2026'!$D8,'2026 Time Off Request'!$L:$L,'May 2026'!V$6)</f>
        <v>0</v>
      </c>
      <c r="W8" s="224">
        <f>COUNTIFS('2026 Time Off Request'!$A:$A,'May 2026'!$D8,'2026 Time Off Request'!$L:$L,'May 2026'!W$6)</f>
        <v>0</v>
      </c>
      <c r="X8" s="148">
        <f>COUNTIFS('2026 Time Off Request'!$A:$A,'May 2026'!$D8,'2026 Time Off Request'!$L:$L,'May 2026'!X$6)</f>
        <v>0</v>
      </c>
      <c r="Y8" s="148">
        <f>COUNTIFS('2026 Time Off Request'!$A:$A,'May 2026'!$D8,'2026 Time Off Request'!$L:$L,'May 2026'!Y$6)</f>
        <v>0</v>
      </c>
      <c r="Z8" s="148">
        <f>COUNTIFS('2026 Time Off Request'!$A:$A,'May 2026'!$D8,'2026 Time Off Request'!$L:$L,'May 2026'!Z$6)</f>
        <v>0</v>
      </c>
      <c r="AA8" s="148">
        <f>COUNTIFS('2026 Time Off Request'!$A:$A,'May 2026'!$D8,'2026 Time Off Request'!$L:$L,'May 2026'!AA$6)</f>
        <v>0</v>
      </c>
      <c r="AB8" s="147">
        <f>COUNTIFS('2026 Time Off Request'!$A:$A,'May 2026'!$D8,'2026 Time Off Request'!$L:$L,'May 2026'!AB$6)</f>
        <v>0</v>
      </c>
      <c r="AC8" s="147">
        <f>COUNTIFS('2026 Time Off Request'!$A:$A,'May 2026'!$D8,'2026 Time Off Request'!$L:$L,'May 2026'!AC$6)</f>
        <v>0</v>
      </c>
      <c r="AD8" s="148">
        <f>COUNTIFS('2026 Time Off Request'!$A:$A,'May 2026'!$D8,'2026 Time Off Request'!$L:$L,'May 2026'!AD$6)</f>
        <v>0</v>
      </c>
      <c r="AE8" s="148">
        <f>COUNTIFS('2026 Time Off Request'!$A:$A,'May 2026'!$D8,'2026 Time Off Request'!$L:$L,'May 2026'!AE$6)</f>
        <v>0</v>
      </c>
      <c r="AF8" s="148">
        <f>COUNTIFS('2026 Time Off Request'!$A:$A,'May 2026'!$D8,'2026 Time Off Request'!$L:$L,'May 2026'!AF$6)</f>
        <v>0</v>
      </c>
      <c r="AG8" s="148">
        <f>COUNTIFS('2026 Time Off Request'!$A:$A,'May 2026'!$D8,'2026 Time Off Request'!$L:$L,'May 2026'!AG$6)</f>
        <v>0</v>
      </c>
      <c r="AH8" s="148">
        <f>COUNTIFS('2026 Time Off Request'!$A:$A,'May 2026'!$D8,'2026 Time Off Request'!$L:$L,'May 2026'!AH$6)</f>
        <v>0</v>
      </c>
      <c r="AI8" s="147">
        <f>COUNTIFS('2026 Time Off Request'!$A:$A,'May 2026'!$D8,'2026 Time Off Request'!$L:$L,'May 2026'!AI$6)</f>
        <v>0</v>
      </c>
      <c r="AJ8" s="147">
        <f>COUNTIFS('2026 Time Off Request'!$A:$A,'May 2026'!$D8,'2026 Time Off Request'!$L:$L,'May 2026'!AJ$6)</f>
        <v>0</v>
      </c>
    </row>
    <row r="9" spans="1:40" ht="15.75">
      <c r="A9" s="2">
        <v>2</v>
      </c>
      <c r="B9" s="209" t="s">
        <v>25</v>
      </c>
      <c r="C9" s="210" t="s">
        <v>28</v>
      </c>
      <c r="D9" s="215" t="s">
        <v>29</v>
      </c>
      <c r="E9" s="212">
        <f t="shared" si="3"/>
        <v>0</v>
      </c>
      <c r="F9" s="223">
        <f>COUNTIFS('2026 Time Off Request'!$A:$A,'May 2026'!$D9,'2026 Time Off Request'!$L:$L,'May 2026'!F$6)</f>
        <v>0</v>
      </c>
      <c r="G9" s="147">
        <f>COUNTIFS('2026 Time Off Request'!$A:$A,'May 2026'!$D9,'2026 Time Off Request'!$L:$L,'May 2026'!G$6)</f>
        <v>0</v>
      </c>
      <c r="H9" s="147">
        <f>COUNTIFS('2026 Time Off Request'!$A:$A,'May 2026'!$D9,'2026 Time Off Request'!$L:$L,'May 2026'!H$6)</f>
        <v>0</v>
      </c>
      <c r="I9" s="148">
        <f>COUNTIFS('2026 Time Off Request'!$A:$A,'May 2026'!$D9,'2026 Time Off Request'!$L:$L,'May 2026'!I$6)</f>
        <v>0</v>
      </c>
      <c r="J9" s="148">
        <f>COUNTIFS('2026 Time Off Request'!$A:$A,'May 2026'!$D9,'2026 Time Off Request'!$L:$L,'May 2026'!J$6)</f>
        <v>0</v>
      </c>
      <c r="K9" s="148">
        <f>COUNTIFS('2026 Time Off Request'!$A:$A,'May 2026'!$D9,'2026 Time Off Request'!$L:$L,'May 2026'!K$6)</f>
        <v>0</v>
      </c>
      <c r="L9" s="148">
        <f>COUNTIFS('2026 Time Off Request'!$A:$A,'May 2026'!$D9,'2026 Time Off Request'!$L:$L,'May 2026'!L$6)</f>
        <v>0</v>
      </c>
      <c r="M9" s="148">
        <f>COUNTIFS('2026 Time Off Request'!$A:$A,'May 2026'!$D9,'2026 Time Off Request'!$L:$L,'May 2026'!M$6)</f>
        <v>0</v>
      </c>
      <c r="N9" s="147">
        <f>COUNTIFS('2026 Time Off Request'!$A:$A,'May 2026'!$D9,'2026 Time Off Request'!$L:$L,'May 2026'!N$6)</f>
        <v>0</v>
      </c>
      <c r="O9" s="147">
        <f>COUNTIFS('2026 Time Off Request'!$A:$A,'May 2026'!$D9,'2026 Time Off Request'!$L:$L,'May 2026'!O$6)</f>
        <v>0</v>
      </c>
      <c r="P9" s="148">
        <f>COUNTIFS('2026 Time Off Request'!$A:$A,'May 2026'!$D9,'2026 Time Off Request'!$L:$L,'May 2026'!P$6)</f>
        <v>0</v>
      </c>
      <c r="Q9" s="148">
        <f>COUNTIFS('2026 Time Off Request'!$A:$A,'May 2026'!$D9,'2026 Time Off Request'!$L:$L,'May 2026'!Q$6)</f>
        <v>0</v>
      </c>
      <c r="R9" s="148">
        <f>COUNTIFS('2026 Time Off Request'!$A:$A,'May 2026'!$D9,'2026 Time Off Request'!$L:$L,'May 2026'!R$6)</f>
        <v>0</v>
      </c>
      <c r="S9" s="148">
        <f>COUNTIFS('2026 Time Off Request'!$A:$A,'May 2026'!$D9,'2026 Time Off Request'!$L:$L,'May 2026'!S$6)</f>
        <v>0</v>
      </c>
      <c r="T9" s="148">
        <f>COUNTIFS('2026 Time Off Request'!$A:$A,'May 2026'!$D9,'2026 Time Off Request'!$L:$L,'May 2026'!T$6)</f>
        <v>0</v>
      </c>
      <c r="U9" s="147">
        <f>COUNTIFS('2026 Time Off Request'!$A:$A,'May 2026'!$D9,'2026 Time Off Request'!$L:$L,'May 2026'!U$6)</f>
        <v>0</v>
      </c>
      <c r="V9" s="147">
        <f>COUNTIFS('2026 Time Off Request'!$A:$A,'May 2026'!$D9,'2026 Time Off Request'!$L:$L,'May 2026'!V$6)</f>
        <v>0</v>
      </c>
      <c r="W9" s="224">
        <f>COUNTIFS('2026 Time Off Request'!$A:$A,'May 2026'!$D9,'2026 Time Off Request'!$L:$L,'May 2026'!W$6)</f>
        <v>0</v>
      </c>
      <c r="X9" s="148">
        <f>COUNTIFS('2026 Time Off Request'!$A:$A,'May 2026'!$D9,'2026 Time Off Request'!$L:$L,'May 2026'!X$6)</f>
        <v>0</v>
      </c>
      <c r="Y9" s="148">
        <f>COUNTIFS('2026 Time Off Request'!$A:$A,'May 2026'!$D9,'2026 Time Off Request'!$L:$L,'May 2026'!Y$6)</f>
        <v>0</v>
      </c>
      <c r="Z9" s="148">
        <f>COUNTIFS('2026 Time Off Request'!$A:$A,'May 2026'!$D9,'2026 Time Off Request'!$L:$L,'May 2026'!Z$6)</f>
        <v>0</v>
      </c>
      <c r="AA9" s="148">
        <f>COUNTIFS('2026 Time Off Request'!$A:$A,'May 2026'!$D9,'2026 Time Off Request'!$L:$L,'May 2026'!AA$6)</f>
        <v>0</v>
      </c>
      <c r="AB9" s="147">
        <f>COUNTIFS('2026 Time Off Request'!$A:$A,'May 2026'!$D9,'2026 Time Off Request'!$L:$L,'May 2026'!AB$6)</f>
        <v>0</v>
      </c>
      <c r="AC9" s="147">
        <f>COUNTIFS('2026 Time Off Request'!$A:$A,'May 2026'!$D9,'2026 Time Off Request'!$L:$L,'May 2026'!AC$6)</f>
        <v>0</v>
      </c>
      <c r="AD9" s="148">
        <f>COUNTIFS('2026 Time Off Request'!$A:$A,'May 2026'!$D9,'2026 Time Off Request'!$L:$L,'May 2026'!AD$6)</f>
        <v>0</v>
      </c>
      <c r="AE9" s="148">
        <f>COUNTIFS('2026 Time Off Request'!$A:$A,'May 2026'!$D9,'2026 Time Off Request'!$L:$L,'May 2026'!AE$6)</f>
        <v>0</v>
      </c>
      <c r="AF9" s="148">
        <f>COUNTIFS('2026 Time Off Request'!$A:$A,'May 2026'!$D9,'2026 Time Off Request'!$L:$L,'May 2026'!AF$6)</f>
        <v>0</v>
      </c>
      <c r="AG9" s="148">
        <f>COUNTIFS('2026 Time Off Request'!$A:$A,'May 2026'!$D9,'2026 Time Off Request'!$L:$L,'May 2026'!AG$6)</f>
        <v>0</v>
      </c>
      <c r="AH9" s="148">
        <f>COUNTIFS('2026 Time Off Request'!$A:$A,'May 2026'!$D9,'2026 Time Off Request'!$L:$L,'May 2026'!AH$6)</f>
        <v>0</v>
      </c>
      <c r="AI9" s="147">
        <f>COUNTIFS('2026 Time Off Request'!$A:$A,'May 2026'!$D9,'2026 Time Off Request'!$L:$L,'May 2026'!AI$6)</f>
        <v>0</v>
      </c>
      <c r="AJ9" s="147">
        <f>COUNTIFS('2026 Time Off Request'!$A:$A,'May 2026'!$D9,'2026 Time Off Request'!$L:$L,'May 2026'!AJ$6)</f>
        <v>0</v>
      </c>
    </row>
    <row r="10" spans="1:40" ht="15.75">
      <c r="A10" s="2">
        <v>3</v>
      </c>
      <c r="B10" s="209" t="s">
        <v>25</v>
      </c>
      <c r="C10" s="210" t="s">
        <v>30</v>
      </c>
      <c r="D10" s="215" t="s">
        <v>31</v>
      </c>
      <c r="E10" s="212">
        <f t="shared" si="3"/>
        <v>0</v>
      </c>
      <c r="F10" s="223">
        <f>COUNTIFS('2026 Time Off Request'!$A:$A,'May 2026'!$D10,'2026 Time Off Request'!$L:$L,'May 2026'!F$6)</f>
        <v>0</v>
      </c>
      <c r="G10" s="147">
        <f>COUNTIFS('2026 Time Off Request'!$A:$A,'May 2026'!$D10,'2026 Time Off Request'!$L:$L,'May 2026'!G$6)</f>
        <v>0</v>
      </c>
      <c r="H10" s="147">
        <f>COUNTIFS('2026 Time Off Request'!$A:$A,'May 2026'!$D10,'2026 Time Off Request'!$L:$L,'May 2026'!H$6)</f>
        <v>0</v>
      </c>
      <c r="I10" s="148">
        <f>COUNTIFS('2026 Time Off Request'!$A:$A,'May 2026'!$D10,'2026 Time Off Request'!$L:$L,'May 2026'!I$6)</f>
        <v>0</v>
      </c>
      <c r="J10" s="148">
        <f>COUNTIFS('2026 Time Off Request'!$A:$A,'May 2026'!$D10,'2026 Time Off Request'!$L:$L,'May 2026'!J$6)</f>
        <v>0</v>
      </c>
      <c r="K10" s="148">
        <f>COUNTIFS('2026 Time Off Request'!$A:$A,'May 2026'!$D10,'2026 Time Off Request'!$L:$L,'May 2026'!K$6)</f>
        <v>0</v>
      </c>
      <c r="L10" s="148">
        <f>COUNTIFS('2026 Time Off Request'!$A:$A,'May 2026'!$D10,'2026 Time Off Request'!$L:$L,'May 2026'!L$6)</f>
        <v>0</v>
      </c>
      <c r="M10" s="148">
        <f>COUNTIFS('2026 Time Off Request'!$A:$A,'May 2026'!$D10,'2026 Time Off Request'!$L:$L,'May 2026'!M$6)</f>
        <v>0</v>
      </c>
      <c r="N10" s="147">
        <f>COUNTIFS('2026 Time Off Request'!$A:$A,'May 2026'!$D10,'2026 Time Off Request'!$L:$L,'May 2026'!N$6)</f>
        <v>0</v>
      </c>
      <c r="O10" s="147">
        <f>COUNTIFS('2026 Time Off Request'!$A:$A,'May 2026'!$D10,'2026 Time Off Request'!$L:$L,'May 2026'!O$6)</f>
        <v>0</v>
      </c>
      <c r="P10" s="148">
        <f>COUNTIFS('2026 Time Off Request'!$A:$A,'May 2026'!$D10,'2026 Time Off Request'!$L:$L,'May 2026'!P$6)</f>
        <v>0</v>
      </c>
      <c r="Q10" s="148">
        <f>COUNTIFS('2026 Time Off Request'!$A:$A,'May 2026'!$D10,'2026 Time Off Request'!$L:$L,'May 2026'!Q$6)</f>
        <v>0</v>
      </c>
      <c r="R10" s="148">
        <f>COUNTIFS('2026 Time Off Request'!$A:$A,'May 2026'!$D10,'2026 Time Off Request'!$L:$L,'May 2026'!R$6)</f>
        <v>0</v>
      </c>
      <c r="S10" s="148">
        <f>COUNTIFS('2026 Time Off Request'!$A:$A,'May 2026'!$D10,'2026 Time Off Request'!$L:$L,'May 2026'!S$6)</f>
        <v>0</v>
      </c>
      <c r="T10" s="148">
        <f>COUNTIFS('2026 Time Off Request'!$A:$A,'May 2026'!$D10,'2026 Time Off Request'!$L:$L,'May 2026'!T$6)</f>
        <v>0</v>
      </c>
      <c r="U10" s="147">
        <f>COUNTIFS('2026 Time Off Request'!$A:$A,'May 2026'!$D10,'2026 Time Off Request'!$L:$L,'May 2026'!U$6)</f>
        <v>0</v>
      </c>
      <c r="V10" s="147">
        <f>COUNTIFS('2026 Time Off Request'!$A:$A,'May 2026'!$D10,'2026 Time Off Request'!$L:$L,'May 2026'!V$6)</f>
        <v>0</v>
      </c>
      <c r="W10" s="224">
        <f>COUNTIFS('2026 Time Off Request'!$A:$A,'May 2026'!$D10,'2026 Time Off Request'!$L:$L,'May 2026'!W$6)</f>
        <v>0</v>
      </c>
      <c r="X10" s="148">
        <f>COUNTIFS('2026 Time Off Request'!$A:$A,'May 2026'!$D10,'2026 Time Off Request'!$L:$L,'May 2026'!X$6)</f>
        <v>0</v>
      </c>
      <c r="Y10" s="148">
        <f>COUNTIFS('2026 Time Off Request'!$A:$A,'May 2026'!$D10,'2026 Time Off Request'!$L:$L,'May 2026'!Y$6)</f>
        <v>0</v>
      </c>
      <c r="Z10" s="148">
        <f>COUNTIFS('2026 Time Off Request'!$A:$A,'May 2026'!$D10,'2026 Time Off Request'!$L:$L,'May 2026'!Z$6)</f>
        <v>0</v>
      </c>
      <c r="AA10" s="148">
        <f>COUNTIFS('2026 Time Off Request'!$A:$A,'May 2026'!$D10,'2026 Time Off Request'!$L:$L,'May 2026'!AA$6)</f>
        <v>0</v>
      </c>
      <c r="AB10" s="147">
        <f>COUNTIFS('2026 Time Off Request'!$A:$A,'May 2026'!$D10,'2026 Time Off Request'!$L:$L,'May 2026'!AB$6)</f>
        <v>0</v>
      </c>
      <c r="AC10" s="147">
        <f>COUNTIFS('2026 Time Off Request'!$A:$A,'May 2026'!$D10,'2026 Time Off Request'!$L:$L,'May 2026'!AC$6)</f>
        <v>0</v>
      </c>
      <c r="AD10" s="148">
        <f>COUNTIFS('2026 Time Off Request'!$A:$A,'May 2026'!$D10,'2026 Time Off Request'!$L:$L,'May 2026'!AD$6)</f>
        <v>0</v>
      </c>
      <c r="AE10" s="148">
        <f>COUNTIFS('2026 Time Off Request'!$A:$A,'May 2026'!$D10,'2026 Time Off Request'!$L:$L,'May 2026'!AE$6)</f>
        <v>0</v>
      </c>
      <c r="AF10" s="148">
        <f>COUNTIFS('2026 Time Off Request'!$A:$A,'May 2026'!$D10,'2026 Time Off Request'!$L:$L,'May 2026'!AF$6)</f>
        <v>0</v>
      </c>
      <c r="AG10" s="148">
        <f>COUNTIFS('2026 Time Off Request'!$A:$A,'May 2026'!$D10,'2026 Time Off Request'!$L:$L,'May 2026'!AG$6)</f>
        <v>0</v>
      </c>
      <c r="AH10" s="148">
        <f>COUNTIFS('2026 Time Off Request'!$A:$A,'May 2026'!$D10,'2026 Time Off Request'!$L:$L,'May 2026'!AH$6)</f>
        <v>0</v>
      </c>
      <c r="AI10" s="147">
        <f>COUNTIFS('2026 Time Off Request'!$A:$A,'May 2026'!$D10,'2026 Time Off Request'!$L:$L,'May 2026'!AI$6)</f>
        <v>0</v>
      </c>
      <c r="AJ10" s="147">
        <f>COUNTIFS('2026 Time Off Request'!$A:$A,'May 2026'!$D10,'2026 Time Off Request'!$L:$L,'May 2026'!AJ$6)</f>
        <v>0</v>
      </c>
    </row>
    <row r="11" spans="1:40" ht="15.75">
      <c r="A11" s="2">
        <v>4</v>
      </c>
      <c r="B11" s="209" t="s">
        <v>25</v>
      </c>
      <c r="C11" s="210" t="s">
        <v>32</v>
      </c>
      <c r="D11" s="215" t="s">
        <v>33</v>
      </c>
      <c r="E11" s="212">
        <f t="shared" si="3"/>
        <v>4</v>
      </c>
      <c r="F11" s="223">
        <f>COUNTIFS('2026 Time Off Request'!$A:$A,'May 2026'!$D11,'2026 Time Off Request'!$L:$L,'May 2026'!F$6)</f>
        <v>0</v>
      </c>
      <c r="G11" s="147">
        <f>COUNTIFS('2026 Time Off Request'!$A:$A,'May 2026'!$D11,'2026 Time Off Request'!$L:$L,'May 2026'!G$6)</f>
        <v>0</v>
      </c>
      <c r="H11" s="147">
        <f>COUNTIFS('2026 Time Off Request'!$A:$A,'May 2026'!$D11,'2026 Time Off Request'!$L:$L,'May 2026'!H$6)</f>
        <v>0</v>
      </c>
      <c r="I11" s="148">
        <f>COUNTIFS('2026 Time Off Request'!$A:$A,'May 2026'!$D11,'2026 Time Off Request'!$L:$L,'May 2026'!I$6)</f>
        <v>0</v>
      </c>
      <c r="J11" s="148">
        <f>COUNTIFS('2026 Time Off Request'!$A:$A,'May 2026'!$D11,'2026 Time Off Request'!$L:$L,'May 2026'!J$6)</f>
        <v>0</v>
      </c>
      <c r="K11" s="148">
        <f>COUNTIFS('2026 Time Off Request'!$A:$A,'May 2026'!$D11,'2026 Time Off Request'!$L:$L,'May 2026'!K$6)</f>
        <v>0</v>
      </c>
      <c r="L11" s="148">
        <f>COUNTIFS('2026 Time Off Request'!$A:$A,'May 2026'!$D11,'2026 Time Off Request'!$L:$L,'May 2026'!L$6)</f>
        <v>0</v>
      </c>
      <c r="M11" s="148">
        <f>COUNTIFS('2026 Time Off Request'!$A:$A,'May 2026'!$D11,'2026 Time Off Request'!$L:$L,'May 2026'!M$6)</f>
        <v>0</v>
      </c>
      <c r="N11" s="147">
        <f>COUNTIFS('2026 Time Off Request'!$A:$A,'May 2026'!$D11,'2026 Time Off Request'!$L:$L,'May 2026'!N$6)</f>
        <v>0</v>
      </c>
      <c r="O11" s="147">
        <f>COUNTIFS('2026 Time Off Request'!$A:$A,'May 2026'!$D11,'2026 Time Off Request'!$L:$L,'May 2026'!O$6)</f>
        <v>0</v>
      </c>
      <c r="P11" s="148">
        <f>COUNTIFS('2026 Time Off Request'!$A:$A,'May 2026'!$D11,'2026 Time Off Request'!$L:$L,'May 2026'!P$6)</f>
        <v>0</v>
      </c>
      <c r="Q11" s="148">
        <f>COUNTIFS('2026 Time Off Request'!$A:$A,'May 2026'!$D11,'2026 Time Off Request'!$L:$L,'May 2026'!Q$6)</f>
        <v>0</v>
      </c>
      <c r="R11" s="148">
        <f>COUNTIFS('2026 Time Off Request'!$A:$A,'May 2026'!$D11,'2026 Time Off Request'!$L:$L,'May 2026'!R$6)</f>
        <v>0</v>
      </c>
      <c r="S11" s="148">
        <f>COUNTIFS('2026 Time Off Request'!$A:$A,'May 2026'!$D11,'2026 Time Off Request'!$L:$L,'May 2026'!S$6)</f>
        <v>0</v>
      </c>
      <c r="T11" s="148">
        <f>COUNTIFS('2026 Time Off Request'!$A:$A,'May 2026'!$D11,'2026 Time Off Request'!$L:$L,'May 2026'!T$6)</f>
        <v>0</v>
      </c>
      <c r="U11" s="147">
        <f>COUNTIFS('2026 Time Off Request'!$A:$A,'May 2026'!$D11,'2026 Time Off Request'!$L:$L,'May 2026'!U$6)</f>
        <v>0</v>
      </c>
      <c r="V11" s="147">
        <f>COUNTIFS('2026 Time Off Request'!$A:$A,'May 2026'!$D11,'2026 Time Off Request'!$L:$L,'May 2026'!V$6)</f>
        <v>0</v>
      </c>
      <c r="W11" s="224">
        <f>COUNTIFS('2026 Time Off Request'!$A:$A,'May 2026'!$D11,'2026 Time Off Request'!$L:$L,'May 2026'!W$6)</f>
        <v>0</v>
      </c>
      <c r="X11" s="148">
        <f>COUNTIFS('2026 Time Off Request'!$A:$A,'May 2026'!$D11,'2026 Time Off Request'!$L:$L,'May 2026'!X$6)</f>
        <v>1</v>
      </c>
      <c r="Y11" s="148">
        <f>COUNTIFS('2026 Time Off Request'!$A:$A,'May 2026'!$D11,'2026 Time Off Request'!$L:$L,'May 2026'!Y$6)</f>
        <v>1</v>
      </c>
      <c r="Z11" s="148">
        <f>COUNTIFS('2026 Time Off Request'!$A:$A,'May 2026'!$D11,'2026 Time Off Request'!$L:$L,'May 2026'!Z$6)</f>
        <v>1</v>
      </c>
      <c r="AA11" s="148">
        <f>COUNTIFS('2026 Time Off Request'!$A:$A,'May 2026'!$D11,'2026 Time Off Request'!$L:$L,'May 2026'!AA$6)</f>
        <v>1</v>
      </c>
      <c r="AB11" s="147">
        <f>COUNTIFS('2026 Time Off Request'!$A:$A,'May 2026'!$D11,'2026 Time Off Request'!$L:$L,'May 2026'!AB$6)</f>
        <v>0</v>
      </c>
      <c r="AC11" s="147">
        <f>COUNTIFS('2026 Time Off Request'!$A:$A,'May 2026'!$D11,'2026 Time Off Request'!$L:$L,'May 2026'!AC$6)</f>
        <v>0</v>
      </c>
      <c r="AD11" s="148">
        <f>COUNTIFS('2026 Time Off Request'!$A:$A,'May 2026'!$D11,'2026 Time Off Request'!$L:$L,'May 2026'!AD$6)</f>
        <v>0</v>
      </c>
      <c r="AE11" s="148">
        <f>COUNTIFS('2026 Time Off Request'!$A:$A,'May 2026'!$D11,'2026 Time Off Request'!$L:$L,'May 2026'!AE$6)</f>
        <v>0</v>
      </c>
      <c r="AF11" s="148">
        <f>COUNTIFS('2026 Time Off Request'!$A:$A,'May 2026'!$D11,'2026 Time Off Request'!$L:$L,'May 2026'!AF$6)</f>
        <v>0</v>
      </c>
      <c r="AG11" s="148">
        <f>COUNTIFS('2026 Time Off Request'!$A:$A,'May 2026'!$D11,'2026 Time Off Request'!$L:$L,'May 2026'!AG$6)</f>
        <v>0</v>
      </c>
      <c r="AH11" s="148">
        <f>COUNTIFS('2026 Time Off Request'!$A:$A,'May 2026'!$D11,'2026 Time Off Request'!$L:$L,'May 2026'!AH$6)</f>
        <v>0</v>
      </c>
      <c r="AI11" s="147">
        <f>COUNTIFS('2026 Time Off Request'!$A:$A,'May 2026'!$D11,'2026 Time Off Request'!$L:$L,'May 2026'!AI$6)</f>
        <v>0</v>
      </c>
      <c r="AJ11" s="147">
        <f>COUNTIFS('2026 Time Off Request'!$A:$A,'May 2026'!$D11,'2026 Time Off Request'!$L:$L,'May 2026'!AJ$6)</f>
        <v>0</v>
      </c>
    </row>
    <row r="12" spans="1:40" ht="15.75">
      <c r="A12" s="2">
        <v>5</v>
      </c>
      <c r="B12" s="209" t="s">
        <v>25</v>
      </c>
      <c r="C12" s="210" t="s">
        <v>34</v>
      </c>
      <c r="D12" s="215" t="s">
        <v>35</v>
      </c>
      <c r="E12" s="212">
        <f t="shared" si="3"/>
        <v>0</v>
      </c>
      <c r="F12" s="223">
        <f>COUNTIFS('2026 Time Off Request'!$A:$A,'May 2026'!$D12,'2026 Time Off Request'!$L:$L,'May 2026'!F$6)</f>
        <v>0</v>
      </c>
      <c r="G12" s="147">
        <f>COUNTIFS('2026 Time Off Request'!$A:$A,'May 2026'!$D12,'2026 Time Off Request'!$L:$L,'May 2026'!G$6)</f>
        <v>0</v>
      </c>
      <c r="H12" s="147">
        <f>COUNTIFS('2026 Time Off Request'!$A:$A,'May 2026'!$D12,'2026 Time Off Request'!$L:$L,'May 2026'!H$6)</f>
        <v>0</v>
      </c>
      <c r="I12" s="148">
        <f>COUNTIFS('2026 Time Off Request'!$A:$A,'May 2026'!$D12,'2026 Time Off Request'!$L:$L,'May 2026'!I$6)</f>
        <v>0</v>
      </c>
      <c r="J12" s="148">
        <f>COUNTIFS('2026 Time Off Request'!$A:$A,'May 2026'!$D12,'2026 Time Off Request'!$L:$L,'May 2026'!J$6)</f>
        <v>0</v>
      </c>
      <c r="K12" s="148">
        <f>COUNTIFS('2026 Time Off Request'!$A:$A,'May 2026'!$D12,'2026 Time Off Request'!$L:$L,'May 2026'!K$6)</f>
        <v>0</v>
      </c>
      <c r="L12" s="148">
        <f>COUNTIFS('2026 Time Off Request'!$A:$A,'May 2026'!$D12,'2026 Time Off Request'!$L:$L,'May 2026'!L$6)</f>
        <v>0</v>
      </c>
      <c r="M12" s="148">
        <f>COUNTIFS('2026 Time Off Request'!$A:$A,'May 2026'!$D12,'2026 Time Off Request'!$L:$L,'May 2026'!M$6)</f>
        <v>0</v>
      </c>
      <c r="N12" s="147">
        <f>COUNTIFS('2026 Time Off Request'!$A:$A,'May 2026'!$D12,'2026 Time Off Request'!$L:$L,'May 2026'!N$6)</f>
        <v>0</v>
      </c>
      <c r="O12" s="147">
        <f>COUNTIFS('2026 Time Off Request'!$A:$A,'May 2026'!$D12,'2026 Time Off Request'!$L:$L,'May 2026'!O$6)</f>
        <v>0</v>
      </c>
      <c r="P12" s="148">
        <f>COUNTIFS('2026 Time Off Request'!$A:$A,'May 2026'!$D12,'2026 Time Off Request'!$L:$L,'May 2026'!P$6)</f>
        <v>0</v>
      </c>
      <c r="Q12" s="148">
        <f>COUNTIFS('2026 Time Off Request'!$A:$A,'May 2026'!$D12,'2026 Time Off Request'!$L:$L,'May 2026'!Q$6)</f>
        <v>0</v>
      </c>
      <c r="R12" s="148">
        <f>COUNTIFS('2026 Time Off Request'!$A:$A,'May 2026'!$D12,'2026 Time Off Request'!$L:$L,'May 2026'!R$6)</f>
        <v>0</v>
      </c>
      <c r="S12" s="148">
        <f>COUNTIFS('2026 Time Off Request'!$A:$A,'May 2026'!$D12,'2026 Time Off Request'!$L:$L,'May 2026'!S$6)</f>
        <v>0</v>
      </c>
      <c r="T12" s="148">
        <f>COUNTIFS('2026 Time Off Request'!$A:$A,'May 2026'!$D12,'2026 Time Off Request'!$L:$L,'May 2026'!T$6)</f>
        <v>0</v>
      </c>
      <c r="U12" s="147">
        <f>COUNTIFS('2026 Time Off Request'!$A:$A,'May 2026'!$D12,'2026 Time Off Request'!$L:$L,'May 2026'!U$6)</f>
        <v>0</v>
      </c>
      <c r="V12" s="147">
        <f>COUNTIFS('2026 Time Off Request'!$A:$A,'May 2026'!$D12,'2026 Time Off Request'!$L:$L,'May 2026'!V$6)</f>
        <v>0</v>
      </c>
      <c r="W12" s="224">
        <f>COUNTIFS('2026 Time Off Request'!$A:$A,'May 2026'!$D12,'2026 Time Off Request'!$L:$L,'May 2026'!W$6)</f>
        <v>0</v>
      </c>
      <c r="X12" s="148">
        <f>COUNTIFS('2026 Time Off Request'!$A:$A,'May 2026'!$D12,'2026 Time Off Request'!$L:$L,'May 2026'!X$6)</f>
        <v>0</v>
      </c>
      <c r="Y12" s="148">
        <f>COUNTIFS('2026 Time Off Request'!$A:$A,'May 2026'!$D12,'2026 Time Off Request'!$L:$L,'May 2026'!Y$6)</f>
        <v>0</v>
      </c>
      <c r="Z12" s="148">
        <f>COUNTIFS('2026 Time Off Request'!$A:$A,'May 2026'!$D12,'2026 Time Off Request'!$L:$L,'May 2026'!Z$6)</f>
        <v>0</v>
      </c>
      <c r="AA12" s="148">
        <f>COUNTIFS('2026 Time Off Request'!$A:$A,'May 2026'!$D12,'2026 Time Off Request'!$L:$L,'May 2026'!AA$6)</f>
        <v>0</v>
      </c>
      <c r="AB12" s="147">
        <f>COUNTIFS('2026 Time Off Request'!$A:$A,'May 2026'!$D12,'2026 Time Off Request'!$L:$L,'May 2026'!AB$6)</f>
        <v>0</v>
      </c>
      <c r="AC12" s="147">
        <f>COUNTIFS('2026 Time Off Request'!$A:$A,'May 2026'!$D12,'2026 Time Off Request'!$L:$L,'May 2026'!AC$6)</f>
        <v>0</v>
      </c>
      <c r="AD12" s="148">
        <f>COUNTIFS('2026 Time Off Request'!$A:$A,'May 2026'!$D12,'2026 Time Off Request'!$L:$L,'May 2026'!AD$6)</f>
        <v>0</v>
      </c>
      <c r="AE12" s="148">
        <f>COUNTIFS('2026 Time Off Request'!$A:$A,'May 2026'!$D12,'2026 Time Off Request'!$L:$L,'May 2026'!AE$6)</f>
        <v>0</v>
      </c>
      <c r="AF12" s="148">
        <f>COUNTIFS('2026 Time Off Request'!$A:$A,'May 2026'!$D12,'2026 Time Off Request'!$L:$L,'May 2026'!AF$6)</f>
        <v>0</v>
      </c>
      <c r="AG12" s="148">
        <f>COUNTIFS('2026 Time Off Request'!$A:$A,'May 2026'!$D12,'2026 Time Off Request'!$L:$L,'May 2026'!AG$6)</f>
        <v>0</v>
      </c>
      <c r="AH12" s="148">
        <f>COUNTIFS('2026 Time Off Request'!$A:$A,'May 2026'!$D12,'2026 Time Off Request'!$L:$L,'May 2026'!AH$6)</f>
        <v>0</v>
      </c>
      <c r="AI12" s="147">
        <f>COUNTIFS('2026 Time Off Request'!$A:$A,'May 2026'!$D12,'2026 Time Off Request'!$L:$L,'May 2026'!AI$6)</f>
        <v>0</v>
      </c>
      <c r="AJ12" s="147">
        <f>COUNTIFS('2026 Time Off Request'!$A:$A,'May 2026'!$D12,'2026 Time Off Request'!$L:$L,'May 2026'!AJ$6)</f>
        <v>0</v>
      </c>
    </row>
    <row r="13" spans="1:40" ht="15.75">
      <c r="A13" s="2">
        <v>7</v>
      </c>
      <c r="B13" s="209" t="s">
        <v>36</v>
      </c>
      <c r="C13" s="210" t="s">
        <v>37</v>
      </c>
      <c r="D13" s="215" t="s">
        <v>38</v>
      </c>
      <c r="E13" s="212">
        <f t="shared" si="3"/>
        <v>0</v>
      </c>
      <c r="F13" s="223">
        <f>COUNTIFS('2026 Time Off Request'!$A:$A,'May 2026'!$D13,'2026 Time Off Request'!$L:$L,'May 2026'!F$6)</f>
        <v>0</v>
      </c>
      <c r="G13" s="147">
        <f>COUNTIFS('2026 Time Off Request'!$A:$A,'May 2026'!$D13,'2026 Time Off Request'!$L:$L,'May 2026'!G$6)</f>
        <v>0</v>
      </c>
      <c r="H13" s="147">
        <f>COUNTIFS('2026 Time Off Request'!$A:$A,'May 2026'!$D13,'2026 Time Off Request'!$L:$L,'May 2026'!H$6)</f>
        <v>0</v>
      </c>
      <c r="I13" s="148">
        <f>COUNTIFS('2026 Time Off Request'!$A:$A,'May 2026'!$D13,'2026 Time Off Request'!$L:$L,'May 2026'!I$6)</f>
        <v>0</v>
      </c>
      <c r="J13" s="148">
        <f>COUNTIFS('2026 Time Off Request'!$A:$A,'May 2026'!$D13,'2026 Time Off Request'!$L:$L,'May 2026'!J$6)</f>
        <v>0</v>
      </c>
      <c r="K13" s="148">
        <f>COUNTIFS('2026 Time Off Request'!$A:$A,'May 2026'!$D13,'2026 Time Off Request'!$L:$L,'May 2026'!K$6)</f>
        <v>0</v>
      </c>
      <c r="L13" s="148">
        <f>COUNTIFS('2026 Time Off Request'!$A:$A,'May 2026'!$D13,'2026 Time Off Request'!$L:$L,'May 2026'!L$6)</f>
        <v>0</v>
      </c>
      <c r="M13" s="148">
        <f>COUNTIFS('2026 Time Off Request'!$A:$A,'May 2026'!$D13,'2026 Time Off Request'!$L:$L,'May 2026'!M$6)</f>
        <v>0</v>
      </c>
      <c r="N13" s="147">
        <f>COUNTIFS('2026 Time Off Request'!$A:$A,'May 2026'!$D13,'2026 Time Off Request'!$L:$L,'May 2026'!N$6)</f>
        <v>0</v>
      </c>
      <c r="O13" s="147">
        <f>COUNTIFS('2026 Time Off Request'!$A:$A,'May 2026'!$D13,'2026 Time Off Request'!$L:$L,'May 2026'!O$6)</f>
        <v>0</v>
      </c>
      <c r="P13" s="148">
        <f>COUNTIFS('2026 Time Off Request'!$A:$A,'May 2026'!$D13,'2026 Time Off Request'!$L:$L,'May 2026'!P$6)</f>
        <v>0</v>
      </c>
      <c r="Q13" s="148">
        <f>COUNTIFS('2026 Time Off Request'!$A:$A,'May 2026'!$D13,'2026 Time Off Request'!$L:$L,'May 2026'!Q$6)</f>
        <v>0</v>
      </c>
      <c r="R13" s="148">
        <f>COUNTIFS('2026 Time Off Request'!$A:$A,'May 2026'!$D13,'2026 Time Off Request'!$L:$L,'May 2026'!R$6)</f>
        <v>0</v>
      </c>
      <c r="S13" s="148">
        <f>COUNTIFS('2026 Time Off Request'!$A:$A,'May 2026'!$D13,'2026 Time Off Request'!$L:$L,'May 2026'!S$6)</f>
        <v>0</v>
      </c>
      <c r="T13" s="148">
        <f>COUNTIFS('2026 Time Off Request'!$A:$A,'May 2026'!$D13,'2026 Time Off Request'!$L:$L,'May 2026'!T$6)</f>
        <v>0</v>
      </c>
      <c r="U13" s="147">
        <f>COUNTIFS('2026 Time Off Request'!$A:$A,'May 2026'!$D13,'2026 Time Off Request'!$L:$L,'May 2026'!U$6)</f>
        <v>0</v>
      </c>
      <c r="V13" s="147">
        <f>COUNTIFS('2026 Time Off Request'!$A:$A,'May 2026'!$D13,'2026 Time Off Request'!$L:$L,'May 2026'!V$6)</f>
        <v>0</v>
      </c>
      <c r="W13" s="224">
        <f>COUNTIFS('2026 Time Off Request'!$A:$A,'May 2026'!$D13,'2026 Time Off Request'!$L:$L,'May 2026'!W$6)</f>
        <v>0</v>
      </c>
      <c r="X13" s="148">
        <f>COUNTIFS('2026 Time Off Request'!$A:$A,'May 2026'!$D13,'2026 Time Off Request'!$L:$L,'May 2026'!X$6)</f>
        <v>0</v>
      </c>
      <c r="Y13" s="148">
        <f>COUNTIFS('2026 Time Off Request'!$A:$A,'May 2026'!$D13,'2026 Time Off Request'!$L:$L,'May 2026'!Y$6)</f>
        <v>0</v>
      </c>
      <c r="Z13" s="148">
        <f>COUNTIFS('2026 Time Off Request'!$A:$A,'May 2026'!$D13,'2026 Time Off Request'!$L:$L,'May 2026'!Z$6)</f>
        <v>0</v>
      </c>
      <c r="AA13" s="148">
        <f>COUNTIFS('2026 Time Off Request'!$A:$A,'May 2026'!$D13,'2026 Time Off Request'!$L:$L,'May 2026'!AA$6)</f>
        <v>0</v>
      </c>
      <c r="AB13" s="147">
        <f>COUNTIFS('2026 Time Off Request'!$A:$A,'May 2026'!$D13,'2026 Time Off Request'!$L:$L,'May 2026'!AB$6)</f>
        <v>0</v>
      </c>
      <c r="AC13" s="147">
        <f>COUNTIFS('2026 Time Off Request'!$A:$A,'May 2026'!$D13,'2026 Time Off Request'!$L:$L,'May 2026'!AC$6)</f>
        <v>0</v>
      </c>
      <c r="AD13" s="148">
        <f>COUNTIFS('2026 Time Off Request'!$A:$A,'May 2026'!$D13,'2026 Time Off Request'!$L:$L,'May 2026'!AD$6)</f>
        <v>0</v>
      </c>
      <c r="AE13" s="148">
        <f>COUNTIFS('2026 Time Off Request'!$A:$A,'May 2026'!$D13,'2026 Time Off Request'!$L:$L,'May 2026'!AE$6)</f>
        <v>0</v>
      </c>
      <c r="AF13" s="148">
        <f>COUNTIFS('2026 Time Off Request'!$A:$A,'May 2026'!$D13,'2026 Time Off Request'!$L:$L,'May 2026'!AF$6)</f>
        <v>0</v>
      </c>
      <c r="AG13" s="148">
        <f>COUNTIFS('2026 Time Off Request'!$A:$A,'May 2026'!$D13,'2026 Time Off Request'!$L:$L,'May 2026'!AG$6)</f>
        <v>0</v>
      </c>
      <c r="AH13" s="148">
        <f>COUNTIFS('2026 Time Off Request'!$A:$A,'May 2026'!$D13,'2026 Time Off Request'!$L:$L,'May 2026'!AH$6)</f>
        <v>0</v>
      </c>
      <c r="AI13" s="147">
        <f>COUNTIFS('2026 Time Off Request'!$A:$A,'May 2026'!$D13,'2026 Time Off Request'!$L:$L,'May 2026'!AI$6)</f>
        <v>0</v>
      </c>
      <c r="AJ13" s="147">
        <f>COUNTIFS('2026 Time Off Request'!$A:$A,'May 2026'!$D13,'2026 Time Off Request'!$L:$L,'May 2026'!AJ$6)</f>
        <v>0</v>
      </c>
    </row>
    <row r="14" spans="1:40" ht="15.75">
      <c r="A14" s="2">
        <v>8</v>
      </c>
      <c r="B14" s="209" t="s">
        <v>36</v>
      </c>
      <c r="C14" s="210" t="s">
        <v>37</v>
      </c>
      <c r="D14" s="215" t="s">
        <v>39</v>
      </c>
      <c r="E14" s="212">
        <f t="shared" si="3"/>
        <v>4</v>
      </c>
      <c r="F14" s="223">
        <f>COUNTIFS('2026 Time Off Request'!$A:$A,'May 2026'!$D14,'2026 Time Off Request'!$L:$L,'May 2026'!F$6)</f>
        <v>0</v>
      </c>
      <c r="G14" s="147">
        <f>COUNTIFS('2026 Time Off Request'!$A:$A,'May 2026'!$D14,'2026 Time Off Request'!$L:$L,'May 2026'!G$6)</f>
        <v>0</v>
      </c>
      <c r="H14" s="147">
        <f>COUNTIFS('2026 Time Off Request'!$A:$A,'May 2026'!$D14,'2026 Time Off Request'!$L:$L,'May 2026'!H$6)</f>
        <v>0</v>
      </c>
      <c r="I14" s="148">
        <f>COUNTIFS('2026 Time Off Request'!$A:$A,'May 2026'!$D14,'2026 Time Off Request'!$L:$L,'May 2026'!I$6)</f>
        <v>1</v>
      </c>
      <c r="J14" s="148">
        <f>COUNTIFS('2026 Time Off Request'!$A:$A,'May 2026'!$D14,'2026 Time Off Request'!$L:$L,'May 2026'!J$6)</f>
        <v>1</v>
      </c>
      <c r="K14" s="148">
        <f>COUNTIFS('2026 Time Off Request'!$A:$A,'May 2026'!$D14,'2026 Time Off Request'!$L:$L,'May 2026'!K$6)</f>
        <v>1</v>
      </c>
      <c r="L14" s="148">
        <f>COUNTIFS('2026 Time Off Request'!$A:$A,'May 2026'!$D14,'2026 Time Off Request'!$L:$L,'May 2026'!L$6)</f>
        <v>1</v>
      </c>
      <c r="M14" s="148">
        <f>COUNTIFS('2026 Time Off Request'!$A:$A,'May 2026'!$D14,'2026 Time Off Request'!$L:$L,'May 2026'!M$6)</f>
        <v>0</v>
      </c>
      <c r="N14" s="147">
        <f>COUNTIFS('2026 Time Off Request'!$A:$A,'May 2026'!$D14,'2026 Time Off Request'!$L:$L,'May 2026'!N$6)</f>
        <v>0</v>
      </c>
      <c r="O14" s="147">
        <f>COUNTIFS('2026 Time Off Request'!$A:$A,'May 2026'!$D14,'2026 Time Off Request'!$L:$L,'May 2026'!O$6)</f>
        <v>0</v>
      </c>
      <c r="P14" s="148">
        <f>COUNTIFS('2026 Time Off Request'!$A:$A,'May 2026'!$D14,'2026 Time Off Request'!$L:$L,'May 2026'!P$6)</f>
        <v>0</v>
      </c>
      <c r="Q14" s="148">
        <f>COUNTIFS('2026 Time Off Request'!$A:$A,'May 2026'!$D14,'2026 Time Off Request'!$L:$L,'May 2026'!Q$6)</f>
        <v>0</v>
      </c>
      <c r="R14" s="148">
        <f>COUNTIFS('2026 Time Off Request'!$A:$A,'May 2026'!$D14,'2026 Time Off Request'!$L:$L,'May 2026'!R$6)</f>
        <v>0</v>
      </c>
      <c r="S14" s="148">
        <f>COUNTIFS('2026 Time Off Request'!$A:$A,'May 2026'!$D14,'2026 Time Off Request'!$L:$L,'May 2026'!S$6)</f>
        <v>0</v>
      </c>
      <c r="T14" s="148">
        <f>COUNTIFS('2026 Time Off Request'!$A:$A,'May 2026'!$D14,'2026 Time Off Request'!$L:$L,'May 2026'!T$6)</f>
        <v>0</v>
      </c>
      <c r="U14" s="147">
        <f>COUNTIFS('2026 Time Off Request'!$A:$A,'May 2026'!$D14,'2026 Time Off Request'!$L:$L,'May 2026'!U$6)</f>
        <v>0</v>
      </c>
      <c r="V14" s="147">
        <f>COUNTIFS('2026 Time Off Request'!$A:$A,'May 2026'!$D14,'2026 Time Off Request'!$L:$L,'May 2026'!V$6)</f>
        <v>0</v>
      </c>
      <c r="W14" s="224">
        <f>COUNTIFS('2026 Time Off Request'!$A:$A,'May 2026'!$D14,'2026 Time Off Request'!$L:$L,'May 2026'!W$6)</f>
        <v>0</v>
      </c>
      <c r="X14" s="148">
        <f>COUNTIFS('2026 Time Off Request'!$A:$A,'May 2026'!$D14,'2026 Time Off Request'!$L:$L,'May 2026'!X$6)</f>
        <v>0</v>
      </c>
      <c r="Y14" s="148">
        <f>COUNTIFS('2026 Time Off Request'!$A:$A,'May 2026'!$D14,'2026 Time Off Request'!$L:$L,'May 2026'!Y$6)</f>
        <v>0</v>
      </c>
      <c r="Z14" s="148">
        <f>COUNTIFS('2026 Time Off Request'!$A:$A,'May 2026'!$D14,'2026 Time Off Request'!$L:$L,'May 2026'!Z$6)</f>
        <v>0</v>
      </c>
      <c r="AA14" s="148">
        <f>COUNTIFS('2026 Time Off Request'!$A:$A,'May 2026'!$D14,'2026 Time Off Request'!$L:$L,'May 2026'!AA$6)</f>
        <v>0</v>
      </c>
      <c r="AB14" s="147">
        <f>COUNTIFS('2026 Time Off Request'!$A:$A,'May 2026'!$D14,'2026 Time Off Request'!$L:$L,'May 2026'!AB$6)</f>
        <v>0</v>
      </c>
      <c r="AC14" s="147">
        <f>COUNTIFS('2026 Time Off Request'!$A:$A,'May 2026'!$D14,'2026 Time Off Request'!$L:$L,'May 2026'!AC$6)</f>
        <v>0</v>
      </c>
      <c r="AD14" s="148">
        <f>COUNTIFS('2026 Time Off Request'!$A:$A,'May 2026'!$D14,'2026 Time Off Request'!$L:$L,'May 2026'!AD$6)</f>
        <v>0</v>
      </c>
      <c r="AE14" s="148">
        <f>COUNTIFS('2026 Time Off Request'!$A:$A,'May 2026'!$D14,'2026 Time Off Request'!$L:$L,'May 2026'!AE$6)</f>
        <v>0</v>
      </c>
      <c r="AF14" s="148">
        <f>COUNTIFS('2026 Time Off Request'!$A:$A,'May 2026'!$D14,'2026 Time Off Request'!$L:$L,'May 2026'!AF$6)</f>
        <v>0</v>
      </c>
      <c r="AG14" s="148">
        <f>COUNTIFS('2026 Time Off Request'!$A:$A,'May 2026'!$D14,'2026 Time Off Request'!$L:$L,'May 2026'!AG$6)</f>
        <v>0</v>
      </c>
      <c r="AH14" s="148">
        <f>COUNTIFS('2026 Time Off Request'!$A:$A,'May 2026'!$D14,'2026 Time Off Request'!$L:$L,'May 2026'!AH$6)</f>
        <v>0</v>
      </c>
      <c r="AI14" s="147">
        <f>COUNTIFS('2026 Time Off Request'!$A:$A,'May 2026'!$D14,'2026 Time Off Request'!$L:$L,'May 2026'!AI$6)</f>
        <v>0</v>
      </c>
      <c r="AJ14" s="147">
        <f>COUNTIFS('2026 Time Off Request'!$A:$A,'May 2026'!$D14,'2026 Time Off Request'!$L:$L,'May 2026'!AJ$6)</f>
        <v>0</v>
      </c>
    </row>
    <row r="15" spans="1:40" ht="15.75">
      <c r="A15" s="2">
        <v>9</v>
      </c>
      <c r="B15" s="209" t="s">
        <v>36</v>
      </c>
      <c r="C15" s="210" t="s">
        <v>37</v>
      </c>
      <c r="D15" s="215" t="s">
        <v>40</v>
      </c>
      <c r="E15" s="212">
        <f t="shared" si="3"/>
        <v>0</v>
      </c>
      <c r="F15" s="223">
        <f>COUNTIFS('2026 Time Off Request'!$A:$A,'May 2026'!$D15,'2026 Time Off Request'!$L:$L,'May 2026'!F$6)</f>
        <v>0</v>
      </c>
      <c r="G15" s="147">
        <f>COUNTIFS('2026 Time Off Request'!$A:$A,'May 2026'!$D15,'2026 Time Off Request'!$L:$L,'May 2026'!G$6)</f>
        <v>0</v>
      </c>
      <c r="H15" s="147">
        <f>COUNTIFS('2026 Time Off Request'!$A:$A,'May 2026'!$D15,'2026 Time Off Request'!$L:$L,'May 2026'!H$6)</f>
        <v>0</v>
      </c>
      <c r="I15" s="148">
        <f>COUNTIFS('2026 Time Off Request'!$A:$A,'May 2026'!$D15,'2026 Time Off Request'!$L:$L,'May 2026'!I$6)</f>
        <v>0</v>
      </c>
      <c r="J15" s="148">
        <f>COUNTIFS('2026 Time Off Request'!$A:$A,'May 2026'!$D15,'2026 Time Off Request'!$L:$L,'May 2026'!J$6)</f>
        <v>0</v>
      </c>
      <c r="K15" s="148">
        <f>COUNTIFS('2026 Time Off Request'!$A:$A,'May 2026'!$D15,'2026 Time Off Request'!$L:$L,'May 2026'!K$6)</f>
        <v>0</v>
      </c>
      <c r="L15" s="148">
        <f>COUNTIFS('2026 Time Off Request'!$A:$A,'May 2026'!$D15,'2026 Time Off Request'!$L:$L,'May 2026'!L$6)</f>
        <v>0</v>
      </c>
      <c r="M15" s="148">
        <f>COUNTIFS('2026 Time Off Request'!$A:$A,'May 2026'!$D15,'2026 Time Off Request'!$L:$L,'May 2026'!M$6)</f>
        <v>0</v>
      </c>
      <c r="N15" s="147">
        <f>COUNTIFS('2026 Time Off Request'!$A:$A,'May 2026'!$D15,'2026 Time Off Request'!$L:$L,'May 2026'!N$6)</f>
        <v>0</v>
      </c>
      <c r="O15" s="147">
        <f>COUNTIFS('2026 Time Off Request'!$A:$A,'May 2026'!$D15,'2026 Time Off Request'!$L:$L,'May 2026'!O$6)</f>
        <v>0</v>
      </c>
      <c r="P15" s="148">
        <f>COUNTIFS('2026 Time Off Request'!$A:$A,'May 2026'!$D15,'2026 Time Off Request'!$L:$L,'May 2026'!P$6)</f>
        <v>0</v>
      </c>
      <c r="Q15" s="148">
        <f>COUNTIFS('2026 Time Off Request'!$A:$A,'May 2026'!$D15,'2026 Time Off Request'!$L:$L,'May 2026'!Q$6)</f>
        <v>0</v>
      </c>
      <c r="R15" s="148">
        <f>COUNTIFS('2026 Time Off Request'!$A:$A,'May 2026'!$D15,'2026 Time Off Request'!$L:$L,'May 2026'!R$6)</f>
        <v>0</v>
      </c>
      <c r="S15" s="148">
        <f>COUNTIFS('2026 Time Off Request'!$A:$A,'May 2026'!$D15,'2026 Time Off Request'!$L:$L,'May 2026'!S$6)</f>
        <v>0</v>
      </c>
      <c r="T15" s="148">
        <f>COUNTIFS('2026 Time Off Request'!$A:$A,'May 2026'!$D15,'2026 Time Off Request'!$L:$L,'May 2026'!T$6)</f>
        <v>0</v>
      </c>
      <c r="U15" s="147">
        <f>COUNTIFS('2026 Time Off Request'!$A:$A,'May 2026'!$D15,'2026 Time Off Request'!$L:$L,'May 2026'!U$6)</f>
        <v>0</v>
      </c>
      <c r="V15" s="147">
        <f>COUNTIFS('2026 Time Off Request'!$A:$A,'May 2026'!$D15,'2026 Time Off Request'!$L:$L,'May 2026'!V$6)</f>
        <v>0</v>
      </c>
      <c r="W15" s="224">
        <f>COUNTIFS('2026 Time Off Request'!$A:$A,'May 2026'!$D15,'2026 Time Off Request'!$L:$L,'May 2026'!W$6)</f>
        <v>0</v>
      </c>
      <c r="X15" s="148">
        <f>COUNTIFS('2026 Time Off Request'!$A:$A,'May 2026'!$D15,'2026 Time Off Request'!$L:$L,'May 2026'!X$6)</f>
        <v>0</v>
      </c>
      <c r="Y15" s="148">
        <f>COUNTIFS('2026 Time Off Request'!$A:$A,'May 2026'!$D15,'2026 Time Off Request'!$L:$L,'May 2026'!Y$6)</f>
        <v>0</v>
      </c>
      <c r="Z15" s="148">
        <f>COUNTIFS('2026 Time Off Request'!$A:$A,'May 2026'!$D15,'2026 Time Off Request'!$L:$L,'May 2026'!Z$6)</f>
        <v>0</v>
      </c>
      <c r="AA15" s="148">
        <f>COUNTIFS('2026 Time Off Request'!$A:$A,'May 2026'!$D15,'2026 Time Off Request'!$L:$L,'May 2026'!AA$6)</f>
        <v>0</v>
      </c>
      <c r="AB15" s="147">
        <f>COUNTIFS('2026 Time Off Request'!$A:$A,'May 2026'!$D15,'2026 Time Off Request'!$L:$L,'May 2026'!AB$6)</f>
        <v>0</v>
      </c>
      <c r="AC15" s="147">
        <f>COUNTIFS('2026 Time Off Request'!$A:$A,'May 2026'!$D15,'2026 Time Off Request'!$L:$L,'May 2026'!AC$6)</f>
        <v>0</v>
      </c>
      <c r="AD15" s="148">
        <f>COUNTIFS('2026 Time Off Request'!$A:$A,'May 2026'!$D15,'2026 Time Off Request'!$L:$L,'May 2026'!AD$6)</f>
        <v>0</v>
      </c>
      <c r="AE15" s="148">
        <f>COUNTIFS('2026 Time Off Request'!$A:$A,'May 2026'!$D15,'2026 Time Off Request'!$L:$L,'May 2026'!AE$6)</f>
        <v>0</v>
      </c>
      <c r="AF15" s="148">
        <f>COUNTIFS('2026 Time Off Request'!$A:$A,'May 2026'!$D15,'2026 Time Off Request'!$L:$L,'May 2026'!AF$6)</f>
        <v>0</v>
      </c>
      <c r="AG15" s="148">
        <f>COUNTIFS('2026 Time Off Request'!$A:$A,'May 2026'!$D15,'2026 Time Off Request'!$L:$L,'May 2026'!AG$6)</f>
        <v>0</v>
      </c>
      <c r="AH15" s="148">
        <f>COUNTIFS('2026 Time Off Request'!$A:$A,'May 2026'!$D15,'2026 Time Off Request'!$L:$L,'May 2026'!AH$6)</f>
        <v>0</v>
      </c>
      <c r="AI15" s="147">
        <f>COUNTIFS('2026 Time Off Request'!$A:$A,'May 2026'!$D15,'2026 Time Off Request'!$L:$L,'May 2026'!AI$6)</f>
        <v>0</v>
      </c>
      <c r="AJ15" s="147">
        <f>COUNTIFS('2026 Time Off Request'!$A:$A,'May 2026'!$D15,'2026 Time Off Request'!$L:$L,'May 2026'!AJ$6)</f>
        <v>0</v>
      </c>
    </row>
    <row r="16" spans="1:40" ht="15.75">
      <c r="A16" s="2">
        <v>10</v>
      </c>
      <c r="B16" s="209" t="s">
        <v>36</v>
      </c>
      <c r="C16" s="210" t="s">
        <v>37</v>
      </c>
      <c r="D16" s="215" t="s">
        <v>41</v>
      </c>
      <c r="E16" s="212">
        <f t="shared" si="3"/>
        <v>0</v>
      </c>
      <c r="F16" s="223">
        <f>COUNTIFS('2026 Time Off Request'!$A:$A,'May 2026'!$D16,'2026 Time Off Request'!$L:$L,'May 2026'!F$6)</f>
        <v>0</v>
      </c>
      <c r="G16" s="147">
        <f>COUNTIFS('2026 Time Off Request'!$A:$A,'May 2026'!$D16,'2026 Time Off Request'!$L:$L,'May 2026'!G$6)</f>
        <v>0</v>
      </c>
      <c r="H16" s="147">
        <f>COUNTIFS('2026 Time Off Request'!$A:$A,'May 2026'!$D16,'2026 Time Off Request'!$L:$L,'May 2026'!H$6)</f>
        <v>0</v>
      </c>
      <c r="I16" s="148">
        <f>COUNTIFS('2026 Time Off Request'!$A:$A,'May 2026'!$D16,'2026 Time Off Request'!$L:$L,'May 2026'!I$6)</f>
        <v>0</v>
      </c>
      <c r="J16" s="148">
        <f>COUNTIFS('2026 Time Off Request'!$A:$A,'May 2026'!$D16,'2026 Time Off Request'!$L:$L,'May 2026'!J$6)</f>
        <v>0</v>
      </c>
      <c r="K16" s="148">
        <f>COUNTIFS('2026 Time Off Request'!$A:$A,'May 2026'!$D16,'2026 Time Off Request'!$L:$L,'May 2026'!K$6)</f>
        <v>0</v>
      </c>
      <c r="L16" s="148">
        <f>COUNTIFS('2026 Time Off Request'!$A:$A,'May 2026'!$D16,'2026 Time Off Request'!$L:$L,'May 2026'!L$6)</f>
        <v>0</v>
      </c>
      <c r="M16" s="148">
        <f>COUNTIFS('2026 Time Off Request'!$A:$A,'May 2026'!$D16,'2026 Time Off Request'!$L:$L,'May 2026'!M$6)</f>
        <v>0</v>
      </c>
      <c r="N16" s="147">
        <f>COUNTIFS('2026 Time Off Request'!$A:$A,'May 2026'!$D16,'2026 Time Off Request'!$L:$L,'May 2026'!N$6)</f>
        <v>0</v>
      </c>
      <c r="O16" s="147">
        <f>COUNTIFS('2026 Time Off Request'!$A:$A,'May 2026'!$D16,'2026 Time Off Request'!$L:$L,'May 2026'!O$6)</f>
        <v>0</v>
      </c>
      <c r="P16" s="148">
        <f>COUNTIFS('2026 Time Off Request'!$A:$A,'May 2026'!$D16,'2026 Time Off Request'!$L:$L,'May 2026'!P$6)</f>
        <v>0</v>
      </c>
      <c r="Q16" s="148">
        <f>COUNTIFS('2026 Time Off Request'!$A:$A,'May 2026'!$D16,'2026 Time Off Request'!$L:$L,'May 2026'!Q$6)</f>
        <v>0</v>
      </c>
      <c r="R16" s="148">
        <f>COUNTIFS('2026 Time Off Request'!$A:$A,'May 2026'!$D16,'2026 Time Off Request'!$L:$L,'May 2026'!R$6)</f>
        <v>0</v>
      </c>
      <c r="S16" s="148">
        <f>COUNTIFS('2026 Time Off Request'!$A:$A,'May 2026'!$D16,'2026 Time Off Request'!$L:$L,'May 2026'!S$6)</f>
        <v>0</v>
      </c>
      <c r="T16" s="148">
        <f>COUNTIFS('2026 Time Off Request'!$A:$A,'May 2026'!$D16,'2026 Time Off Request'!$L:$L,'May 2026'!T$6)</f>
        <v>0</v>
      </c>
      <c r="U16" s="147">
        <f>COUNTIFS('2026 Time Off Request'!$A:$A,'May 2026'!$D16,'2026 Time Off Request'!$L:$L,'May 2026'!U$6)</f>
        <v>0</v>
      </c>
      <c r="V16" s="147">
        <f>COUNTIFS('2026 Time Off Request'!$A:$A,'May 2026'!$D16,'2026 Time Off Request'!$L:$L,'May 2026'!V$6)</f>
        <v>0</v>
      </c>
      <c r="W16" s="224">
        <f>COUNTIFS('2026 Time Off Request'!$A:$A,'May 2026'!$D16,'2026 Time Off Request'!$L:$L,'May 2026'!W$6)</f>
        <v>0</v>
      </c>
      <c r="X16" s="148">
        <f>COUNTIFS('2026 Time Off Request'!$A:$A,'May 2026'!$D16,'2026 Time Off Request'!$L:$L,'May 2026'!X$6)</f>
        <v>0</v>
      </c>
      <c r="Y16" s="148">
        <f>COUNTIFS('2026 Time Off Request'!$A:$A,'May 2026'!$D16,'2026 Time Off Request'!$L:$L,'May 2026'!Y$6)</f>
        <v>0</v>
      </c>
      <c r="Z16" s="148">
        <f>COUNTIFS('2026 Time Off Request'!$A:$A,'May 2026'!$D16,'2026 Time Off Request'!$L:$L,'May 2026'!Z$6)</f>
        <v>0</v>
      </c>
      <c r="AA16" s="148">
        <f>COUNTIFS('2026 Time Off Request'!$A:$A,'May 2026'!$D16,'2026 Time Off Request'!$L:$L,'May 2026'!AA$6)</f>
        <v>0</v>
      </c>
      <c r="AB16" s="147">
        <f>COUNTIFS('2026 Time Off Request'!$A:$A,'May 2026'!$D16,'2026 Time Off Request'!$L:$L,'May 2026'!AB$6)</f>
        <v>0</v>
      </c>
      <c r="AC16" s="147">
        <f>COUNTIFS('2026 Time Off Request'!$A:$A,'May 2026'!$D16,'2026 Time Off Request'!$L:$L,'May 2026'!AC$6)</f>
        <v>0</v>
      </c>
      <c r="AD16" s="148">
        <f>COUNTIFS('2026 Time Off Request'!$A:$A,'May 2026'!$D16,'2026 Time Off Request'!$L:$L,'May 2026'!AD$6)</f>
        <v>0</v>
      </c>
      <c r="AE16" s="148">
        <f>COUNTIFS('2026 Time Off Request'!$A:$A,'May 2026'!$D16,'2026 Time Off Request'!$L:$L,'May 2026'!AE$6)</f>
        <v>0</v>
      </c>
      <c r="AF16" s="148">
        <f>COUNTIFS('2026 Time Off Request'!$A:$A,'May 2026'!$D16,'2026 Time Off Request'!$L:$L,'May 2026'!AF$6)</f>
        <v>0</v>
      </c>
      <c r="AG16" s="148">
        <f>COUNTIFS('2026 Time Off Request'!$A:$A,'May 2026'!$D16,'2026 Time Off Request'!$L:$L,'May 2026'!AG$6)</f>
        <v>0</v>
      </c>
      <c r="AH16" s="148">
        <f>COUNTIFS('2026 Time Off Request'!$A:$A,'May 2026'!$D16,'2026 Time Off Request'!$L:$L,'May 2026'!AH$6)</f>
        <v>0</v>
      </c>
      <c r="AI16" s="147">
        <f>COUNTIFS('2026 Time Off Request'!$A:$A,'May 2026'!$D16,'2026 Time Off Request'!$L:$L,'May 2026'!AI$6)</f>
        <v>0</v>
      </c>
      <c r="AJ16" s="147">
        <f>COUNTIFS('2026 Time Off Request'!$A:$A,'May 2026'!$D16,'2026 Time Off Request'!$L:$L,'May 2026'!AJ$6)</f>
        <v>0</v>
      </c>
    </row>
    <row r="17" spans="1:36" ht="15.75">
      <c r="A17" s="2">
        <v>11</v>
      </c>
      <c r="B17" s="209" t="s">
        <v>36</v>
      </c>
      <c r="C17" s="210" t="s">
        <v>37</v>
      </c>
      <c r="D17" s="215" t="s">
        <v>42</v>
      </c>
      <c r="E17" s="212">
        <f t="shared" si="3"/>
        <v>0</v>
      </c>
      <c r="F17" s="223">
        <f>COUNTIFS('2026 Time Off Request'!$A:$A,'May 2026'!$D17,'2026 Time Off Request'!$L:$L,'May 2026'!F$6)</f>
        <v>0</v>
      </c>
      <c r="G17" s="147">
        <f>COUNTIFS('2026 Time Off Request'!$A:$A,'May 2026'!$D17,'2026 Time Off Request'!$L:$L,'May 2026'!G$6)</f>
        <v>0</v>
      </c>
      <c r="H17" s="147">
        <f>COUNTIFS('2026 Time Off Request'!$A:$A,'May 2026'!$D17,'2026 Time Off Request'!$L:$L,'May 2026'!H$6)</f>
        <v>0</v>
      </c>
      <c r="I17" s="148">
        <f>COUNTIFS('2026 Time Off Request'!$A:$A,'May 2026'!$D17,'2026 Time Off Request'!$L:$L,'May 2026'!I$6)</f>
        <v>0</v>
      </c>
      <c r="J17" s="148">
        <f>COUNTIFS('2026 Time Off Request'!$A:$A,'May 2026'!$D17,'2026 Time Off Request'!$L:$L,'May 2026'!J$6)</f>
        <v>0</v>
      </c>
      <c r="K17" s="148">
        <f>COUNTIFS('2026 Time Off Request'!$A:$A,'May 2026'!$D17,'2026 Time Off Request'!$L:$L,'May 2026'!K$6)</f>
        <v>0</v>
      </c>
      <c r="L17" s="148">
        <f>COUNTIFS('2026 Time Off Request'!$A:$A,'May 2026'!$D17,'2026 Time Off Request'!$L:$L,'May 2026'!L$6)</f>
        <v>0</v>
      </c>
      <c r="M17" s="148">
        <f>COUNTIFS('2026 Time Off Request'!$A:$A,'May 2026'!$D17,'2026 Time Off Request'!$L:$L,'May 2026'!M$6)</f>
        <v>0</v>
      </c>
      <c r="N17" s="147">
        <f>COUNTIFS('2026 Time Off Request'!$A:$A,'May 2026'!$D17,'2026 Time Off Request'!$L:$L,'May 2026'!N$6)</f>
        <v>0</v>
      </c>
      <c r="O17" s="147">
        <f>COUNTIFS('2026 Time Off Request'!$A:$A,'May 2026'!$D17,'2026 Time Off Request'!$L:$L,'May 2026'!O$6)</f>
        <v>0</v>
      </c>
      <c r="P17" s="148">
        <f>COUNTIFS('2026 Time Off Request'!$A:$A,'May 2026'!$D17,'2026 Time Off Request'!$L:$L,'May 2026'!P$6)</f>
        <v>0</v>
      </c>
      <c r="Q17" s="148">
        <f>COUNTIFS('2026 Time Off Request'!$A:$A,'May 2026'!$D17,'2026 Time Off Request'!$L:$L,'May 2026'!Q$6)</f>
        <v>0</v>
      </c>
      <c r="R17" s="148">
        <f>COUNTIFS('2026 Time Off Request'!$A:$A,'May 2026'!$D17,'2026 Time Off Request'!$L:$L,'May 2026'!R$6)</f>
        <v>0</v>
      </c>
      <c r="S17" s="148">
        <f>COUNTIFS('2026 Time Off Request'!$A:$A,'May 2026'!$D17,'2026 Time Off Request'!$L:$L,'May 2026'!S$6)</f>
        <v>0</v>
      </c>
      <c r="T17" s="148">
        <f>COUNTIFS('2026 Time Off Request'!$A:$A,'May 2026'!$D17,'2026 Time Off Request'!$L:$L,'May 2026'!T$6)</f>
        <v>0</v>
      </c>
      <c r="U17" s="147">
        <f>COUNTIFS('2026 Time Off Request'!$A:$A,'May 2026'!$D17,'2026 Time Off Request'!$L:$L,'May 2026'!U$6)</f>
        <v>0</v>
      </c>
      <c r="V17" s="147">
        <f>COUNTIFS('2026 Time Off Request'!$A:$A,'May 2026'!$D17,'2026 Time Off Request'!$L:$L,'May 2026'!V$6)</f>
        <v>0</v>
      </c>
      <c r="W17" s="224">
        <f>COUNTIFS('2026 Time Off Request'!$A:$A,'May 2026'!$D17,'2026 Time Off Request'!$L:$L,'May 2026'!W$6)</f>
        <v>0</v>
      </c>
      <c r="X17" s="148">
        <f>COUNTIFS('2026 Time Off Request'!$A:$A,'May 2026'!$D17,'2026 Time Off Request'!$L:$L,'May 2026'!X$6)</f>
        <v>0</v>
      </c>
      <c r="Y17" s="148">
        <f>COUNTIFS('2026 Time Off Request'!$A:$A,'May 2026'!$D17,'2026 Time Off Request'!$L:$L,'May 2026'!Y$6)</f>
        <v>0</v>
      </c>
      <c r="Z17" s="148">
        <f>COUNTIFS('2026 Time Off Request'!$A:$A,'May 2026'!$D17,'2026 Time Off Request'!$L:$L,'May 2026'!Z$6)</f>
        <v>0</v>
      </c>
      <c r="AA17" s="148">
        <f>COUNTIFS('2026 Time Off Request'!$A:$A,'May 2026'!$D17,'2026 Time Off Request'!$L:$L,'May 2026'!AA$6)</f>
        <v>0</v>
      </c>
      <c r="AB17" s="147">
        <f>COUNTIFS('2026 Time Off Request'!$A:$A,'May 2026'!$D17,'2026 Time Off Request'!$L:$L,'May 2026'!AB$6)</f>
        <v>0</v>
      </c>
      <c r="AC17" s="147">
        <f>COUNTIFS('2026 Time Off Request'!$A:$A,'May 2026'!$D17,'2026 Time Off Request'!$L:$L,'May 2026'!AC$6)</f>
        <v>0</v>
      </c>
      <c r="AD17" s="148">
        <f>COUNTIFS('2026 Time Off Request'!$A:$A,'May 2026'!$D17,'2026 Time Off Request'!$L:$L,'May 2026'!AD$6)</f>
        <v>0</v>
      </c>
      <c r="AE17" s="148">
        <f>COUNTIFS('2026 Time Off Request'!$A:$A,'May 2026'!$D17,'2026 Time Off Request'!$L:$L,'May 2026'!AE$6)</f>
        <v>0</v>
      </c>
      <c r="AF17" s="148">
        <f>COUNTIFS('2026 Time Off Request'!$A:$A,'May 2026'!$D17,'2026 Time Off Request'!$L:$L,'May 2026'!AF$6)</f>
        <v>0</v>
      </c>
      <c r="AG17" s="148">
        <f>COUNTIFS('2026 Time Off Request'!$A:$A,'May 2026'!$D17,'2026 Time Off Request'!$L:$L,'May 2026'!AG$6)</f>
        <v>0</v>
      </c>
      <c r="AH17" s="148">
        <f>COUNTIFS('2026 Time Off Request'!$A:$A,'May 2026'!$D17,'2026 Time Off Request'!$L:$L,'May 2026'!AH$6)</f>
        <v>0</v>
      </c>
      <c r="AI17" s="147">
        <f>COUNTIFS('2026 Time Off Request'!$A:$A,'May 2026'!$D17,'2026 Time Off Request'!$L:$L,'May 2026'!AI$6)</f>
        <v>0</v>
      </c>
      <c r="AJ17" s="147">
        <f>COUNTIFS('2026 Time Off Request'!$A:$A,'May 2026'!$D17,'2026 Time Off Request'!$L:$L,'May 2026'!AJ$6)</f>
        <v>0</v>
      </c>
    </row>
    <row r="18" spans="1:36" ht="15.75">
      <c r="A18" s="2">
        <v>12</v>
      </c>
      <c r="B18" s="209" t="s">
        <v>36</v>
      </c>
      <c r="C18" s="210" t="s">
        <v>37</v>
      </c>
      <c r="D18" s="215" t="s">
        <v>43</v>
      </c>
      <c r="E18" s="212">
        <f t="shared" si="3"/>
        <v>0</v>
      </c>
      <c r="F18" s="223">
        <f>COUNTIFS('2026 Time Off Request'!$A:$A,'May 2026'!$D18,'2026 Time Off Request'!$L:$L,'May 2026'!F$6)</f>
        <v>0</v>
      </c>
      <c r="G18" s="147">
        <f>COUNTIFS('2026 Time Off Request'!$A:$A,'May 2026'!$D18,'2026 Time Off Request'!$L:$L,'May 2026'!G$6)</f>
        <v>0</v>
      </c>
      <c r="H18" s="147">
        <f>COUNTIFS('2026 Time Off Request'!$A:$A,'May 2026'!$D18,'2026 Time Off Request'!$L:$L,'May 2026'!H$6)</f>
        <v>0</v>
      </c>
      <c r="I18" s="148">
        <f>COUNTIFS('2026 Time Off Request'!$A:$A,'May 2026'!$D18,'2026 Time Off Request'!$L:$L,'May 2026'!I$6)</f>
        <v>0</v>
      </c>
      <c r="J18" s="148">
        <f>COUNTIFS('2026 Time Off Request'!$A:$A,'May 2026'!$D18,'2026 Time Off Request'!$L:$L,'May 2026'!J$6)</f>
        <v>0</v>
      </c>
      <c r="K18" s="148">
        <f>COUNTIFS('2026 Time Off Request'!$A:$A,'May 2026'!$D18,'2026 Time Off Request'!$L:$L,'May 2026'!K$6)</f>
        <v>0</v>
      </c>
      <c r="L18" s="148">
        <f>COUNTIFS('2026 Time Off Request'!$A:$A,'May 2026'!$D18,'2026 Time Off Request'!$L:$L,'May 2026'!L$6)</f>
        <v>0</v>
      </c>
      <c r="M18" s="148">
        <f>COUNTIFS('2026 Time Off Request'!$A:$A,'May 2026'!$D18,'2026 Time Off Request'!$L:$L,'May 2026'!M$6)</f>
        <v>0</v>
      </c>
      <c r="N18" s="147">
        <f>COUNTIFS('2026 Time Off Request'!$A:$A,'May 2026'!$D18,'2026 Time Off Request'!$L:$L,'May 2026'!N$6)</f>
        <v>0</v>
      </c>
      <c r="O18" s="147">
        <f>COUNTIFS('2026 Time Off Request'!$A:$A,'May 2026'!$D18,'2026 Time Off Request'!$L:$L,'May 2026'!O$6)</f>
        <v>0</v>
      </c>
      <c r="P18" s="148">
        <f>COUNTIFS('2026 Time Off Request'!$A:$A,'May 2026'!$D18,'2026 Time Off Request'!$L:$L,'May 2026'!P$6)</f>
        <v>0</v>
      </c>
      <c r="Q18" s="148">
        <f>COUNTIFS('2026 Time Off Request'!$A:$A,'May 2026'!$D18,'2026 Time Off Request'!$L:$L,'May 2026'!Q$6)</f>
        <v>0</v>
      </c>
      <c r="R18" s="148">
        <f>COUNTIFS('2026 Time Off Request'!$A:$A,'May 2026'!$D18,'2026 Time Off Request'!$L:$L,'May 2026'!R$6)</f>
        <v>0</v>
      </c>
      <c r="S18" s="148">
        <f>COUNTIFS('2026 Time Off Request'!$A:$A,'May 2026'!$D18,'2026 Time Off Request'!$L:$L,'May 2026'!S$6)</f>
        <v>0</v>
      </c>
      <c r="T18" s="148">
        <f>COUNTIFS('2026 Time Off Request'!$A:$A,'May 2026'!$D18,'2026 Time Off Request'!$L:$L,'May 2026'!T$6)</f>
        <v>0</v>
      </c>
      <c r="U18" s="147">
        <f>COUNTIFS('2026 Time Off Request'!$A:$A,'May 2026'!$D18,'2026 Time Off Request'!$L:$L,'May 2026'!U$6)</f>
        <v>0</v>
      </c>
      <c r="V18" s="147">
        <f>COUNTIFS('2026 Time Off Request'!$A:$A,'May 2026'!$D18,'2026 Time Off Request'!$L:$L,'May 2026'!V$6)</f>
        <v>0</v>
      </c>
      <c r="W18" s="224">
        <f>COUNTIFS('2026 Time Off Request'!$A:$A,'May 2026'!$D18,'2026 Time Off Request'!$L:$L,'May 2026'!W$6)</f>
        <v>0</v>
      </c>
      <c r="X18" s="148">
        <f>COUNTIFS('2026 Time Off Request'!$A:$A,'May 2026'!$D18,'2026 Time Off Request'!$L:$L,'May 2026'!X$6)</f>
        <v>0</v>
      </c>
      <c r="Y18" s="148">
        <f>COUNTIFS('2026 Time Off Request'!$A:$A,'May 2026'!$D18,'2026 Time Off Request'!$L:$L,'May 2026'!Y$6)</f>
        <v>0</v>
      </c>
      <c r="Z18" s="148">
        <f>COUNTIFS('2026 Time Off Request'!$A:$A,'May 2026'!$D18,'2026 Time Off Request'!$L:$L,'May 2026'!Z$6)</f>
        <v>0</v>
      </c>
      <c r="AA18" s="148">
        <f>COUNTIFS('2026 Time Off Request'!$A:$A,'May 2026'!$D18,'2026 Time Off Request'!$L:$L,'May 2026'!AA$6)</f>
        <v>0</v>
      </c>
      <c r="AB18" s="147">
        <f>COUNTIFS('2026 Time Off Request'!$A:$A,'May 2026'!$D18,'2026 Time Off Request'!$L:$L,'May 2026'!AB$6)</f>
        <v>0</v>
      </c>
      <c r="AC18" s="147">
        <f>COUNTIFS('2026 Time Off Request'!$A:$A,'May 2026'!$D18,'2026 Time Off Request'!$L:$L,'May 2026'!AC$6)</f>
        <v>0</v>
      </c>
      <c r="AD18" s="148">
        <f>COUNTIFS('2026 Time Off Request'!$A:$A,'May 2026'!$D18,'2026 Time Off Request'!$L:$L,'May 2026'!AD$6)</f>
        <v>0</v>
      </c>
      <c r="AE18" s="148">
        <f>COUNTIFS('2026 Time Off Request'!$A:$A,'May 2026'!$D18,'2026 Time Off Request'!$L:$L,'May 2026'!AE$6)</f>
        <v>0</v>
      </c>
      <c r="AF18" s="148">
        <f>COUNTIFS('2026 Time Off Request'!$A:$A,'May 2026'!$D18,'2026 Time Off Request'!$L:$L,'May 2026'!AF$6)</f>
        <v>0</v>
      </c>
      <c r="AG18" s="148">
        <f>COUNTIFS('2026 Time Off Request'!$A:$A,'May 2026'!$D18,'2026 Time Off Request'!$L:$L,'May 2026'!AG$6)</f>
        <v>0</v>
      </c>
      <c r="AH18" s="148">
        <f>COUNTIFS('2026 Time Off Request'!$A:$A,'May 2026'!$D18,'2026 Time Off Request'!$L:$L,'May 2026'!AH$6)</f>
        <v>0</v>
      </c>
      <c r="AI18" s="147">
        <f>COUNTIFS('2026 Time Off Request'!$A:$A,'May 2026'!$D18,'2026 Time Off Request'!$L:$L,'May 2026'!AI$6)</f>
        <v>0</v>
      </c>
      <c r="AJ18" s="147">
        <f>COUNTIFS('2026 Time Off Request'!$A:$A,'May 2026'!$D18,'2026 Time Off Request'!$L:$L,'May 2026'!AJ$6)</f>
        <v>0</v>
      </c>
    </row>
    <row r="19" spans="1:36" ht="15.75">
      <c r="A19" s="2">
        <v>13</v>
      </c>
      <c r="B19" s="209" t="s">
        <v>36</v>
      </c>
      <c r="C19" s="210" t="s">
        <v>37</v>
      </c>
      <c r="D19" s="215" t="s">
        <v>44</v>
      </c>
      <c r="E19" s="212">
        <f t="shared" si="3"/>
        <v>0</v>
      </c>
      <c r="F19" s="223">
        <f>COUNTIFS('2026 Time Off Request'!$A:$A,'May 2026'!$D19,'2026 Time Off Request'!$L:$L,'May 2026'!F$6)</f>
        <v>0</v>
      </c>
      <c r="G19" s="147">
        <f>COUNTIFS('2026 Time Off Request'!$A:$A,'May 2026'!$D19,'2026 Time Off Request'!$L:$L,'May 2026'!G$6)</f>
        <v>0</v>
      </c>
      <c r="H19" s="147">
        <f>COUNTIFS('2026 Time Off Request'!$A:$A,'May 2026'!$D19,'2026 Time Off Request'!$L:$L,'May 2026'!H$6)</f>
        <v>0</v>
      </c>
      <c r="I19" s="148">
        <f>COUNTIFS('2026 Time Off Request'!$A:$A,'May 2026'!$D19,'2026 Time Off Request'!$L:$L,'May 2026'!I$6)</f>
        <v>0</v>
      </c>
      <c r="J19" s="148">
        <f>COUNTIFS('2026 Time Off Request'!$A:$A,'May 2026'!$D19,'2026 Time Off Request'!$L:$L,'May 2026'!J$6)</f>
        <v>0</v>
      </c>
      <c r="K19" s="148">
        <f>COUNTIFS('2026 Time Off Request'!$A:$A,'May 2026'!$D19,'2026 Time Off Request'!$L:$L,'May 2026'!K$6)</f>
        <v>0</v>
      </c>
      <c r="L19" s="148">
        <f>COUNTIFS('2026 Time Off Request'!$A:$A,'May 2026'!$D19,'2026 Time Off Request'!$L:$L,'May 2026'!L$6)</f>
        <v>0</v>
      </c>
      <c r="M19" s="148">
        <f>COUNTIFS('2026 Time Off Request'!$A:$A,'May 2026'!$D19,'2026 Time Off Request'!$L:$L,'May 2026'!M$6)</f>
        <v>0</v>
      </c>
      <c r="N19" s="147">
        <f>COUNTIFS('2026 Time Off Request'!$A:$A,'May 2026'!$D19,'2026 Time Off Request'!$L:$L,'May 2026'!N$6)</f>
        <v>0</v>
      </c>
      <c r="O19" s="147">
        <f>COUNTIFS('2026 Time Off Request'!$A:$A,'May 2026'!$D19,'2026 Time Off Request'!$L:$L,'May 2026'!O$6)</f>
        <v>0</v>
      </c>
      <c r="P19" s="148">
        <f>COUNTIFS('2026 Time Off Request'!$A:$A,'May 2026'!$D19,'2026 Time Off Request'!$L:$L,'May 2026'!P$6)</f>
        <v>0</v>
      </c>
      <c r="Q19" s="148">
        <f>COUNTIFS('2026 Time Off Request'!$A:$A,'May 2026'!$D19,'2026 Time Off Request'!$L:$L,'May 2026'!Q$6)</f>
        <v>0</v>
      </c>
      <c r="R19" s="148">
        <f>COUNTIFS('2026 Time Off Request'!$A:$A,'May 2026'!$D19,'2026 Time Off Request'!$L:$L,'May 2026'!R$6)</f>
        <v>0</v>
      </c>
      <c r="S19" s="148">
        <f>COUNTIFS('2026 Time Off Request'!$A:$A,'May 2026'!$D19,'2026 Time Off Request'!$L:$L,'May 2026'!S$6)</f>
        <v>0</v>
      </c>
      <c r="T19" s="148">
        <f>COUNTIFS('2026 Time Off Request'!$A:$A,'May 2026'!$D19,'2026 Time Off Request'!$L:$L,'May 2026'!T$6)</f>
        <v>0</v>
      </c>
      <c r="U19" s="147">
        <f>COUNTIFS('2026 Time Off Request'!$A:$A,'May 2026'!$D19,'2026 Time Off Request'!$L:$L,'May 2026'!U$6)</f>
        <v>0</v>
      </c>
      <c r="V19" s="147">
        <f>COUNTIFS('2026 Time Off Request'!$A:$A,'May 2026'!$D19,'2026 Time Off Request'!$L:$L,'May 2026'!V$6)</f>
        <v>0</v>
      </c>
      <c r="W19" s="224">
        <f>COUNTIFS('2026 Time Off Request'!$A:$A,'May 2026'!$D19,'2026 Time Off Request'!$L:$L,'May 2026'!W$6)</f>
        <v>0</v>
      </c>
      <c r="X19" s="148">
        <f>COUNTIFS('2026 Time Off Request'!$A:$A,'May 2026'!$D19,'2026 Time Off Request'!$L:$L,'May 2026'!X$6)</f>
        <v>0</v>
      </c>
      <c r="Y19" s="148">
        <f>COUNTIFS('2026 Time Off Request'!$A:$A,'May 2026'!$D19,'2026 Time Off Request'!$L:$L,'May 2026'!Y$6)</f>
        <v>0</v>
      </c>
      <c r="Z19" s="148">
        <f>COUNTIFS('2026 Time Off Request'!$A:$A,'May 2026'!$D19,'2026 Time Off Request'!$L:$L,'May 2026'!Z$6)</f>
        <v>0</v>
      </c>
      <c r="AA19" s="148">
        <f>COUNTIFS('2026 Time Off Request'!$A:$A,'May 2026'!$D19,'2026 Time Off Request'!$L:$L,'May 2026'!AA$6)</f>
        <v>0</v>
      </c>
      <c r="AB19" s="147">
        <f>COUNTIFS('2026 Time Off Request'!$A:$A,'May 2026'!$D19,'2026 Time Off Request'!$L:$L,'May 2026'!AB$6)</f>
        <v>0</v>
      </c>
      <c r="AC19" s="147">
        <f>COUNTIFS('2026 Time Off Request'!$A:$A,'May 2026'!$D19,'2026 Time Off Request'!$L:$L,'May 2026'!AC$6)</f>
        <v>0</v>
      </c>
      <c r="AD19" s="148">
        <f>COUNTIFS('2026 Time Off Request'!$A:$A,'May 2026'!$D19,'2026 Time Off Request'!$L:$L,'May 2026'!AD$6)</f>
        <v>0</v>
      </c>
      <c r="AE19" s="148">
        <f>COUNTIFS('2026 Time Off Request'!$A:$A,'May 2026'!$D19,'2026 Time Off Request'!$L:$L,'May 2026'!AE$6)</f>
        <v>0</v>
      </c>
      <c r="AF19" s="148">
        <f>COUNTIFS('2026 Time Off Request'!$A:$A,'May 2026'!$D19,'2026 Time Off Request'!$L:$L,'May 2026'!AF$6)</f>
        <v>0</v>
      </c>
      <c r="AG19" s="148">
        <f>COUNTIFS('2026 Time Off Request'!$A:$A,'May 2026'!$D19,'2026 Time Off Request'!$L:$L,'May 2026'!AG$6)</f>
        <v>0</v>
      </c>
      <c r="AH19" s="148">
        <f>COUNTIFS('2026 Time Off Request'!$A:$A,'May 2026'!$D19,'2026 Time Off Request'!$L:$L,'May 2026'!AH$6)</f>
        <v>0</v>
      </c>
      <c r="AI19" s="147">
        <f>COUNTIFS('2026 Time Off Request'!$A:$A,'May 2026'!$D19,'2026 Time Off Request'!$L:$L,'May 2026'!AI$6)</f>
        <v>0</v>
      </c>
      <c r="AJ19" s="147">
        <f>COUNTIFS('2026 Time Off Request'!$A:$A,'May 2026'!$D19,'2026 Time Off Request'!$L:$L,'May 2026'!AJ$6)</f>
        <v>0</v>
      </c>
    </row>
    <row r="20" spans="1:36" ht="15.75">
      <c r="A20" s="2">
        <v>14</v>
      </c>
      <c r="B20" s="209" t="s">
        <v>45</v>
      </c>
      <c r="C20" s="210" t="s">
        <v>37</v>
      </c>
      <c r="D20" s="215" t="s">
        <v>46</v>
      </c>
      <c r="E20" s="212">
        <f t="shared" si="3"/>
        <v>0</v>
      </c>
      <c r="F20" s="223">
        <f>COUNTIFS('2026 Time Off Request'!$A:$A,'May 2026'!$D20,'2026 Time Off Request'!$L:$L,'May 2026'!F$6)</f>
        <v>0</v>
      </c>
      <c r="G20" s="147">
        <f>COUNTIFS('2026 Time Off Request'!$A:$A,'May 2026'!$D20,'2026 Time Off Request'!$L:$L,'May 2026'!G$6)</f>
        <v>0</v>
      </c>
      <c r="H20" s="147">
        <f>COUNTIFS('2026 Time Off Request'!$A:$A,'May 2026'!$D20,'2026 Time Off Request'!$L:$L,'May 2026'!H$6)</f>
        <v>0</v>
      </c>
      <c r="I20" s="148">
        <f>COUNTIFS('2026 Time Off Request'!$A:$A,'May 2026'!$D20,'2026 Time Off Request'!$L:$L,'May 2026'!I$6)</f>
        <v>0</v>
      </c>
      <c r="J20" s="148">
        <f>COUNTIFS('2026 Time Off Request'!$A:$A,'May 2026'!$D20,'2026 Time Off Request'!$L:$L,'May 2026'!J$6)</f>
        <v>0</v>
      </c>
      <c r="K20" s="148">
        <f>COUNTIFS('2026 Time Off Request'!$A:$A,'May 2026'!$D20,'2026 Time Off Request'!$L:$L,'May 2026'!K$6)</f>
        <v>0</v>
      </c>
      <c r="L20" s="148">
        <f>COUNTIFS('2026 Time Off Request'!$A:$A,'May 2026'!$D20,'2026 Time Off Request'!$L:$L,'May 2026'!L$6)</f>
        <v>0</v>
      </c>
      <c r="M20" s="148">
        <f>COUNTIFS('2026 Time Off Request'!$A:$A,'May 2026'!$D20,'2026 Time Off Request'!$L:$L,'May 2026'!M$6)</f>
        <v>0</v>
      </c>
      <c r="N20" s="147">
        <f>COUNTIFS('2026 Time Off Request'!$A:$A,'May 2026'!$D20,'2026 Time Off Request'!$L:$L,'May 2026'!N$6)</f>
        <v>0</v>
      </c>
      <c r="O20" s="147">
        <f>COUNTIFS('2026 Time Off Request'!$A:$A,'May 2026'!$D20,'2026 Time Off Request'!$L:$L,'May 2026'!O$6)</f>
        <v>0</v>
      </c>
      <c r="P20" s="148">
        <f>COUNTIFS('2026 Time Off Request'!$A:$A,'May 2026'!$D20,'2026 Time Off Request'!$L:$L,'May 2026'!P$6)</f>
        <v>0</v>
      </c>
      <c r="Q20" s="148">
        <f>COUNTIFS('2026 Time Off Request'!$A:$A,'May 2026'!$D20,'2026 Time Off Request'!$L:$L,'May 2026'!Q$6)</f>
        <v>0</v>
      </c>
      <c r="R20" s="148">
        <f>COUNTIFS('2026 Time Off Request'!$A:$A,'May 2026'!$D20,'2026 Time Off Request'!$L:$L,'May 2026'!R$6)</f>
        <v>0</v>
      </c>
      <c r="S20" s="148">
        <f>COUNTIFS('2026 Time Off Request'!$A:$A,'May 2026'!$D20,'2026 Time Off Request'!$L:$L,'May 2026'!S$6)</f>
        <v>0</v>
      </c>
      <c r="T20" s="148">
        <f>COUNTIFS('2026 Time Off Request'!$A:$A,'May 2026'!$D20,'2026 Time Off Request'!$L:$L,'May 2026'!T$6)</f>
        <v>0</v>
      </c>
      <c r="U20" s="147">
        <f>COUNTIFS('2026 Time Off Request'!$A:$A,'May 2026'!$D20,'2026 Time Off Request'!$L:$L,'May 2026'!U$6)</f>
        <v>0</v>
      </c>
      <c r="V20" s="147">
        <f>COUNTIFS('2026 Time Off Request'!$A:$A,'May 2026'!$D20,'2026 Time Off Request'!$L:$L,'May 2026'!V$6)</f>
        <v>0</v>
      </c>
      <c r="W20" s="224">
        <f>COUNTIFS('2026 Time Off Request'!$A:$A,'May 2026'!$D20,'2026 Time Off Request'!$L:$L,'May 2026'!W$6)</f>
        <v>0</v>
      </c>
      <c r="X20" s="148">
        <f>COUNTIFS('2026 Time Off Request'!$A:$A,'May 2026'!$D20,'2026 Time Off Request'!$L:$L,'May 2026'!X$6)</f>
        <v>0</v>
      </c>
      <c r="Y20" s="148">
        <f>COUNTIFS('2026 Time Off Request'!$A:$A,'May 2026'!$D20,'2026 Time Off Request'!$L:$L,'May 2026'!Y$6)</f>
        <v>0</v>
      </c>
      <c r="Z20" s="148">
        <f>COUNTIFS('2026 Time Off Request'!$A:$A,'May 2026'!$D20,'2026 Time Off Request'!$L:$L,'May 2026'!Z$6)</f>
        <v>0</v>
      </c>
      <c r="AA20" s="148">
        <f>COUNTIFS('2026 Time Off Request'!$A:$A,'May 2026'!$D20,'2026 Time Off Request'!$L:$L,'May 2026'!AA$6)</f>
        <v>0</v>
      </c>
      <c r="AB20" s="147">
        <f>COUNTIFS('2026 Time Off Request'!$A:$A,'May 2026'!$D20,'2026 Time Off Request'!$L:$L,'May 2026'!AB$6)</f>
        <v>0</v>
      </c>
      <c r="AC20" s="147">
        <f>COUNTIFS('2026 Time Off Request'!$A:$A,'May 2026'!$D20,'2026 Time Off Request'!$L:$L,'May 2026'!AC$6)</f>
        <v>0</v>
      </c>
      <c r="AD20" s="148">
        <f>COUNTIFS('2026 Time Off Request'!$A:$A,'May 2026'!$D20,'2026 Time Off Request'!$L:$L,'May 2026'!AD$6)</f>
        <v>0</v>
      </c>
      <c r="AE20" s="148">
        <f>COUNTIFS('2026 Time Off Request'!$A:$A,'May 2026'!$D20,'2026 Time Off Request'!$L:$L,'May 2026'!AE$6)</f>
        <v>0</v>
      </c>
      <c r="AF20" s="148">
        <f>COUNTIFS('2026 Time Off Request'!$A:$A,'May 2026'!$D20,'2026 Time Off Request'!$L:$L,'May 2026'!AF$6)</f>
        <v>0</v>
      </c>
      <c r="AG20" s="148">
        <f>COUNTIFS('2026 Time Off Request'!$A:$A,'May 2026'!$D20,'2026 Time Off Request'!$L:$L,'May 2026'!AG$6)</f>
        <v>0</v>
      </c>
      <c r="AH20" s="148">
        <f>COUNTIFS('2026 Time Off Request'!$A:$A,'May 2026'!$D20,'2026 Time Off Request'!$L:$L,'May 2026'!AH$6)</f>
        <v>0</v>
      </c>
      <c r="AI20" s="147">
        <f>COUNTIFS('2026 Time Off Request'!$A:$A,'May 2026'!$D20,'2026 Time Off Request'!$L:$L,'May 2026'!AI$6)</f>
        <v>0</v>
      </c>
      <c r="AJ20" s="147">
        <f>COUNTIFS('2026 Time Off Request'!$A:$A,'May 2026'!$D20,'2026 Time Off Request'!$L:$L,'May 2026'!AJ$6)</f>
        <v>0</v>
      </c>
    </row>
    <row r="21" spans="1:36" ht="15.75">
      <c r="A21" s="2">
        <v>15</v>
      </c>
      <c r="B21" s="209" t="s">
        <v>45</v>
      </c>
      <c r="C21" s="210" t="s">
        <v>47</v>
      </c>
      <c r="D21" s="215" t="s">
        <v>48</v>
      </c>
      <c r="E21" s="212">
        <f t="shared" si="3"/>
        <v>0</v>
      </c>
      <c r="F21" s="223">
        <f>COUNTIFS('2026 Time Off Request'!$A:$A,'May 2026'!$D21,'2026 Time Off Request'!$L:$L,'May 2026'!F$6)</f>
        <v>0</v>
      </c>
      <c r="G21" s="147">
        <f>COUNTIFS('2026 Time Off Request'!$A:$A,'May 2026'!$D21,'2026 Time Off Request'!$L:$L,'May 2026'!G$6)</f>
        <v>0</v>
      </c>
      <c r="H21" s="147">
        <f>COUNTIFS('2026 Time Off Request'!$A:$A,'May 2026'!$D21,'2026 Time Off Request'!$L:$L,'May 2026'!H$6)</f>
        <v>0</v>
      </c>
      <c r="I21" s="148">
        <f>COUNTIFS('2026 Time Off Request'!$A:$A,'May 2026'!$D21,'2026 Time Off Request'!$L:$L,'May 2026'!I$6)</f>
        <v>0</v>
      </c>
      <c r="J21" s="148">
        <f>COUNTIFS('2026 Time Off Request'!$A:$A,'May 2026'!$D21,'2026 Time Off Request'!$L:$L,'May 2026'!J$6)</f>
        <v>0</v>
      </c>
      <c r="K21" s="148">
        <f>COUNTIFS('2026 Time Off Request'!$A:$A,'May 2026'!$D21,'2026 Time Off Request'!$L:$L,'May 2026'!K$6)</f>
        <v>0</v>
      </c>
      <c r="L21" s="148">
        <f>COUNTIFS('2026 Time Off Request'!$A:$A,'May 2026'!$D21,'2026 Time Off Request'!$L:$L,'May 2026'!L$6)</f>
        <v>0</v>
      </c>
      <c r="M21" s="148">
        <f>COUNTIFS('2026 Time Off Request'!$A:$A,'May 2026'!$D21,'2026 Time Off Request'!$L:$L,'May 2026'!M$6)</f>
        <v>0</v>
      </c>
      <c r="N21" s="147">
        <f>COUNTIFS('2026 Time Off Request'!$A:$A,'May 2026'!$D21,'2026 Time Off Request'!$L:$L,'May 2026'!N$6)</f>
        <v>0</v>
      </c>
      <c r="O21" s="147">
        <f>COUNTIFS('2026 Time Off Request'!$A:$A,'May 2026'!$D21,'2026 Time Off Request'!$L:$L,'May 2026'!O$6)</f>
        <v>0</v>
      </c>
      <c r="P21" s="148">
        <f>COUNTIFS('2026 Time Off Request'!$A:$A,'May 2026'!$D21,'2026 Time Off Request'!$L:$L,'May 2026'!P$6)</f>
        <v>0</v>
      </c>
      <c r="Q21" s="148">
        <f>COUNTIFS('2026 Time Off Request'!$A:$A,'May 2026'!$D21,'2026 Time Off Request'!$L:$L,'May 2026'!Q$6)</f>
        <v>0</v>
      </c>
      <c r="R21" s="148">
        <f>COUNTIFS('2026 Time Off Request'!$A:$A,'May 2026'!$D21,'2026 Time Off Request'!$L:$L,'May 2026'!R$6)</f>
        <v>0</v>
      </c>
      <c r="S21" s="148">
        <f>COUNTIFS('2026 Time Off Request'!$A:$A,'May 2026'!$D21,'2026 Time Off Request'!$L:$L,'May 2026'!S$6)</f>
        <v>0</v>
      </c>
      <c r="T21" s="148">
        <f>COUNTIFS('2026 Time Off Request'!$A:$A,'May 2026'!$D21,'2026 Time Off Request'!$L:$L,'May 2026'!T$6)</f>
        <v>0</v>
      </c>
      <c r="U21" s="147">
        <f>COUNTIFS('2026 Time Off Request'!$A:$A,'May 2026'!$D21,'2026 Time Off Request'!$L:$L,'May 2026'!U$6)</f>
        <v>0</v>
      </c>
      <c r="V21" s="147">
        <f>COUNTIFS('2026 Time Off Request'!$A:$A,'May 2026'!$D21,'2026 Time Off Request'!$L:$L,'May 2026'!V$6)</f>
        <v>0</v>
      </c>
      <c r="W21" s="224">
        <f>COUNTIFS('2026 Time Off Request'!$A:$A,'May 2026'!$D21,'2026 Time Off Request'!$L:$L,'May 2026'!W$6)</f>
        <v>0</v>
      </c>
      <c r="X21" s="148">
        <f>COUNTIFS('2026 Time Off Request'!$A:$A,'May 2026'!$D21,'2026 Time Off Request'!$L:$L,'May 2026'!X$6)</f>
        <v>0</v>
      </c>
      <c r="Y21" s="148">
        <f>COUNTIFS('2026 Time Off Request'!$A:$A,'May 2026'!$D21,'2026 Time Off Request'!$L:$L,'May 2026'!Y$6)</f>
        <v>0</v>
      </c>
      <c r="Z21" s="148">
        <f>COUNTIFS('2026 Time Off Request'!$A:$A,'May 2026'!$D21,'2026 Time Off Request'!$L:$L,'May 2026'!Z$6)</f>
        <v>0</v>
      </c>
      <c r="AA21" s="148">
        <f>COUNTIFS('2026 Time Off Request'!$A:$A,'May 2026'!$D21,'2026 Time Off Request'!$L:$L,'May 2026'!AA$6)</f>
        <v>0</v>
      </c>
      <c r="AB21" s="147">
        <f>COUNTIFS('2026 Time Off Request'!$A:$A,'May 2026'!$D21,'2026 Time Off Request'!$L:$L,'May 2026'!AB$6)</f>
        <v>0</v>
      </c>
      <c r="AC21" s="147">
        <f>COUNTIFS('2026 Time Off Request'!$A:$A,'May 2026'!$D21,'2026 Time Off Request'!$L:$L,'May 2026'!AC$6)</f>
        <v>0</v>
      </c>
      <c r="AD21" s="148">
        <f>COUNTIFS('2026 Time Off Request'!$A:$A,'May 2026'!$D21,'2026 Time Off Request'!$L:$L,'May 2026'!AD$6)</f>
        <v>0</v>
      </c>
      <c r="AE21" s="148">
        <f>COUNTIFS('2026 Time Off Request'!$A:$A,'May 2026'!$D21,'2026 Time Off Request'!$L:$L,'May 2026'!AE$6)</f>
        <v>0</v>
      </c>
      <c r="AF21" s="148">
        <f>COUNTIFS('2026 Time Off Request'!$A:$A,'May 2026'!$D21,'2026 Time Off Request'!$L:$L,'May 2026'!AF$6)</f>
        <v>0</v>
      </c>
      <c r="AG21" s="148">
        <f>COUNTIFS('2026 Time Off Request'!$A:$A,'May 2026'!$D21,'2026 Time Off Request'!$L:$L,'May 2026'!AG$6)</f>
        <v>0</v>
      </c>
      <c r="AH21" s="148">
        <f>COUNTIFS('2026 Time Off Request'!$A:$A,'May 2026'!$D21,'2026 Time Off Request'!$L:$L,'May 2026'!AH$6)</f>
        <v>0</v>
      </c>
      <c r="AI21" s="147">
        <f>COUNTIFS('2026 Time Off Request'!$A:$A,'May 2026'!$D21,'2026 Time Off Request'!$L:$L,'May 2026'!AI$6)</f>
        <v>0</v>
      </c>
      <c r="AJ21" s="147">
        <f>COUNTIFS('2026 Time Off Request'!$A:$A,'May 2026'!$D21,'2026 Time Off Request'!$L:$L,'May 2026'!AJ$6)</f>
        <v>0</v>
      </c>
    </row>
    <row r="22" spans="1:36" ht="15.75">
      <c r="A22" s="2">
        <v>16</v>
      </c>
      <c r="B22" s="209" t="s">
        <v>49</v>
      </c>
      <c r="C22" s="210" t="s">
        <v>50</v>
      </c>
      <c r="D22" s="215" t="s">
        <v>51</v>
      </c>
      <c r="E22" s="212">
        <f t="shared" si="3"/>
        <v>0</v>
      </c>
      <c r="F22" s="223">
        <f>COUNTIFS('2026 Time Off Request'!$A:$A,'May 2026'!$D22,'2026 Time Off Request'!$L:$L,'May 2026'!F$6)</f>
        <v>0</v>
      </c>
      <c r="G22" s="147">
        <f>COUNTIFS('2026 Time Off Request'!$A:$A,'May 2026'!$D22,'2026 Time Off Request'!$L:$L,'May 2026'!G$6)</f>
        <v>0</v>
      </c>
      <c r="H22" s="147">
        <f>COUNTIFS('2026 Time Off Request'!$A:$A,'May 2026'!$D22,'2026 Time Off Request'!$L:$L,'May 2026'!H$6)</f>
        <v>0</v>
      </c>
      <c r="I22" s="148">
        <f>COUNTIFS('2026 Time Off Request'!$A:$A,'May 2026'!$D22,'2026 Time Off Request'!$L:$L,'May 2026'!I$6)</f>
        <v>0</v>
      </c>
      <c r="J22" s="148">
        <f>COUNTIFS('2026 Time Off Request'!$A:$A,'May 2026'!$D22,'2026 Time Off Request'!$L:$L,'May 2026'!J$6)</f>
        <v>0</v>
      </c>
      <c r="K22" s="148">
        <f>COUNTIFS('2026 Time Off Request'!$A:$A,'May 2026'!$D22,'2026 Time Off Request'!$L:$L,'May 2026'!K$6)</f>
        <v>0</v>
      </c>
      <c r="L22" s="148">
        <f>COUNTIFS('2026 Time Off Request'!$A:$A,'May 2026'!$D22,'2026 Time Off Request'!$L:$L,'May 2026'!L$6)</f>
        <v>0</v>
      </c>
      <c r="M22" s="148">
        <f>COUNTIFS('2026 Time Off Request'!$A:$A,'May 2026'!$D22,'2026 Time Off Request'!$L:$L,'May 2026'!M$6)</f>
        <v>0</v>
      </c>
      <c r="N22" s="147">
        <f>COUNTIFS('2026 Time Off Request'!$A:$A,'May 2026'!$D22,'2026 Time Off Request'!$L:$L,'May 2026'!N$6)</f>
        <v>0</v>
      </c>
      <c r="O22" s="147">
        <f>COUNTIFS('2026 Time Off Request'!$A:$A,'May 2026'!$D22,'2026 Time Off Request'!$L:$L,'May 2026'!O$6)</f>
        <v>0</v>
      </c>
      <c r="P22" s="148">
        <f>COUNTIFS('2026 Time Off Request'!$A:$A,'May 2026'!$D22,'2026 Time Off Request'!$L:$L,'May 2026'!P$6)</f>
        <v>0</v>
      </c>
      <c r="Q22" s="148">
        <f>COUNTIFS('2026 Time Off Request'!$A:$A,'May 2026'!$D22,'2026 Time Off Request'!$L:$L,'May 2026'!Q$6)</f>
        <v>0</v>
      </c>
      <c r="R22" s="148">
        <f>COUNTIFS('2026 Time Off Request'!$A:$A,'May 2026'!$D22,'2026 Time Off Request'!$L:$L,'May 2026'!R$6)</f>
        <v>0</v>
      </c>
      <c r="S22" s="148">
        <f>COUNTIFS('2026 Time Off Request'!$A:$A,'May 2026'!$D22,'2026 Time Off Request'!$L:$L,'May 2026'!S$6)</f>
        <v>0</v>
      </c>
      <c r="T22" s="148">
        <f>COUNTIFS('2026 Time Off Request'!$A:$A,'May 2026'!$D22,'2026 Time Off Request'!$L:$L,'May 2026'!T$6)</f>
        <v>0</v>
      </c>
      <c r="U22" s="147">
        <f>COUNTIFS('2026 Time Off Request'!$A:$A,'May 2026'!$D22,'2026 Time Off Request'!$L:$L,'May 2026'!U$6)</f>
        <v>0</v>
      </c>
      <c r="V22" s="147">
        <f>COUNTIFS('2026 Time Off Request'!$A:$A,'May 2026'!$D22,'2026 Time Off Request'!$L:$L,'May 2026'!V$6)</f>
        <v>0</v>
      </c>
      <c r="W22" s="224">
        <f>COUNTIFS('2026 Time Off Request'!$A:$A,'May 2026'!$D22,'2026 Time Off Request'!$L:$L,'May 2026'!W$6)</f>
        <v>0</v>
      </c>
      <c r="X22" s="148">
        <f>COUNTIFS('2026 Time Off Request'!$A:$A,'May 2026'!$D22,'2026 Time Off Request'!$L:$L,'May 2026'!X$6)</f>
        <v>0</v>
      </c>
      <c r="Y22" s="148">
        <f>COUNTIFS('2026 Time Off Request'!$A:$A,'May 2026'!$D22,'2026 Time Off Request'!$L:$L,'May 2026'!Y$6)</f>
        <v>0</v>
      </c>
      <c r="Z22" s="148">
        <f>COUNTIFS('2026 Time Off Request'!$A:$A,'May 2026'!$D22,'2026 Time Off Request'!$L:$L,'May 2026'!Z$6)</f>
        <v>0</v>
      </c>
      <c r="AA22" s="148">
        <f>COUNTIFS('2026 Time Off Request'!$A:$A,'May 2026'!$D22,'2026 Time Off Request'!$L:$L,'May 2026'!AA$6)</f>
        <v>0</v>
      </c>
      <c r="AB22" s="147">
        <f>COUNTIFS('2026 Time Off Request'!$A:$A,'May 2026'!$D22,'2026 Time Off Request'!$L:$L,'May 2026'!AB$6)</f>
        <v>0</v>
      </c>
      <c r="AC22" s="147">
        <f>COUNTIFS('2026 Time Off Request'!$A:$A,'May 2026'!$D22,'2026 Time Off Request'!$L:$L,'May 2026'!AC$6)</f>
        <v>0</v>
      </c>
      <c r="AD22" s="148">
        <f>COUNTIFS('2026 Time Off Request'!$A:$A,'May 2026'!$D22,'2026 Time Off Request'!$L:$L,'May 2026'!AD$6)</f>
        <v>0</v>
      </c>
      <c r="AE22" s="148">
        <f>COUNTIFS('2026 Time Off Request'!$A:$A,'May 2026'!$D22,'2026 Time Off Request'!$L:$L,'May 2026'!AE$6)</f>
        <v>0</v>
      </c>
      <c r="AF22" s="148">
        <f>COUNTIFS('2026 Time Off Request'!$A:$A,'May 2026'!$D22,'2026 Time Off Request'!$L:$L,'May 2026'!AF$6)</f>
        <v>0</v>
      </c>
      <c r="AG22" s="148">
        <f>COUNTIFS('2026 Time Off Request'!$A:$A,'May 2026'!$D22,'2026 Time Off Request'!$L:$L,'May 2026'!AG$6)</f>
        <v>0</v>
      </c>
      <c r="AH22" s="148">
        <f>COUNTIFS('2026 Time Off Request'!$A:$A,'May 2026'!$D22,'2026 Time Off Request'!$L:$L,'May 2026'!AH$6)</f>
        <v>0</v>
      </c>
      <c r="AI22" s="147">
        <f>COUNTIFS('2026 Time Off Request'!$A:$A,'May 2026'!$D22,'2026 Time Off Request'!$L:$L,'May 2026'!AI$6)</f>
        <v>0</v>
      </c>
      <c r="AJ22" s="147">
        <f>COUNTIFS('2026 Time Off Request'!$A:$A,'May 2026'!$D22,'2026 Time Off Request'!$L:$L,'May 2026'!AJ$6)</f>
        <v>0</v>
      </c>
    </row>
    <row r="23" spans="1:36" ht="15.75">
      <c r="A23" s="2">
        <v>17</v>
      </c>
      <c r="B23" s="209" t="s">
        <v>45</v>
      </c>
      <c r="C23" s="210" t="s">
        <v>52</v>
      </c>
      <c r="D23" s="215" t="s">
        <v>53</v>
      </c>
      <c r="E23" s="212">
        <f t="shared" si="3"/>
        <v>0</v>
      </c>
      <c r="F23" s="223">
        <f>COUNTIFS('2026 Time Off Request'!$A:$A,'May 2026'!$D23,'2026 Time Off Request'!$L:$L,'May 2026'!F$6)</f>
        <v>0</v>
      </c>
      <c r="G23" s="147">
        <f>COUNTIFS('2026 Time Off Request'!$A:$A,'May 2026'!$D23,'2026 Time Off Request'!$L:$L,'May 2026'!G$6)</f>
        <v>0</v>
      </c>
      <c r="H23" s="147">
        <f>COUNTIFS('2026 Time Off Request'!$A:$A,'May 2026'!$D23,'2026 Time Off Request'!$L:$L,'May 2026'!H$6)</f>
        <v>0</v>
      </c>
      <c r="I23" s="148">
        <f>COUNTIFS('2026 Time Off Request'!$A:$A,'May 2026'!$D23,'2026 Time Off Request'!$L:$L,'May 2026'!I$6)</f>
        <v>0</v>
      </c>
      <c r="J23" s="148">
        <f>COUNTIFS('2026 Time Off Request'!$A:$A,'May 2026'!$D23,'2026 Time Off Request'!$L:$L,'May 2026'!J$6)</f>
        <v>0</v>
      </c>
      <c r="K23" s="148">
        <f>COUNTIFS('2026 Time Off Request'!$A:$A,'May 2026'!$D23,'2026 Time Off Request'!$L:$L,'May 2026'!K$6)</f>
        <v>0</v>
      </c>
      <c r="L23" s="148">
        <f>COUNTIFS('2026 Time Off Request'!$A:$A,'May 2026'!$D23,'2026 Time Off Request'!$L:$L,'May 2026'!L$6)</f>
        <v>0</v>
      </c>
      <c r="M23" s="148">
        <f>COUNTIFS('2026 Time Off Request'!$A:$A,'May 2026'!$D23,'2026 Time Off Request'!$L:$L,'May 2026'!M$6)</f>
        <v>0</v>
      </c>
      <c r="N23" s="147">
        <f>COUNTIFS('2026 Time Off Request'!$A:$A,'May 2026'!$D23,'2026 Time Off Request'!$L:$L,'May 2026'!N$6)</f>
        <v>0</v>
      </c>
      <c r="O23" s="147">
        <f>COUNTIFS('2026 Time Off Request'!$A:$A,'May 2026'!$D23,'2026 Time Off Request'!$L:$L,'May 2026'!O$6)</f>
        <v>0</v>
      </c>
      <c r="P23" s="148">
        <f>COUNTIFS('2026 Time Off Request'!$A:$A,'May 2026'!$D23,'2026 Time Off Request'!$L:$L,'May 2026'!P$6)</f>
        <v>0</v>
      </c>
      <c r="Q23" s="148">
        <f>COUNTIFS('2026 Time Off Request'!$A:$A,'May 2026'!$D23,'2026 Time Off Request'!$L:$L,'May 2026'!Q$6)</f>
        <v>0</v>
      </c>
      <c r="R23" s="148">
        <f>COUNTIFS('2026 Time Off Request'!$A:$A,'May 2026'!$D23,'2026 Time Off Request'!$L:$L,'May 2026'!R$6)</f>
        <v>0</v>
      </c>
      <c r="S23" s="148">
        <f>COUNTIFS('2026 Time Off Request'!$A:$A,'May 2026'!$D23,'2026 Time Off Request'!$L:$L,'May 2026'!S$6)</f>
        <v>0</v>
      </c>
      <c r="T23" s="148">
        <f>COUNTIFS('2026 Time Off Request'!$A:$A,'May 2026'!$D23,'2026 Time Off Request'!$L:$L,'May 2026'!T$6)</f>
        <v>0</v>
      </c>
      <c r="U23" s="147">
        <f>COUNTIFS('2026 Time Off Request'!$A:$A,'May 2026'!$D23,'2026 Time Off Request'!$L:$L,'May 2026'!U$6)</f>
        <v>0</v>
      </c>
      <c r="V23" s="147">
        <f>COUNTIFS('2026 Time Off Request'!$A:$A,'May 2026'!$D23,'2026 Time Off Request'!$L:$L,'May 2026'!V$6)</f>
        <v>0</v>
      </c>
      <c r="W23" s="224">
        <f>COUNTIFS('2026 Time Off Request'!$A:$A,'May 2026'!$D23,'2026 Time Off Request'!$L:$L,'May 2026'!W$6)</f>
        <v>0</v>
      </c>
      <c r="X23" s="148">
        <f>COUNTIFS('2026 Time Off Request'!$A:$A,'May 2026'!$D23,'2026 Time Off Request'!$L:$L,'May 2026'!X$6)</f>
        <v>0</v>
      </c>
      <c r="Y23" s="148">
        <f>COUNTIFS('2026 Time Off Request'!$A:$A,'May 2026'!$D23,'2026 Time Off Request'!$L:$L,'May 2026'!Y$6)</f>
        <v>0</v>
      </c>
      <c r="Z23" s="148">
        <f>COUNTIFS('2026 Time Off Request'!$A:$A,'May 2026'!$D23,'2026 Time Off Request'!$L:$L,'May 2026'!Z$6)</f>
        <v>0</v>
      </c>
      <c r="AA23" s="148">
        <f>COUNTIFS('2026 Time Off Request'!$A:$A,'May 2026'!$D23,'2026 Time Off Request'!$L:$L,'May 2026'!AA$6)</f>
        <v>0</v>
      </c>
      <c r="AB23" s="147">
        <f>COUNTIFS('2026 Time Off Request'!$A:$A,'May 2026'!$D23,'2026 Time Off Request'!$L:$L,'May 2026'!AB$6)</f>
        <v>0</v>
      </c>
      <c r="AC23" s="147">
        <f>COUNTIFS('2026 Time Off Request'!$A:$A,'May 2026'!$D23,'2026 Time Off Request'!$L:$L,'May 2026'!AC$6)</f>
        <v>0</v>
      </c>
      <c r="AD23" s="148">
        <f>COUNTIFS('2026 Time Off Request'!$A:$A,'May 2026'!$D23,'2026 Time Off Request'!$L:$L,'May 2026'!AD$6)</f>
        <v>0</v>
      </c>
      <c r="AE23" s="148">
        <f>COUNTIFS('2026 Time Off Request'!$A:$A,'May 2026'!$D23,'2026 Time Off Request'!$L:$L,'May 2026'!AE$6)</f>
        <v>0</v>
      </c>
      <c r="AF23" s="148">
        <f>COUNTIFS('2026 Time Off Request'!$A:$A,'May 2026'!$D23,'2026 Time Off Request'!$L:$L,'May 2026'!AF$6)</f>
        <v>0</v>
      </c>
      <c r="AG23" s="148">
        <f>COUNTIFS('2026 Time Off Request'!$A:$A,'May 2026'!$D23,'2026 Time Off Request'!$L:$L,'May 2026'!AG$6)</f>
        <v>0</v>
      </c>
      <c r="AH23" s="148">
        <f>COUNTIFS('2026 Time Off Request'!$A:$A,'May 2026'!$D23,'2026 Time Off Request'!$L:$L,'May 2026'!AH$6)</f>
        <v>0</v>
      </c>
      <c r="AI23" s="147">
        <f>COUNTIFS('2026 Time Off Request'!$A:$A,'May 2026'!$D23,'2026 Time Off Request'!$L:$L,'May 2026'!AI$6)</f>
        <v>0</v>
      </c>
      <c r="AJ23" s="147">
        <f>COUNTIFS('2026 Time Off Request'!$A:$A,'May 2026'!$D23,'2026 Time Off Request'!$L:$L,'May 2026'!AJ$6)</f>
        <v>0</v>
      </c>
    </row>
    <row r="24" spans="1:36" ht="15.75">
      <c r="A24" s="2"/>
      <c r="B24" s="209" t="s">
        <v>45</v>
      </c>
      <c r="C24" s="210" t="s">
        <v>52</v>
      </c>
      <c r="D24" s="215" t="s">
        <v>54</v>
      </c>
      <c r="E24" s="212">
        <f t="shared" ref="E24:E29" si="4">SUM(F24:AI24)</f>
        <v>0</v>
      </c>
      <c r="F24" s="223">
        <f>COUNTIFS('2026 Time Off Request'!$A:$A,'May 2026'!$D24,'2026 Time Off Request'!$L:$L,'May 2026'!F$6)</f>
        <v>0</v>
      </c>
      <c r="G24" s="147">
        <f>COUNTIFS('2026 Time Off Request'!$A:$A,'May 2026'!$D24,'2026 Time Off Request'!$L:$L,'May 2026'!G$6)</f>
        <v>0</v>
      </c>
      <c r="H24" s="147">
        <f>COUNTIFS('2026 Time Off Request'!$A:$A,'May 2026'!$D24,'2026 Time Off Request'!$L:$L,'May 2026'!H$6)</f>
        <v>0</v>
      </c>
      <c r="I24" s="148">
        <f>COUNTIFS('2026 Time Off Request'!$A:$A,'May 2026'!$D24,'2026 Time Off Request'!$L:$L,'May 2026'!I$6)</f>
        <v>0</v>
      </c>
      <c r="J24" s="148">
        <f>COUNTIFS('2026 Time Off Request'!$A:$A,'May 2026'!$D24,'2026 Time Off Request'!$L:$L,'May 2026'!J$6)</f>
        <v>0</v>
      </c>
      <c r="K24" s="148">
        <f>COUNTIFS('2026 Time Off Request'!$A:$A,'May 2026'!$D24,'2026 Time Off Request'!$L:$L,'May 2026'!K$6)</f>
        <v>0</v>
      </c>
      <c r="L24" s="148">
        <f>COUNTIFS('2026 Time Off Request'!$A:$A,'May 2026'!$D24,'2026 Time Off Request'!$L:$L,'May 2026'!L$6)</f>
        <v>0</v>
      </c>
      <c r="M24" s="148">
        <f>COUNTIFS('2026 Time Off Request'!$A:$A,'May 2026'!$D24,'2026 Time Off Request'!$L:$L,'May 2026'!M$6)</f>
        <v>0</v>
      </c>
      <c r="N24" s="147">
        <f>COUNTIFS('2026 Time Off Request'!$A:$A,'May 2026'!$D24,'2026 Time Off Request'!$L:$L,'May 2026'!N$6)</f>
        <v>0</v>
      </c>
      <c r="O24" s="147">
        <f>COUNTIFS('2026 Time Off Request'!$A:$A,'May 2026'!$D24,'2026 Time Off Request'!$L:$L,'May 2026'!O$6)</f>
        <v>0</v>
      </c>
      <c r="P24" s="148">
        <f>COUNTIFS('2026 Time Off Request'!$A:$A,'May 2026'!$D24,'2026 Time Off Request'!$L:$L,'May 2026'!P$6)</f>
        <v>0</v>
      </c>
      <c r="Q24" s="148">
        <f>COUNTIFS('2026 Time Off Request'!$A:$A,'May 2026'!$D24,'2026 Time Off Request'!$L:$L,'May 2026'!Q$6)</f>
        <v>0</v>
      </c>
      <c r="R24" s="148">
        <f>COUNTIFS('2026 Time Off Request'!$A:$A,'May 2026'!$D24,'2026 Time Off Request'!$L:$L,'May 2026'!R$6)</f>
        <v>0</v>
      </c>
      <c r="S24" s="148">
        <f>COUNTIFS('2026 Time Off Request'!$A:$A,'May 2026'!$D24,'2026 Time Off Request'!$L:$L,'May 2026'!S$6)</f>
        <v>0</v>
      </c>
      <c r="T24" s="148">
        <f>COUNTIFS('2026 Time Off Request'!$A:$A,'May 2026'!$D24,'2026 Time Off Request'!$L:$L,'May 2026'!T$6)</f>
        <v>0</v>
      </c>
      <c r="U24" s="147">
        <f>COUNTIFS('2026 Time Off Request'!$A:$A,'May 2026'!$D24,'2026 Time Off Request'!$L:$L,'May 2026'!U$6)</f>
        <v>0</v>
      </c>
      <c r="V24" s="147">
        <f>COUNTIFS('2026 Time Off Request'!$A:$A,'May 2026'!$D24,'2026 Time Off Request'!$L:$L,'May 2026'!V$6)</f>
        <v>0</v>
      </c>
      <c r="W24" s="224">
        <f>COUNTIFS('2026 Time Off Request'!$A:$A,'May 2026'!$D24,'2026 Time Off Request'!$L:$L,'May 2026'!W$6)</f>
        <v>0</v>
      </c>
      <c r="X24" s="148">
        <f>COUNTIFS('2026 Time Off Request'!$A:$A,'May 2026'!$D24,'2026 Time Off Request'!$L:$L,'May 2026'!X$6)</f>
        <v>0</v>
      </c>
      <c r="Y24" s="148">
        <f>COUNTIFS('2026 Time Off Request'!$A:$A,'May 2026'!$D24,'2026 Time Off Request'!$L:$L,'May 2026'!Y$6)</f>
        <v>0</v>
      </c>
      <c r="Z24" s="148">
        <f>COUNTIFS('2026 Time Off Request'!$A:$A,'May 2026'!$D24,'2026 Time Off Request'!$L:$L,'May 2026'!Z$6)</f>
        <v>0</v>
      </c>
      <c r="AA24" s="148">
        <f>COUNTIFS('2026 Time Off Request'!$A:$A,'May 2026'!$D24,'2026 Time Off Request'!$L:$L,'May 2026'!AA$6)</f>
        <v>0</v>
      </c>
      <c r="AB24" s="147">
        <f>COUNTIFS('2026 Time Off Request'!$A:$A,'May 2026'!$D24,'2026 Time Off Request'!$L:$L,'May 2026'!AB$6)</f>
        <v>0</v>
      </c>
      <c r="AC24" s="147">
        <f>COUNTIFS('2026 Time Off Request'!$A:$A,'May 2026'!$D24,'2026 Time Off Request'!$L:$L,'May 2026'!AC$6)</f>
        <v>0</v>
      </c>
      <c r="AD24" s="148">
        <f>COUNTIFS('2026 Time Off Request'!$A:$A,'May 2026'!$D24,'2026 Time Off Request'!$L:$L,'May 2026'!AD$6)</f>
        <v>0</v>
      </c>
      <c r="AE24" s="148">
        <f>COUNTIFS('2026 Time Off Request'!$A:$A,'May 2026'!$D24,'2026 Time Off Request'!$L:$L,'May 2026'!AE$6)</f>
        <v>0</v>
      </c>
      <c r="AF24" s="148">
        <f>COUNTIFS('2026 Time Off Request'!$A:$A,'May 2026'!$D24,'2026 Time Off Request'!$L:$L,'May 2026'!AF$6)</f>
        <v>0</v>
      </c>
      <c r="AG24" s="148">
        <f>COUNTIFS('2026 Time Off Request'!$A:$A,'May 2026'!$D24,'2026 Time Off Request'!$L:$L,'May 2026'!AG$6)</f>
        <v>0</v>
      </c>
      <c r="AH24" s="148">
        <f>COUNTIFS('2026 Time Off Request'!$A:$A,'May 2026'!$D24,'2026 Time Off Request'!$L:$L,'May 2026'!AH$6)</f>
        <v>0</v>
      </c>
      <c r="AI24" s="147">
        <f>COUNTIFS('2026 Time Off Request'!$A:$A,'May 2026'!$D24,'2026 Time Off Request'!$L:$L,'May 2026'!AI$6)</f>
        <v>0</v>
      </c>
      <c r="AJ24" s="147">
        <f>COUNTIFS('2026 Time Off Request'!$A:$A,'May 2026'!$D24,'2026 Time Off Request'!$L:$L,'May 2026'!AJ$6)</f>
        <v>0</v>
      </c>
    </row>
    <row r="25" spans="1:36" ht="15.75">
      <c r="A25" s="2">
        <v>18</v>
      </c>
      <c r="B25" s="209" t="s">
        <v>45</v>
      </c>
      <c r="C25" s="210" t="s">
        <v>55</v>
      </c>
      <c r="D25" s="215" t="s">
        <v>56</v>
      </c>
      <c r="E25" s="212">
        <f t="shared" si="4"/>
        <v>0</v>
      </c>
      <c r="F25" s="223">
        <f>COUNTIFS('2026 Time Off Request'!$A:$A,'May 2026'!$D25,'2026 Time Off Request'!$L:$L,'May 2026'!F$6)</f>
        <v>0</v>
      </c>
      <c r="G25" s="147">
        <f>COUNTIFS('2026 Time Off Request'!$A:$A,'May 2026'!$D25,'2026 Time Off Request'!$L:$L,'May 2026'!G$6)</f>
        <v>0</v>
      </c>
      <c r="H25" s="147">
        <f>COUNTIFS('2026 Time Off Request'!$A:$A,'May 2026'!$D25,'2026 Time Off Request'!$L:$L,'May 2026'!H$6)</f>
        <v>0</v>
      </c>
      <c r="I25" s="148">
        <f>COUNTIFS('2026 Time Off Request'!$A:$A,'May 2026'!$D25,'2026 Time Off Request'!$L:$L,'May 2026'!I$6)</f>
        <v>0</v>
      </c>
      <c r="J25" s="148">
        <f>COUNTIFS('2026 Time Off Request'!$A:$A,'May 2026'!$D25,'2026 Time Off Request'!$L:$L,'May 2026'!J$6)</f>
        <v>0</v>
      </c>
      <c r="K25" s="148">
        <f>COUNTIFS('2026 Time Off Request'!$A:$A,'May 2026'!$D25,'2026 Time Off Request'!$L:$L,'May 2026'!K$6)</f>
        <v>0</v>
      </c>
      <c r="L25" s="148">
        <f>COUNTIFS('2026 Time Off Request'!$A:$A,'May 2026'!$D25,'2026 Time Off Request'!$L:$L,'May 2026'!L$6)</f>
        <v>0</v>
      </c>
      <c r="M25" s="148">
        <f>COUNTIFS('2026 Time Off Request'!$A:$A,'May 2026'!$D25,'2026 Time Off Request'!$L:$L,'May 2026'!M$6)</f>
        <v>0</v>
      </c>
      <c r="N25" s="147">
        <f>COUNTIFS('2026 Time Off Request'!$A:$A,'May 2026'!$D25,'2026 Time Off Request'!$L:$L,'May 2026'!N$6)</f>
        <v>0</v>
      </c>
      <c r="O25" s="147">
        <f>COUNTIFS('2026 Time Off Request'!$A:$A,'May 2026'!$D25,'2026 Time Off Request'!$L:$L,'May 2026'!O$6)</f>
        <v>0</v>
      </c>
      <c r="P25" s="148">
        <f>COUNTIFS('2026 Time Off Request'!$A:$A,'May 2026'!$D25,'2026 Time Off Request'!$L:$L,'May 2026'!P$6)</f>
        <v>0</v>
      </c>
      <c r="Q25" s="148">
        <f>COUNTIFS('2026 Time Off Request'!$A:$A,'May 2026'!$D25,'2026 Time Off Request'!$L:$L,'May 2026'!Q$6)</f>
        <v>0</v>
      </c>
      <c r="R25" s="148">
        <f>COUNTIFS('2026 Time Off Request'!$A:$A,'May 2026'!$D25,'2026 Time Off Request'!$L:$L,'May 2026'!R$6)</f>
        <v>0</v>
      </c>
      <c r="S25" s="148">
        <f>COUNTIFS('2026 Time Off Request'!$A:$A,'May 2026'!$D25,'2026 Time Off Request'!$L:$L,'May 2026'!S$6)</f>
        <v>0</v>
      </c>
      <c r="T25" s="148">
        <f>COUNTIFS('2026 Time Off Request'!$A:$A,'May 2026'!$D25,'2026 Time Off Request'!$L:$L,'May 2026'!T$6)</f>
        <v>0</v>
      </c>
      <c r="U25" s="147">
        <f>COUNTIFS('2026 Time Off Request'!$A:$A,'May 2026'!$D25,'2026 Time Off Request'!$L:$L,'May 2026'!U$6)</f>
        <v>0</v>
      </c>
      <c r="V25" s="147">
        <f>COUNTIFS('2026 Time Off Request'!$A:$A,'May 2026'!$D25,'2026 Time Off Request'!$L:$L,'May 2026'!V$6)</f>
        <v>0</v>
      </c>
      <c r="W25" s="224">
        <f>COUNTIFS('2026 Time Off Request'!$A:$A,'May 2026'!$D25,'2026 Time Off Request'!$L:$L,'May 2026'!W$6)</f>
        <v>0</v>
      </c>
      <c r="X25" s="148">
        <f>COUNTIFS('2026 Time Off Request'!$A:$A,'May 2026'!$D25,'2026 Time Off Request'!$L:$L,'May 2026'!X$6)</f>
        <v>0</v>
      </c>
      <c r="Y25" s="148">
        <f>COUNTIFS('2026 Time Off Request'!$A:$A,'May 2026'!$D25,'2026 Time Off Request'!$L:$L,'May 2026'!Y$6)</f>
        <v>0</v>
      </c>
      <c r="Z25" s="148">
        <f>COUNTIFS('2026 Time Off Request'!$A:$A,'May 2026'!$D25,'2026 Time Off Request'!$L:$L,'May 2026'!Z$6)</f>
        <v>0</v>
      </c>
      <c r="AA25" s="148">
        <f>COUNTIFS('2026 Time Off Request'!$A:$A,'May 2026'!$D25,'2026 Time Off Request'!$L:$L,'May 2026'!AA$6)</f>
        <v>0</v>
      </c>
      <c r="AB25" s="147">
        <f>COUNTIFS('2026 Time Off Request'!$A:$A,'May 2026'!$D25,'2026 Time Off Request'!$L:$L,'May 2026'!AB$6)</f>
        <v>0</v>
      </c>
      <c r="AC25" s="147">
        <f>COUNTIFS('2026 Time Off Request'!$A:$A,'May 2026'!$D25,'2026 Time Off Request'!$L:$L,'May 2026'!AC$6)</f>
        <v>0</v>
      </c>
      <c r="AD25" s="148">
        <f>COUNTIFS('2026 Time Off Request'!$A:$A,'May 2026'!$D25,'2026 Time Off Request'!$L:$L,'May 2026'!AD$6)</f>
        <v>0</v>
      </c>
      <c r="AE25" s="148">
        <f>COUNTIFS('2026 Time Off Request'!$A:$A,'May 2026'!$D25,'2026 Time Off Request'!$L:$L,'May 2026'!AE$6)</f>
        <v>0</v>
      </c>
      <c r="AF25" s="148">
        <f>COUNTIFS('2026 Time Off Request'!$A:$A,'May 2026'!$D25,'2026 Time Off Request'!$L:$L,'May 2026'!AF$6)</f>
        <v>0</v>
      </c>
      <c r="AG25" s="148">
        <f>COUNTIFS('2026 Time Off Request'!$A:$A,'May 2026'!$D25,'2026 Time Off Request'!$L:$L,'May 2026'!AG$6)</f>
        <v>0</v>
      </c>
      <c r="AH25" s="148">
        <f>COUNTIFS('2026 Time Off Request'!$A:$A,'May 2026'!$D25,'2026 Time Off Request'!$L:$L,'May 2026'!AH$6)</f>
        <v>0</v>
      </c>
      <c r="AI25" s="147">
        <f>COUNTIFS('2026 Time Off Request'!$A:$A,'May 2026'!$D25,'2026 Time Off Request'!$L:$L,'May 2026'!AI$6)</f>
        <v>0</v>
      </c>
      <c r="AJ25" s="147">
        <f>COUNTIFS('2026 Time Off Request'!$A:$A,'May 2026'!$D25,'2026 Time Off Request'!$L:$L,'May 2026'!AJ$6)</f>
        <v>0</v>
      </c>
    </row>
    <row r="26" spans="1:36" ht="15.75">
      <c r="A26" s="2"/>
      <c r="B26" s="209" t="s">
        <v>45</v>
      </c>
      <c r="C26" s="210" t="s">
        <v>55</v>
      </c>
      <c r="D26" s="215" t="s">
        <v>57</v>
      </c>
      <c r="E26" s="212">
        <f t="shared" si="4"/>
        <v>0</v>
      </c>
      <c r="F26" s="223">
        <f>COUNTIFS('2026 Time Off Request'!$A:$A,'May 2026'!$D26,'2026 Time Off Request'!$L:$L,'May 2026'!F$6)</f>
        <v>0</v>
      </c>
      <c r="G26" s="147">
        <f>COUNTIFS('2026 Time Off Request'!$A:$A,'May 2026'!$D26,'2026 Time Off Request'!$L:$L,'May 2026'!G$6)</f>
        <v>0</v>
      </c>
      <c r="H26" s="147">
        <f>COUNTIFS('2026 Time Off Request'!$A:$A,'May 2026'!$D26,'2026 Time Off Request'!$L:$L,'May 2026'!H$6)</f>
        <v>0</v>
      </c>
      <c r="I26" s="148">
        <f>COUNTIFS('2026 Time Off Request'!$A:$A,'May 2026'!$D26,'2026 Time Off Request'!$L:$L,'May 2026'!I$6)</f>
        <v>0</v>
      </c>
      <c r="J26" s="148">
        <f>COUNTIFS('2026 Time Off Request'!$A:$A,'May 2026'!$D26,'2026 Time Off Request'!$L:$L,'May 2026'!J$6)</f>
        <v>0</v>
      </c>
      <c r="K26" s="148">
        <f>COUNTIFS('2026 Time Off Request'!$A:$A,'May 2026'!$D26,'2026 Time Off Request'!$L:$L,'May 2026'!K$6)</f>
        <v>0</v>
      </c>
      <c r="L26" s="148">
        <f>COUNTIFS('2026 Time Off Request'!$A:$A,'May 2026'!$D26,'2026 Time Off Request'!$L:$L,'May 2026'!L$6)</f>
        <v>0</v>
      </c>
      <c r="M26" s="148">
        <f>COUNTIFS('2026 Time Off Request'!$A:$A,'May 2026'!$D26,'2026 Time Off Request'!$L:$L,'May 2026'!M$6)</f>
        <v>0</v>
      </c>
      <c r="N26" s="147">
        <f>COUNTIFS('2026 Time Off Request'!$A:$A,'May 2026'!$D26,'2026 Time Off Request'!$L:$L,'May 2026'!N$6)</f>
        <v>0</v>
      </c>
      <c r="O26" s="147">
        <f>COUNTIFS('2026 Time Off Request'!$A:$A,'May 2026'!$D26,'2026 Time Off Request'!$L:$L,'May 2026'!O$6)</f>
        <v>0</v>
      </c>
      <c r="P26" s="148">
        <f>COUNTIFS('2026 Time Off Request'!$A:$A,'May 2026'!$D26,'2026 Time Off Request'!$L:$L,'May 2026'!P$6)</f>
        <v>0</v>
      </c>
      <c r="Q26" s="148">
        <f>COUNTIFS('2026 Time Off Request'!$A:$A,'May 2026'!$D26,'2026 Time Off Request'!$L:$L,'May 2026'!Q$6)</f>
        <v>0</v>
      </c>
      <c r="R26" s="148">
        <f>COUNTIFS('2026 Time Off Request'!$A:$A,'May 2026'!$D26,'2026 Time Off Request'!$L:$L,'May 2026'!R$6)</f>
        <v>0</v>
      </c>
      <c r="S26" s="148">
        <f>COUNTIFS('2026 Time Off Request'!$A:$A,'May 2026'!$D26,'2026 Time Off Request'!$L:$L,'May 2026'!S$6)</f>
        <v>0</v>
      </c>
      <c r="T26" s="148">
        <f>COUNTIFS('2026 Time Off Request'!$A:$A,'May 2026'!$D26,'2026 Time Off Request'!$L:$L,'May 2026'!T$6)</f>
        <v>0</v>
      </c>
      <c r="U26" s="147">
        <f>COUNTIFS('2026 Time Off Request'!$A:$A,'May 2026'!$D26,'2026 Time Off Request'!$L:$L,'May 2026'!U$6)</f>
        <v>0</v>
      </c>
      <c r="V26" s="147">
        <f>COUNTIFS('2026 Time Off Request'!$A:$A,'May 2026'!$D26,'2026 Time Off Request'!$L:$L,'May 2026'!V$6)</f>
        <v>0</v>
      </c>
      <c r="W26" s="224">
        <f>COUNTIFS('2026 Time Off Request'!$A:$A,'May 2026'!$D26,'2026 Time Off Request'!$L:$L,'May 2026'!W$6)</f>
        <v>0</v>
      </c>
      <c r="X26" s="148">
        <f>COUNTIFS('2026 Time Off Request'!$A:$A,'May 2026'!$D26,'2026 Time Off Request'!$L:$L,'May 2026'!X$6)</f>
        <v>0</v>
      </c>
      <c r="Y26" s="148">
        <f>COUNTIFS('2026 Time Off Request'!$A:$A,'May 2026'!$D26,'2026 Time Off Request'!$L:$L,'May 2026'!Y$6)</f>
        <v>0</v>
      </c>
      <c r="Z26" s="148">
        <f>COUNTIFS('2026 Time Off Request'!$A:$A,'May 2026'!$D26,'2026 Time Off Request'!$L:$L,'May 2026'!Z$6)</f>
        <v>0</v>
      </c>
      <c r="AA26" s="148">
        <f>COUNTIFS('2026 Time Off Request'!$A:$A,'May 2026'!$D26,'2026 Time Off Request'!$L:$L,'May 2026'!AA$6)</f>
        <v>0</v>
      </c>
      <c r="AB26" s="147">
        <f>COUNTIFS('2026 Time Off Request'!$A:$A,'May 2026'!$D26,'2026 Time Off Request'!$L:$L,'May 2026'!AB$6)</f>
        <v>0</v>
      </c>
      <c r="AC26" s="147">
        <f>COUNTIFS('2026 Time Off Request'!$A:$A,'May 2026'!$D26,'2026 Time Off Request'!$L:$L,'May 2026'!AC$6)</f>
        <v>0</v>
      </c>
      <c r="AD26" s="148">
        <f>COUNTIFS('2026 Time Off Request'!$A:$A,'May 2026'!$D26,'2026 Time Off Request'!$L:$L,'May 2026'!AD$6)</f>
        <v>0</v>
      </c>
      <c r="AE26" s="148">
        <f>COUNTIFS('2026 Time Off Request'!$A:$A,'May 2026'!$D26,'2026 Time Off Request'!$L:$L,'May 2026'!AE$6)</f>
        <v>0</v>
      </c>
      <c r="AF26" s="148">
        <f>COUNTIFS('2026 Time Off Request'!$A:$A,'May 2026'!$D26,'2026 Time Off Request'!$L:$L,'May 2026'!AF$6)</f>
        <v>0</v>
      </c>
      <c r="AG26" s="148">
        <f>COUNTIFS('2026 Time Off Request'!$A:$A,'May 2026'!$D26,'2026 Time Off Request'!$L:$L,'May 2026'!AG$6)</f>
        <v>0</v>
      </c>
      <c r="AH26" s="148">
        <f>COUNTIFS('2026 Time Off Request'!$A:$A,'May 2026'!$D26,'2026 Time Off Request'!$L:$L,'May 2026'!AH$6)</f>
        <v>0</v>
      </c>
      <c r="AI26" s="147">
        <f>COUNTIFS('2026 Time Off Request'!$A:$A,'May 2026'!$D26,'2026 Time Off Request'!$L:$L,'May 2026'!AI$6)</f>
        <v>0</v>
      </c>
      <c r="AJ26" s="147">
        <f>COUNTIFS('2026 Time Off Request'!$A:$A,'May 2026'!$D26,'2026 Time Off Request'!$L:$L,'May 2026'!AJ$6)</f>
        <v>0</v>
      </c>
    </row>
    <row r="27" spans="1:36" ht="15.75">
      <c r="A27" s="2">
        <v>19</v>
      </c>
      <c r="B27" s="209" t="s">
        <v>45</v>
      </c>
      <c r="C27" s="210" t="s">
        <v>58</v>
      </c>
      <c r="D27" s="215" t="s">
        <v>59</v>
      </c>
      <c r="E27" s="212">
        <f t="shared" si="4"/>
        <v>0</v>
      </c>
      <c r="F27" s="223">
        <f>COUNTIFS('2026 Time Off Request'!$A:$A,'May 2026'!$D27,'2026 Time Off Request'!$L:$L,'May 2026'!F$6)</f>
        <v>0</v>
      </c>
      <c r="G27" s="147">
        <f>COUNTIFS('2026 Time Off Request'!$A:$A,'May 2026'!$D27,'2026 Time Off Request'!$L:$L,'May 2026'!G$6)</f>
        <v>0</v>
      </c>
      <c r="H27" s="147">
        <f>COUNTIFS('2026 Time Off Request'!$A:$A,'May 2026'!$D27,'2026 Time Off Request'!$L:$L,'May 2026'!H$6)</f>
        <v>0</v>
      </c>
      <c r="I27" s="148">
        <f>COUNTIFS('2026 Time Off Request'!$A:$A,'May 2026'!$D27,'2026 Time Off Request'!$L:$L,'May 2026'!I$6)</f>
        <v>0</v>
      </c>
      <c r="J27" s="148">
        <f>COUNTIFS('2026 Time Off Request'!$A:$A,'May 2026'!$D27,'2026 Time Off Request'!$L:$L,'May 2026'!J$6)</f>
        <v>0</v>
      </c>
      <c r="K27" s="148">
        <f>COUNTIFS('2026 Time Off Request'!$A:$A,'May 2026'!$D27,'2026 Time Off Request'!$L:$L,'May 2026'!K$6)</f>
        <v>0</v>
      </c>
      <c r="L27" s="148">
        <f>COUNTIFS('2026 Time Off Request'!$A:$A,'May 2026'!$D27,'2026 Time Off Request'!$L:$L,'May 2026'!L$6)</f>
        <v>0</v>
      </c>
      <c r="M27" s="148">
        <f>COUNTIFS('2026 Time Off Request'!$A:$A,'May 2026'!$D27,'2026 Time Off Request'!$L:$L,'May 2026'!M$6)</f>
        <v>0</v>
      </c>
      <c r="N27" s="147">
        <f>COUNTIFS('2026 Time Off Request'!$A:$A,'May 2026'!$D27,'2026 Time Off Request'!$L:$L,'May 2026'!N$6)</f>
        <v>0</v>
      </c>
      <c r="O27" s="147">
        <f>COUNTIFS('2026 Time Off Request'!$A:$A,'May 2026'!$D27,'2026 Time Off Request'!$L:$L,'May 2026'!O$6)</f>
        <v>0</v>
      </c>
      <c r="P27" s="148">
        <f>COUNTIFS('2026 Time Off Request'!$A:$A,'May 2026'!$D27,'2026 Time Off Request'!$L:$L,'May 2026'!P$6)</f>
        <v>0</v>
      </c>
      <c r="Q27" s="148">
        <f>COUNTIFS('2026 Time Off Request'!$A:$A,'May 2026'!$D27,'2026 Time Off Request'!$L:$L,'May 2026'!Q$6)</f>
        <v>0</v>
      </c>
      <c r="R27" s="148">
        <f>COUNTIFS('2026 Time Off Request'!$A:$A,'May 2026'!$D27,'2026 Time Off Request'!$L:$L,'May 2026'!R$6)</f>
        <v>0</v>
      </c>
      <c r="S27" s="148">
        <f>COUNTIFS('2026 Time Off Request'!$A:$A,'May 2026'!$D27,'2026 Time Off Request'!$L:$L,'May 2026'!S$6)</f>
        <v>0</v>
      </c>
      <c r="T27" s="148">
        <f>COUNTIFS('2026 Time Off Request'!$A:$A,'May 2026'!$D27,'2026 Time Off Request'!$L:$L,'May 2026'!T$6)</f>
        <v>0</v>
      </c>
      <c r="U27" s="147">
        <f>COUNTIFS('2026 Time Off Request'!$A:$A,'May 2026'!$D27,'2026 Time Off Request'!$L:$L,'May 2026'!U$6)</f>
        <v>0</v>
      </c>
      <c r="V27" s="147">
        <f>COUNTIFS('2026 Time Off Request'!$A:$A,'May 2026'!$D27,'2026 Time Off Request'!$L:$L,'May 2026'!V$6)</f>
        <v>0</v>
      </c>
      <c r="W27" s="224">
        <f>COUNTIFS('2026 Time Off Request'!$A:$A,'May 2026'!$D27,'2026 Time Off Request'!$L:$L,'May 2026'!W$6)</f>
        <v>0</v>
      </c>
      <c r="X27" s="148">
        <f>COUNTIFS('2026 Time Off Request'!$A:$A,'May 2026'!$D27,'2026 Time Off Request'!$L:$L,'May 2026'!X$6)</f>
        <v>0</v>
      </c>
      <c r="Y27" s="148">
        <f>COUNTIFS('2026 Time Off Request'!$A:$A,'May 2026'!$D27,'2026 Time Off Request'!$L:$L,'May 2026'!Y$6)</f>
        <v>0</v>
      </c>
      <c r="Z27" s="148">
        <f>COUNTIFS('2026 Time Off Request'!$A:$A,'May 2026'!$D27,'2026 Time Off Request'!$L:$L,'May 2026'!Z$6)</f>
        <v>0</v>
      </c>
      <c r="AA27" s="148">
        <f>COUNTIFS('2026 Time Off Request'!$A:$A,'May 2026'!$D27,'2026 Time Off Request'!$L:$L,'May 2026'!AA$6)</f>
        <v>0</v>
      </c>
      <c r="AB27" s="147">
        <f>COUNTIFS('2026 Time Off Request'!$A:$A,'May 2026'!$D27,'2026 Time Off Request'!$L:$L,'May 2026'!AB$6)</f>
        <v>0</v>
      </c>
      <c r="AC27" s="147">
        <f>COUNTIFS('2026 Time Off Request'!$A:$A,'May 2026'!$D27,'2026 Time Off Request'!$L:$L,'May 2026'!AC$6)</f>
        <v>0</v>
      </c>
      <c r="AD27" s="148">
        <f>COUNTIFS('2026 Time Off Request'!$A:$A,'May 2026'!$D27,'2026 Time Off Request'!$L:$L,'May 2026'!AD$6)</f>
        <v>0</v>
      </c>
      <c r="AE27" s="148">
        <f>COUNTIFS('2026 Time Off Request'!$A:$A,'May 2026'!$D27,'2026 Time Off Request'!$L:$L,'May 2026'!AE$6)</f>
        <v>0</v>
      </c>
      <c r="AF27" s="148">
        <f>COUNTIFS('2026 Time Off Request'!$A:$A,'May 2026'!$D27,'2026 Time Off Request'!$L:$L,'May 2026'!AF$6)</f>
        <v>0</v>
      </c>
      <c r="AG27" s="148">
        <f>COUNTIFS('2026 Time Off Request'!$A:$A,'May 2026'!$D27,'2026 Time Off Request'!$L:$L,'May 2026'!AG$6)</f>
        <v>0</v>
      </c>
      <c r="AH27" s="148">
        <f>COUNTIFS('2026 Time Off Request'!$A:$A,'May 2026'!$D27,'2026 Time Off Request'!$L:$L,'May 2026'!AH$6)</f>
        <v>0</v>
      </c>
      <c r="AI27" s="147">
        <f>COUNTIFS('2026 Time Off Request'!$A:$A,'May 2026'!$D27,'2026 Time Off Request'!$L:$L,'May 2026'!AI$6)</f>
        <v>0</v>
      </c>
      <c r="AJ27" s="147">
        <f>COUNTIFS('2026 Time Off Request'!$A:$A,'May 2026'!$D27,'2026 Time Off Request'!$L:$L,'May 2026'!AJ$6)</f>
        <v>0</v>
      </c>
    </row>
    <row r="28" spans="1:36" ht="15.75">
      <c r="A28" s="2">
        <v>20</v>
      </c>
      <c r="B28" s="209" t="s">
        <v>45</v>
      </c>
      <c r="C28" s="210" t="s">
        <v>60</v>
      </c>
      <c r="D28" s="215" t="s">
        <v>61</v>
      </c>
      <c r="E28" s="212">
        <f t="shared" si="4"/>
        <v>0</v>
      </c>
      <c r="F28" s="223">
        <f>COUNTIFS('2026 Time Off Request'!$A:$A,'May 2026'!$D28,'2026 Time Off Request'!$L:$L,'May 2026'!F$6)</f>
        <v>0</v>
      </c>
      <c r="G28" s="147">
        <f>COUNTIFS('2026 Time Off Request'!$A:$A,'May 2026'!$D28,'2026 Time Off Request'!$L:$L,'May 2026'!G$6)</f>
        <v>0</v>
      </c>
      <c r="H28" s="147">
        <f>COUNTIFS('2026 Time Off Request'!$A:$A,'May 2026'!$D28,'2026 Time Off Request'!$L:$L,'May 2026'!H$6)</f>
        <v>0</v>
      </c>
      <c r="I28" s="148">
        <f>COUNTIFS('2026 Time Off Request'!$A:$A,'May 2026'!$D28,'2026 Time Off Request'!$L:$L,'May 2026'!I$6)</f>
        <v>0</v>
      </c>
      <c r="J28" s="148">
        <f>COUNTIFS('2026 Time Off Request'!$A:$A,'May 2026'!$D28,'2026 Time Off Request'!$L:$L,'May 2026'!J$6)</f>
        <v>0</v>
      </c>
      <c r="K28" s="148">
        <f>COUNTIFS('2026 Time Off Request'!$A:$A,'May 2026'!$D28,'2026 Time Off Request'!$L:$L,'May 2026'!K$6)</f>
        <v>0</v>
      </c>
      <c r="L28" s="148">
        <f>COUNTIFS('2026 Time Off Request'!$A:$A,'May 2026'!$D28,'2026 Time Off Request'!$L:$L,'May 2026'!L$6)</f>
        <v>0</v>
      </c>
      <c r="M28" s="148">
        <f>COUNTIFS('2026 Time Off Request'!$A:$A,'May 2026'!$D28,'2026 Time Off Request'!$L:$L,'May 2026'!M$6)</f>
        <v>0</v>
      </c>
      <c r="N28" s="147">
        <f>COUNTIFS('2026 Time Off Request'!$A:$A,'May 2026'!$D28,'2026 Time Off Request'!$L:$L,'May 2026'!N$6)</f>
        <v>0</v>
      </c>
      <c r="O28" s="147">
        <f>COUNTIFS('2026 Time Off Request'!$A:$A,'May 2026'!$D28,'2026 Time Off Request'!$L:$L,'May 2026'!O$6)</f>
        <v>0</v>
      </c>
      <c r="P28" s="148">
        <f>COUNTIFS('2026 Time Off Request'!$A:$A,'May 2026'!$D28,'2026 Time Off Request'!$L:$L,'May 2026'!P$6)</f>
        <v>0</v>
      </c>
      <c r="Q28" s="148">
        <f>COUNTIFS('2026 Time Off Request'!$A:$A,'May 2026'!$D28,'2026 Time Off Request'!$L:$L,'May 2026'!Q$6)</f>
        <v>0</v>
      </c>
      <c r="R28" s="148">
        <f>COUNTIFS('2026 Time Off Request'!$A:$A,'May 2026'!$D28,'2026 Time Off Request'!$L:$L,'May 2026'!R$6)</f>
        <v>0</v>
      </c>
      <c r="S28" s="148">
        <f>COUNTIFS('2026 Time Off Request'!$A:$A,'May 2026'!$D28,'2026 Time Off Request'!$L:$L,'May 2026'!S$6)</f>
        <v>0</v>
      </c>
      <c r="T28" s="148">
        <f>COUNTIFS('2026 Time Off Request'!$A:$A,'May 2026'!$D28,'2026 Time Off Request'!$L:$L,'May 2026'!T$6)</f>
        <v>0</v>
      </c>
      <c r="U28" s="147">
        <f>COUNTIFS('2026 Time Off Request'!$A:$A,'May 2026'!$D28,'2026 Time Off Request'!$L:$L,'May 2026'!U$6)</f>
        <v>0</v>
      </c>
      <c r="V28" s="147">
        <f>COUNTIFS('2026 Time Off Request'!$A:$A,'May 2026'!$D28,'2026 Time Off Request'!$L:$L,'May 2026'!V$6)</f>
        <v>0</v>
      </c>
      <c r="W28" s="224">
        <f>COUNTIFS('2026 Time Off Request'!$A:$A,'May 2026'!$D28,'2026 Time Off Request'!$L:$L,'May 2026'!W$6)</f>
        <v>0</v>
      </c>
      <c r="X28" s="148">
        <f>COUNTIFS('2026 Time Off Request'!$A:$A,'May 2026'!$D28,'2026 Time Off Request'!$L:$L,'May 2026'!X$6)</f>
        <v>0</v>
      </c>
      <c r="Y28" s="148">
        <f>COUNTIFS('2026 Time Off Request'!$A:$A,'May 2026'!$D28,'2026 Time Off Request'!$L:$L,'May 2026'!Y$6)</f>
        <v>0</v>
      </c>
      <c r="Z28" s="148">
        <f>COUNTIFS('2026 Time Off Request'!$A:$A,'May 2026'!$D28,'2026 Time Off Request'!$L:$L,'May 2026'!Z$6)</f>
        <v>0</v>
      </c>
      <c r="AA28" s="148">
        <f>COUNTIFS('2026 Time Off Request'!$A:$A,'May 2026'!$D28,'2026 Time Off Request'!$L:$L,'May 2026'!AA$6)</f>
        <v>0</v>
      </c>
      <c r="AB28" s="147">
        <f>COUNTIFS('2026 Time Off Request'!$A:$A,'May 2026'!$D28,'2026 Time Off Request'!$L:$L,'May 2026'!AB$6)</f>
        <v>0</v>
      </c>
      <c r="AC28" s="147">
        <f>COUNTIFS('2026 Time Off Request'!$A:$A,'May 2026'!$D28,'2026 Time Off Request'!$L:$L,'May 2026'!AC$6)</f>
        <v>0</v>
      </c>
      <c r="AD28" s="148">
        <f>COUNTIFS('2026 Time Off Request'!$A:$A,'May 2026'!$D28,'2026 Time Off Request'!$L:$L,'May 2026'!AD$6)</f>
        <v>0</v>
      </c>
      <c r="AE28" s="148">
        <f>COUNTIFS('2026 Time Off Request'!$A:$A,'May 2026'!$D28,'2026 Time Off Request'!$L:$L,'May 2026'!AE$6)</f>
        <v>0</v>
      </c>
      <c r="AF28" s="148">
        <f>COUNTIFS('2026 Time Off Request'!$A:$A,'May 2026'!$D28,'2026 Time Off Request'!$L:$L,'May 2026'!AF$6)</f>
        <v>0</v>
      </c>
      <c r="AG28" s="148">
        <f>COUNTIFS('2026 Time Off Request'!$A:$A,'May 2026'!$D28,'2026 Time Off Request'!$L:$L,'May 2026'!AG$6)</f>
        <v>0</v>
      </c>
      <c r="AH28" s="148">
        <f>COUNTIFS('2026 Time Off Request'!$A:$A,'May 2026'!$D28,'2026 Time Off Request'!$L:$L,'May 2026'!AH$6)</f>
        <v>0</v>
      </c>
      <c r="AI28" s="147">
        <f>COUNTIFS('2026 Time Off Request'!$A:$A,'May 2026'!$D28,'2026 Time Off Request'!$L:$L,'May 2026'!AI$6)</f>
        <v>0</v>
      </c>
      <c r="AJ28" s="147">
        <f>COUNTIFS('2026 Time Off Request'!$A:$A,'May 2026'!$D28,'2026 Time Off Request'!$L:$L,'May 2026'!AJ$6)</f>
        <v>0</v>
      </c>
    </row>
    <row r="29" spans="1:36" ht="15.75">
      <c r="A29" s="2"/>
      <c r="B29" s="209" t="s">
        <v>45</v>
      </c>
      <c r="C29" s="210" t="s">
        <v>62</v>
      </c>
      <c r="D29" s="215" t="s">
        <v>63</v>
      </c>
      <c r="E29" s="212">
        <f t="shared" si="4"/>
        <v>0</v>
      </c>
      <c r="F29" s="223">
        <f>COUNTIFS('2026 Time Off Request'!$A:$A,'May 2026'!$D29,'2026 Time Off Request'!$L:$L,'May 2026'!F$6)</f>
        <v>0</v>
      </c>
      <c r="G29" s="147">
        <f>COUNTIFS('2026 Time Off Request'!$A:$A,'May 2026'!$D29,'2026 Time Off Request'!$L:$L,'May 2026'!G$6)</f>
        <v>0</v>
      </c>
      <c r="H29" s="147">
        <f>COUNTIFS('2026 Time Off Request'!$A:$A,'May 2026'!$D29,'2026 Time Off Request'!$L:$L,'May 2026'!H$6)</f>
        <v>0</v>
      </c>
      <c r="I29" s="148">
        <f>COUNTIFS('2026 Time Off Request'!$A:$A,'May 2026'!$D29,'2026 Time Off Request'!$L:$L,'May 2026'!I$6)</f>
        <v>0</v>
      </c>
      <c r="J29" s="148">
        <f>COUNTIFS('2026 Time Off Request'!$A:$A,'May 2026'!$D29,'2026 Time Off Request'!$L:$L,'May 2026'!J$6)</f>
        <v>0</v>
      </c>
      <c r="K29" s="148">
        <f>COUNTIFS('2026 Time Off Request'!$A:$A,'May 2026'!$D29,'2026 Time Off Request'!$L:$L,'May 2026'!K$6)</f>
        <v>0</v>
      </c>
      <c r="L29" s="148">
        <f>COUNTIFS('2026 Time Off Request'!$A:$A,'May 2026'!$D29,'2026 Time Off Request'!$L:$L,'May 2026'!L$6)</f>
        <v>0</v>
      </c>
      <c r="M29" s="148">
        <f>COUNTIFS('2026 Time Off Request'!$A:$A,'May 2026'!$D29,'2026 Time Off Request'!$L:$L,'May 2026'!M$6)</f>
        <v>0</v>
      </c>
      <c r="N29" s="147">
        <f>COUNTIFS('2026 Time Off Request'!$A:$A,'May 2026'!$D29,'2026 Time Off Request'!$L:$L,'May 2026'!N$6)</f>
        <v>0</v>
      </c>
      <c r="O29" s="147">
        <f>COUNTIFS('2026 Time Off Request'!$A:$A,'May 2026'!$D29,'2026 Time Off Request'!$L:$L,'May 2026'!O$6)</f>
        <v>0</v>
      </c>
      <c r="P29" s="148">
        <f>COUNTIFS('2026 Time Off Request'!$A:$A,'May 2026'!$D29,'2026 Time Off Request'!$L:$L,'May 2026'!P$6)</f>
        <v>0</v>
      </c>
      <c r="Q29" s="148">
        <f>COUNTIFS('2026 Time Off Request'!$A:$A,'May 2026'!$D29,'2026 Time Off Request'!$L:$L,'May 2026'!Q$6)</f>
        <v>0</v>
      </c>
      <c r="R29" s="148">
        <f>COUNTIFS('2026 Time Off Request'!$A:$A,'May 2026'!$D29,'2026 Time Off Request'!$L:$L,'May 2026'!R$6)</f>
        <v>0</v>
      </c>
      <c r="S29" s="148">
        <f>COUNTIFS('2026 Time Off Request'!$A:$A,'May 2026'!$D29,'2026 Time Off Request'!$L:$L,'May 2026'!S$6)</f>
        <v>0</v>
      </c>
      <c r="T29" s="148">
        <f>COUNTIFS('2026 Time Off Request'!$A:$A,'May 2026'!$D29,'2026 Time Off Request'!$L:$L,'May 2026'!T$6)</f>
        <v>0</v>
      </c>
      <c r="U29" s="147">
        <f>COUNTIFS('2026 Time Off Request'!$A:$A,'May 2026'!$D29,'2026 Time Off Request'!$L:$L,'May 2026'!U$6)</f>
        <v>0</v>
      </c>
      <c r="V29" s="147">
        <f>COUNTIFS('2026 Time Off Request'!$A:$A,'May 2026'!$D29,'2026 Time Off Request'!$L:$L,'May 2026'!V$6)</f>
        <v>0</v>
      </c>
      <c r="W29" s="224">
        <f>COUNTIFS('2026 Time Off Request'!$A:$A,'May 2026'!$D29,'2026 Time Off Request'!$L:$L,'May 2026'!W$6)</f>
        <v>0</v>
      </c>
      <c r="X29" s="148">
        <f>COUNTIFS('2026 Time Off Request'!$A:$A,'May 2026'!$D29,'2026 Time Off Request'!$L:$L,'May 2026'!X$6)</f>
        <v>0</v>
      </c>
      <c r="Y29" s="148">
        <f>COUNTIFS('2026 Time Off Request'!$A:$A,'May 2026'!$D29,'2026 Time Off Request'!$L:$L,'May 2026'!Y$6)</f>
        <v>0</v>
      </c>
      <c r="Z29" s="148">
        <f>COUNTIFS('2026 Time Off Request'!$A:$A,'May 2026'!$D29,'2026 Time Off Request'!$L:$L,'May 2026'!Z$6)</f>
        <v>0</v>
      </c>
      <c r="AA29" s="148">
        <f>COUNTIFS('2026 Time Off Request'!$A:$A,'May 2026'!$D29,'2026 Time Off Request'!$L:$L,'May 2026'!AA$6)</f>
        <v>0</v>
      </c>
      <c r="AB29" s="147">
        <f>COUNTIFS('2026 Time Off Request'!$A:$A,'May 2026'!$D29,'2026 Time Off Request'!$L:$L,'May 2026'!AB$6)</f>
        <v>0</v>
      </c>
      <c r="AC29" s="147">
        <f>COUNTIFS('2026 Time Off Request'!$A:$A,'May 2026'!$D29,'2026 Time Off Request'!$L:$L,'May 2026'!AC$6)</f>
        <v>0</v>
      </c>
      <c r="AD29" s="148">
        <f>COUNTIFS('2026 Time Off Request'!$A:$A,'May 2026'!$D29,'2026 Time Off Request'!$L:$L,'May 2026'!AD$6)</f>
        <v>0</v>
      </c>
      <c r="AE29" s="148">
        <f>COUNTIFS('2026 Time Off Request'!$A:$A,'May 2026'!$D29,'2026 Time Off Request'!$L:$L,'May 2026'!AE$6)</f>
        <v>0</v>
      </c>
      <c r="AF29" s="148">
        <f>COUNTIFS('2026 Time Off Request'!$A:$A,'May 2026'!$D29,'2026 Time Off Request'!$L:$L,'May 2026'!AF$6)</f>
        <v>0</v>
      </c>
      <c r="AG29" s="148">
        <f>COUNTIFS('2026 Time Off Request'!$A:$A,'May 2026'!$D29,'2026 Time Off Request'!$L:$L,'May 2026'!AG$6)</f>
        <v>0</v>
      </c>
      <c r="AH29" s="148">
        <f>COUNTIFS('2026 Time Off Request'!$A:$A,'May 2026'!$D29,'2026 Time Off Request'!$L:$L,'May 2026'!AH$6)</f>
        <v>0</v>
      </c>
      <c r="AI29" s="147">
        <f>COUNTIFS('2026 Time Off Request'!$A:$A,'May 2026'!$D29,'2026 Time Off Request'!$L:$L,'May 2026'!AI$6)</f>
        <v>0</v>
      </c>
      <c r="AJ29" s="147">
        <f>COUNTIFS('2026 Time Off Request'!$A:$A,'May 2026'!$D29,'2026 Time Off Request'!$L:$L,'May 2026'!AJ$6)</f>
        <v>0</v>
      </c>
    </row>
    <row r="30" spans="1:36" ht="15.75">
      <c r="A30" s="2">
        <v>21</v>
      </c>
      <c r="B30" s="209" t="s">
        <v>49</v>
      </c>
      <c r="C30" s="210" t="s">
        <v>64</v>
      </c>
      <c r="D30" s="215" t="s">
        <v>65</v>
      </c>
      <c r="E30" s="212">
        <f t="shared" si="3"/>
        <v>0</v>
      </c>
      <c r="F30" s="223">
        <f>COUNTIFS('2026 Time Off Request'!$A:$A,'May 2026'!$D30,'2026 Time Off Request'!$L:$L,'May 2026'!F$6)</f>
        <v>0</v>
      </c>
      <c r="G30" s="147">
        <f>COUNTIFS('2026 Time Off Request'!$A:$A,'May 2026'!$D30,'2026 Time Off Request'!$L:$L,'May 2026'!G$6)</f>
        <v>0</v>
      </c>
      <c r="H30" s="147">
        <f>COUNTIFS('2026 Time Off Request'!$A:$A,'May 2026'!$D30,'2026 Time Off Request'!$L:$L,'May 2026'!H$6)</f>
        <v>0</v>
      </c>
      <c r="I30" s="148">
        <f>COUNTIFS('2026 Time Off Request'!$A:$A,'May 2026'!$D30,'2026 Time Off Request'!$L:$L,'May 2026'!I$6)</f>
        <v>0</v>
      </c>
      <c r="J30" s="148">
        <f>COUNTIFS('2026 Time Off Request'!$A:$A,'May 2026'!$D30,'2026 Time Off Request'!$L:$L,'May 2026'!J$6)</f>
        <v>0</v>
      </c>
      <c r="K30" s="148">
        <f>COUNTIFS('2026 Time Off Request'!$A:$A,'May 2026'!$D30,'2026 Time Off Request'!$L:$L,'May 2026'!K$6)</f>
        <v>0</v>
      </c>
      <c r="L30" s="148">
        <f>COUNTIFS('2026 Time Off Request'!$A:$A,'May 2026'!$D30,'2026 Time Off Request'!$L:$L,'May 2026'!L$6)</f>
        <v>0</v>
      </c>
      <c r="M30" s="148">
        <f>COUNTIFS('2026 Time Off Request'!$A:$A,'May 2026'!$D30,'2026 Time Off Request'!$L:$L,'May 2026'!M$6)</f>
        <v>0</v>
      </c>
      <c r="N30" s="147">
        <f>COUNTIFS('2026 Time Off Request'!$A:$A,'May 2026'!$D30,'2026 Time Off Request'!$L:$L,'May 2026'!N$6)</f>
        <v>0</v>
      </c>
      <c r="O30" s="147">
        <f>COUNTIFS('2026 Time Off Request'!$A:$A,'May 2026'!$D30,'2026 Time Off Request'!$L:$L,'May 2026'!O$6)</f>
        <v>0</v>
      </c>
      <c r="P30" s="148">
        <f>COUNTIFS('2026 Time Off Request'!$A:$A,'May 2026'!$D30,'2026 Time Off Request'!$L:$L,'May 2026'!P$6)</f>
        <v>0</v>
      </c>
      <c r="Q30" s="148">
        <f>COUNTIFS('2026 Time Off Request'!$A:$A,'May 2026'!$D30,'2026 Time Off Request'!$L:$L,'May 2026'!Q$6)</f>
        <v>0</v>
      </c>
      <c r="R30" s="148">
        <f>COUNTIFS('2026 Time Off Request'!$A:$A,'May 2026'!$D30,'2026 Time Off Request'!$L:$L,'May 2026'!R$6)</f>
        <v>0</v>
      </c>
      <c r="S30" s="148">
        <f>COUNTIFS('2026 Time Off Request'!$A:$A,'May 2026'!$D30,'2026 Time Off Request'!$L:$L,'May 2026'!S$6)</f>
        <v>0</v>
      </c>
      <c r="T30" s="148">
        <f>COUNTIFS('2026 Time Off Request'!$A:$A,'May 2026'!$D30,'2026 Time Off Request'!$L:$L,'May 2026'!T$6)</f>
        <v>0</v>
      </c>
      <c r="U30" s="147">
        <f>COUNTIFS('2026 Time Off Request'!$A:$A,'May 2026'!$D30,'2026 Time Off Request'!$L:$L,'May 2026'!U$6)</f>
        <v>0</v>
      </c>
      <c r="V30" s="147">
        <f>COUNTIFS('2026 Time Off Request'!$A:$A,'May 2026'!$D30,'2026 Time Off Request'!$L:$L,'May 2026'!V$6)</f>
        <v>0</v>
      </c>
      <c r="W30" s="224">
        <f>COUNTIFS('2026 Time Off Request'!$A:$A,'May 2026'!$D30,'2026 Time Off Request'!$L:$L,'May 2026'!W$6)</f>
        <v>0</v>
      </c>
      <c r="X30" s="148">
        <f>COUNTIFS('2026 Time Off Request'!$A:$A,'May 2026'!$D30,'2026 Time Off Request'!$L:$L,'May 2026'!X$6)</f>
        <v>0</v>
      </c>
      <c r="Y30" s="148">
        <f>COUNTIFS('2026 Time Off Request'!$A:$A,'May 2026'!$D30,'2026 Time Off Request'!$L:$L,'May 2026'!Y$6)</f>
        <v>0</v>
      </c>
      <c r="Z30" s="148">
        <f>COUNTIFS('2026 Time Off Request'!$A:$A,'May 2026'!$D30,'2026 Time Off Request'!$L:$L,'May 2026'!Z$6)</f>
        <v>0</v>
      </c>
      <c r="AA30" s="148">
        <f>COUNTIFS('2026 Time Off Request'!$A:$A,'May 2026'!$D30,'2026 Time Off Request'!$L:$L,'May 2026'!AA$6)</f>
        <v>0</v>
      </c>
      <c r="AB30" s="147">
        <f>COUNTIFS('2026 Time Off Request'!$A:$A,'May 2026'!$D30,'2026 Time Off Request'!$L:$L,'May 2026'!AB$6)</f>
        <v>0</v>
      </c>
      <c r="AC30" s="147">
        <f>COUNTIFS('2026 Time Off Request'!$A:$A,'May 2026'!$D30,'2026 Time Off Request'!$L:$L,'May 2026'!AC$6)</f>
        <v>0</v>
      </c>
      <c r="AD30" s="148">
        <f>COUNTIFS('2026 Time Off Request'!$A:$A,'May 2026'!$D30,'2026 Time Off Request'!$L:$L,'May 2026'!AD$6)</f>
        <v>0</v>
      </c>
      <c r="AE30" s="148">
        <f>COUNTIFS('2026 Time Off Request'!$A:$A,'May 2026'!$D30,'2026 Time Off Request'!$L:$L,'May 2026'!AE$6)</f>
        <v>0</v>
      </c>
      <c r="AF30" s="148">
        <f>COUNTIFS('2026 Time Off Request'!$A:$A,'May 2026'!$D30,'2026 Time Off Request'!$L:$L,'May 2026'!AF$6)</f>
        <v>0</v>
      </c>
      <c r="AG30" s="148">
        <f>COUNTIFS('2026 Time Off Request'!$A:$A,'May 2026'!$D30,'2026 Time Off Request'!$L:$L,'May 2026'!AG$6)</f>
        <v>0</v>
      </c>
      <c r="AH30" s="148">
        <f>COUNTIFS('2026 Time Off Request'!$A:$A,'May 2026'!$D30,'2026 Time Off Request'!$L:$L,'May 2026'!AH$6)</f>
        <v>0</v>
      </c>
      <c r="AI30" s="147">
        <f>COUNTIFS('2026 Time Off Request'!$A:$A,'May 2026'!$D30,'2026 Time Off Request'!$L:$L,'May 2026'!AI$6)</f>
        <v>0</v>
      </c>
      <c r="AJ30" s="147">
        <f>COUNTIFS('2026 Time Off Request'!$A:$A,'May 2026'!$D30,'2026 Time Off Request'!$L:$L,'May 2026'!AJ$6)</f>
        <v>0</v>
      </c>
    </row>
    <row r="31" spans="1:36" ht="15.75">
      <c r="A31" s="2">
        <v>22</v>
      </c>
      <c r="B31" s="209" t="s">
        <v>49</v>
      </c>
      <c r="C31" s="210" t="s">
        <v>66</v>
      </c>
      <c r="D31" s="215" t="s">
        <v>67</v>
      </c>
      <c r="E31" s="212">
        <f t="shared" si="3"/>
        <v>0</v>
      </c>
      <c r="F31" s="223">
        <f>COUNTIFS('2026 Time Off Request'!$A:$A,'May 2026'!$D31,'2026 Time Off Request'!$L:$L,'May 2026'!F$6)</f>
        <v>0</v>
      </c>
      <c r="G31" s="147">
        <f>COUNTIFS('2026 Time Off Request'!$A:$A,'May 2026'!$D31,'2026 Time Off Request'!$L:$L,'May 2026'!G$6)</f>
        <v>0</v>
      </c>
      <c r="H31" s="147">
        <f>COUNTIFS('2026 Time Off Request'!$A:$A,'May 2026'!$D31,'2026 Time Off Request'!$L:$L,'May 2026'!H$6)</f>
        <v>0</v>
      </c>
      <c r="I31" s="148">
        <f>COUNTIFS('2026 Time Off Request'!$A:$A,'May 2026'!$D31,'2026 Time Off Request'!$L:$L,'May 2026'!I$6)</f>
        <v>0</v>
      </c>
      <c r="J31" s="148">
        <f>COUNTIFS('2026 Time Off Request'!$A:$A,'May 2026'!$D31,'2026 Time Off Request'!$L:$L,'May 2026'!J$6)</f>
        <v>0</v>
      </c>
      <c r="K31" s="148">
        <f>COUNTIFS('2026 Time Off Request'!$A:$A,'May 2026'!$D31,'2026 Time Off Request'!$L:$L,'May 2026'!K$6)</f>
        <v>0</v>
      </c>
      <c r="L31" s="148">
        <f>COUNTIFS('2026 Time Off Request'!$A:$A,'May 2026'!$D31,'2026 Time Off Request'!$L:$L,'May 2026'!L$6)</f>
        <v>0</v>
      </c>
      <c r="M31" s="148">
        <f>COUNTIFS('2026 Time Off Request'!$A:$A,'May 2026'!$D31,'2026 Time Off Request'!$L:$L,'May 2026'!M$6)</f>
        <v>0</v>
      </c>
      <c r="N31" s="147">
        <f>COUNTIFS('2026 Time Off Request'!$A:$A,'May 2026'!$D31,'2026 Time Off Request'!$L:$L,'May 2026'!N$6)</f>
        <v>0</v>
      </c>
      <c r="O31" s="147">
        <f>COUNTIFS('2026 Time Off Request'!$A:$A,'May 2026'!$D31,'2026 Time Off Request'!$L:$L,'May 2026'!O$6)</f>
        <v>0</v>
      </c>
      <c r="P31" s="148">
        <f>COUNTIFS('2026 Time Off Request'!$A:$A,'May 2026'!$D31,'2026 Time Off Request'!$L:$L,'May 2026'!P$6)</f>
        <v>0</v>
      </c>
      <c r="Q31" s="148">
        <f>COUNTIFS('2026 Time Off Request'!$A:$A,'May 2026'!$D31,'2026 Time Off Request'!$L:$L,'May 2026'!Q$6)</f>
        <v>0</v>
      </c>
      <c r="R31" s="148">
        <f>COUNTIFS('2026 Time Off Request'!$A:$A,'May 2026'!$D31,'2026 Time Off Request'!$L:$L,'May 2026'!R$6)</f>
        <v>0</v>
      </c>
      <c r="S31" s="148">
        <f>COUNTIFS('2026 Time Off Request'!$A:$A,'May 2026'!$D31,'2026 Time Off Request'!$L:$L,'May 2026'!S$6)</f>
        <v>0</v>
      </c>
      <c r="T31" s="148">
        <f>COUNTIFS('2026 Time Off Request'!$A:$A,'May 2026'!$D31,'2026 Time Off Request'!$L:$L,'May 2026'!T$6)</f>
        <v>0</v>
      </c>
      <c r="U31" s="147">
        <f>COUNTIFS('2026 Time Off Request'!$A:$A,'May 2026'!$D31,'2026 Time Off Request'!$L:$L,'May 2026'!U$6)</f>
        <v>0</v>
      </c>
      <c r="V31" s="147">
        <f>COUNTIFS('2026 Time Off Request'!$A:$A,'May 2026'!$D31,'2026 Time Off Request'!$L:$L,'May 2026'!V$6)</f>
        <v>0</v>
      </c>
      <c r="W31" s="224">
        <f>COUNTIFS('2026 Time Off Request'!$A:$A,'May 2026'!$D31,'2026 Time Off Request'!$L:$L,'May 2026'!W$6)</f>
        <v>0</v>
      </c>
      <c r="X31" s="148">
        <f>COUNTIFS('2026 Time Off Request'!$A:$A,'May 2026'!$D31,'2026 Time Off Request'!$L:$L,'May 2026'!X$6)</f>
        <v>0</v>
      </c>
      <c r="Y31" s="148">
        <f>COUNTIFS('2026 Time Off Request'!$A:$A,'May 2026'!$D31,'2026 Time Off Request'!$L:$L,'May 2026'!Y$6)</f>
        <v>0</v>
      </c>
      <c r="Z31" s="148">
        <f>COUNTIFS('2026 Time Off Request'!$A:$A,'May 2026'!$D31,'2026 Time Off Request'!$L:$L,'May 2026'!Z$6)</f>
        <v>0</v>
      </c>
      <c r="AA31" s="148">
        <f>COUNTIFS('2026 Time Off Request'!$A:$A,'May 2026'!$D31,'2026 Time Off Request'!$L:$L,'May 2026'!AA$6)</f>
        <v>0</v>
      </c>
      <c r="AB31" s="147">
        <f>COUNTIFS('2026 Time Off Request'!$A:$A,'May 2026'!$D31,'2026 Time Off Request'!$L:$L,'May 2026'!AB$6)</f>
        <v>0</v>
      </c>
      <c r="AC31" s="147">
        <f>COUNTIFS('2026 Time Off Request'!$A:$A,'May 2026'!$D31,'2026 Time Off Request'!$L:$L,'May 2026'!AC$6)</f>
        <v>0</v>
      </c>
      <c r="AD31" s="148">
        <f>COUNTIFS('2026 Time Off Request'!$A:$A,'May 2026'!$D31,'2026 Time Off Request'!$L:$L,'May 2026'!AD$6)</f>
        <v>0</v>
      </c>
      <c r="AE31" s="148">
        <f>COUNTIFS('2026 Time Off Request'!$A:$A,'May 2026'!$D31,'2026 Time Off Request'!$L:$L,'May 2026'!AE$6)</f>
        <v>0</v>
      </c>
      <c r="AF31" s="148">
        <f>COUNTIFS('2026 Time Off Request'!$A:$A,'May 2026'!$D31,'2026 Time Off Request'!$L:$L,'May 2026'!AF$6)</f>
        <v>0</v>
      </c>
      <c r="AG31" s="148">
        <f>COUNTIFS('2026 Time Off Request'!$A:$A,'May 2026'!$D31,'2026 Time Off Request'!$L:$L,'May 2026'!AG$6)</f>
        <v>0</v>
      </c>
      <c r="AH31" s="148">
        <f>COUNTIFS('2026 Time Off Request'!$A:$A,'May 2026'!$D31,'2026 Time Off Request'!$L:$L,'May 2026'!AH$6)</f>
        <v>0</v>
      </c>
      <c r="AI31" s="147">
        <f>COUNTIFS('2026 Time Off Request'!$A:$A,'May 2026'!$D31,'2026 Time Off Request'!$L:$L,'May 2026'!AI$6)</f>
        <v>0</v>
      </c>
      <c r="AJ31" s="147">
        <f>COUNTIFS('2026 Time Off Request'!$A:$A,'May 2026'!$D31,'2026 Time Off Request'!$L:$L,'May 2026'!AJ$6)</f>
        <v>0</v>
      </c>
    </row>
    <row r="32" spans="1:36" ht="15.75">
      <c r="A32" s="2">
        <v>23</v>
      </c>
      <c r="B32" s="209" t="s">
        <v>45</v>
      </c>
      <c r="C32" s="210" t="s">
        <v>68</v>
      </c>
      <c r="D32" s="215" t="s">
        <v>69</v>
      </c>
      <c r="E32" s="212">
        <f t="shared" si="3"/>
        <v>0</v>
      </c>
      <c r="F32" s="223">
        <f>COUNTIFS('2026 Time Off Request'!$A:$A,'May 2026'!$D32,'2026 Time Off Request'!$L:$L,'May 2026'!F$6)</f>
        <v>0</v>
      </c>
      <c r="G32" s="147">
        <f>COUNTIFS('2026 Time Off Request'!$A:$A,'May 2026'!$D32,'2026 Time Off Request'!$L:$L,'May 2026'!G$6)</f>
        <v>0</v>
      </c>
      <c r="H32" s="147">
        <f>COUNTIFS('2026 Time Off Request'!$A:$A,'May 2026'!$D32,'2026 Time Off Request'!$L:$L,'May 2026'!H$6)</f>
        <v>0</v>
      </c>
      <c r="I32" s="148">
        <f>COUNTIFS('2026 Time Off Request'!$A:$A,'May 2026'!$D32,'2026 Time Off Request'!$L:$L,'May 2026'!I$6)</f>
        <v>0</v>
      </c>
      <c r="J32" s="148">
        <f>COUNTIFS('2026 Time Off Request'!$A:$A,'May 2026'!$D32,'2026 Time Off Request'!$L:$L,'May 2026'!J$6)</f>
        <v>0</v>
      </c>
      <c r="K32" s="148">
        <f>COUNTIFS('2026 Time Off Request'!$A:$A,'May 2026'!$D32,'2026 Time Off Request'!$L:$L,'May 2026'!K$6)</f>
        <v>0</v>
      </c>
      <c r="L32" s="148">
        <f>COUNTIFS('2026 Time Off Request'!$A:$A,'May 2026'!$D32,'2026 Time Off Request'!$L:$L,'May 2026'!L$6)</f>
        <v>0</v>
      </c>
      <c r="M32" s="148">
        <f>COUNTIFS('2026 Time Off Request'!$A:$A,'May 2026'!$D32,'2026 Time Off Request'!$L:$L,'May 2026'!M$6)</f>
        <v>0</v>
      </c>
      <c r="N32" s="147">
        <f>COUNTIFS('2026 Time Off Request'!$A:$A,'May 2026'!$D32,'2026 Time Off Request'!$L:$L,'May 2026'!N$6)</f>
        <v>0</v>
      </c>
      <c r="O32" s="147">
        <f>COUNTIFS('2026 Time Off Request'!$A:$A,'May 2026'!$D32,'2026 Time Off Request'!$L:$L,'May 2026'!O$6)</f>
        <v>0</v>
      </c>
      <c r="P32" s="148">
        <f>COUNTIFS('2026 Time Off Request'!$A:$A,'May 2026'!$D32,'2026 Time Off Request'!$L:$L,'May 2026'!P$6)</f>
        <v>0</v>
      </c>
      <c r="Q32" s="148">
        <f>COUNTIFS('2026 Time Off Request'!$A:$A,'May 2026'!$D32,'2026 Time Off Request'!$L:$L,'May 2026'!Q$6)</f>
        <v>0</v>
      </c>
      <c r="R32" s="148">
        <f>COUNTIFS('2026 Time Off Request'!$A:$A,'May 2026'!$D32,'2026 Time Off Request'!$L:$L,'May 2026'!R$6)</f>
        <v>0</v>
      </c>
      <c r="S32" s="148">
        <f>COUNTIFS('2026 Time Off Request'!$A:$A,'May 2026'!$D32,'2026 Time Off Request'!$L:$L,'May 2026'!S$6)</f>
        <v>0</v>
      </c>
      <c r="T32" s="148">
        <f>COUNTIFS('2026 Time Off Request'!$A:$A,'May 2026'!$D32,'2026 Time Off Request'!$L:$L,'May 2026'!T$6)</f>
        <v>0</v>
      </c>
      <c r="U32" s="147">
        <f>COUNTIFS('2026 Time Off Request'!$A:$A,'May 2026'!$D32,'2026 Time Off Request'!$L:$L,'May 2026'!U$6)</f>
        <v>0</v>
      </c>
      <c r="V32" s="147">
        <f>COUNTIFS('2026 Time Off Request'!$A:$A,'May 2026'!$D32,'2026 Time Off Request'!$L:$L,'May 2026'!V$6)</f>
        <v>0</v>
      </c>
      <c r="W32" s="224">
        <f>COUNTIFS('2026 Time Off Request'!$A:$A,'May 2026'!$D32,'2026 Time Off Request'!$L:$L,'May 2026'!W$6)</f>
        <v>0</v>
      </c>
      <c r="X32" s="148">
        <f>COUNTIFS('2026 Time Off Request'!$A:$A,'May 2026'!$D32,'2026 Time Off Request'!$L:$L,'May 2026'!X$6)</f>
        <v>0</v>
      </c>
      <c r="Y32" s="148">
        <f>COUNTIFS('2026 Time Off Request'!$A:$A,'May 2026'!$D32,'2026 Time Off Request'!$L:$L,'May 2026'!Y$6)</f>
        <v>0</v>
      </c>
      <c r="Z32" s="148">
        <f>COUNTIFS('2026 Time Off Request'!$A:$A,'May 2026'!$D32,'2026 Time Off Request'!$L:$L,'May 2026'!Z$6)</f>
        <v>0</v>
      </c>
      <c r="AA32" s="148">
        <f>COUNTIFS('2026 Time Off Request'!$A:$A,'May 2026'!$D32,'2026 Time Off Request'!$L:$L,'May 2026'!AA$6)</f>
        <v>0</v>
      </c>
      <c r="AB32" s="147">
        <f>COUNTIFS('2026 Time Off Request'!$A:$A,'May 2026'!$D32,'2026 Time Off Request'!$L:$L,'May 2026'!AB$6)</f>
        <v>0</v>
      </c>
      <c r="AC32" s="147">
        <f>COUNTIFS('2026 Time Off Request'!$A:$A,'May 2026'!$D32,'2026 Time Off Request'!$L:$L,'May 2026'!AC$6)</f>
        <v>0</v>
      </c>
      <c r="AD32" s="148">
        <f>COUNTIFS('2026 Time Off Request'!$A:$A,'May 2026'!$D32,'2026 Time Off Request'!$L:$L,'May 2026'!AD$6)</f>
        <v>0</v>
      </c>
      <c r="AE32" s="148">
        <f>COUNTIFS('2026 Time Off Request'!$A:$A,'May 2026'!$D32,'2026 Time Off Request'!$L:$L,'May 2026'!AE$6)</f>
        <v>0</v>
      </c>
      <c r="AF32" s="148">
        <f>COUNTIFS('2026 Time Off Request'!$A:$A,'May 2026'!$D32,'2026 Time Off Request'!$L:$L,'May 2026'!AF$6)</f>
        <v>0</v>
      </c>
      <c r="AG32" s="148">
        <f>COUNTIFS('2026 Time Off Request'!$A:$A,'May 2026'!$D32,'2026 Time Off Request'!$L:$L,'May 2026'!AG$6)</f>
        <v>0</v>
      </c>
      <c r="AH32" s="148">
        <f>COUNTIFS('2026 Time Off Request'!$A:$A,'May 2026'!$D32,'2026 Time Off Request'!$L:$L,'May 2026'!AH$6)</f>
        <v>0</v>
      </c>
      <c r="AI32" s="147">
        <f>COUNTIFS('2026 Time Off Request'!$A:$A,'May 2026'!$D32,'2026 Time Off Request'!$L:$L,'May 2026'!AI$6)</f>
        <v>0</v>
      </c>
      <c r="AJ32" s="147">
        <f>COUNTIFS('2026 Time Off Request'!$A:$A,'May 2026'!$D32,'2026 Time Off Request'!$L:$L,'May 2026'!AJ$6)</f>
        <v>0</v>
      </c>
    </row>
    <row r="33" spans="1:36" ht="15.75">
      <c r="A33" s="2">
        <v>24</v>
      </c>
      <c r="B33" s="209" t="s">
        <v>45</v>
      </c>
      <c r="C33" s="210" t="s">
        <v>70</v>
      </c>
      <c r="D33" s="215" t="s">
        <v>71</v>
      </c>
      <c r="E33" s="212">
        <f t="shared" si="3"/>
        <v>0</v>
      </c>
      <c r="F33" s="223">
        <f>COUNTIFS('2026 Time Off Request'!$A:$A,'May 2026'!$D33,'2026 Time Off Request'!$L:$L,'May 2026'!F$6)</f>
        <v>0</v>
      </c>
      <c r="G33" s="147">
        <f>COUNTIFS('2026 Time Off Request'!$A:$A,'May 2026'!$D33,'2026 Time Off Request'!$L:$L,'May 2026'!G$6)</f>
        <v>0</v>
      </c>
      <c r="H33" s="147">
        <f>COUNTIFS('2026 Time Off Request'!$A:$A,'May 2026'!$D33,'2026 Time Off Request'!$L:$L,'May 2026'!H$6)</f>
        <v>0</v>
      </c>
      <c r="I33" s="148">
        <f>COUNTIFS('2026 Time Off Request'!$A:$A,'May 2026'!$D33,'2026 Time Off Request'!$L:$L,'May 2026'!I$6)</f>
        <v>0</v>
      </c>
      <c r="J33" s="148">
        <f>COUNTIFS('2026 Time Off Request'!$A:$A,'May 2026'!$D33,'2026 Time Off Request'!$L:$L,'May 2026'!J$6)</f>
        <v>0</v>
      </c>
      <c r="K33" s="148">
        <f>COUNTIFS('2026 Time Off Request'!$A:$A,'May 2026'!$D33,'2026 Time Off Request'!$L:$L,'May 2026'!K$6)</f>
        <v>0</v>
      </c>
      <c r="L33" s="148">
        <f>COUNTIFS('2026 Time Off Request'!$A:$A,'May 2026'!$D33,'2026 Time Off Request'!$L:$L,'May 2026'!L$6)</f>
        <v>0</v>
      </c>
      <c r="M33" s="148">
        <f>COUNTIFS('2026 Time Off Request'!$A:$A,'May 2026'!$D33,'2026 Time Off Request'!$L:$L,'May 2026'!M$6)</f>
        <v>0</v>
      </c>
      <c r="N33" s="147">
        <f>COUNTIFS('2026 Time Off Request'!$A:$A,'May 2026'!$D33,'2026 Time Off Request'!$L:$L,'May 2026'!N$6)</f>
        <v>0</v>
      </c>
      <c r="O33" s="147">
        <f>COUNTIFS('2026 Time Off Request'!$A:$A,'May 2026'!$D33,'2026 Time Off Request'!$L:$L,'May 2026'!O$6)</f>
        <v>0</v>
      </c>
      <c r="P33" s="148">
        <f>COUNTIFS('2026 Time Off Request'!$A:$A,'May 2026'!$D33,'2026 Time Off Request'!$L:$L,'May 2026'!P$6)</f>
        <v>0</v>
      </c>
      <c r="Q33" s="148">
        <f>COUNTIFS('2026 Time Off Request'!$A:$A,'May 2026'!$D33,'2026 Time Off Request'!$L:$L,'May 2026'!Q$6)</f>
        <v>0</v>
      </c>
      <c r="R33" s="148">
        <f>COUNTIFS('2026 Time Off Request'!$A:$A,'May 2026'!$D33,'2026 Time Off Request'!$L:$L,'May 2026'!R$6)</f>
        <v>0</v>
      </c>
      <c r="S33" s="148">
        <f>COUNTIFS('2026 Time Off Request'!$A:$A,'May 2026'!$D33,'2026 Time Off Request'!$L:$L,'May 2026'!S$6)</f>
        <v>0</v>
      </c>
      <c r="T33" s="148">
        <f>COUNTIFS('2026 Time Off Request'!$A:$A,'May 2026'!$D33,'2026 Time Off Request'!$L:$L,'May 2026'!T$6)</f>
        <v>0</v>
      </c>
      <c r="U33" s="147">
        <f>COUNTIFS('2026 Time Off Request'!$A:$A,'May 2026'!$D33,'2026 Time Off Request'!$L:$L,'May 2026'!U$6)</f>
        <v>0</v>
      </c>
      <c r="V33" s="147">
        <f>COUNTIFS('2026 Time Off Request'!$A:$A,'May 2026'!$D33,'2026 Time Off Request'!$L:$L,'May 2026'!V$6)</f>
        <v>0</v>
      </c>
      <c r="W33" s="224">
        <f>COUNTIFS('2026 Time Off Request'!$A:$A,'May 2026'!$D33,'2026 Time Off Request'!$L:$L,'May 2026'!W$6)</f>
        <v>0</v>
      </c>
      <c r="X33" s="148">
        <f>COUNTIFS('2026 Time Off Request'!$A:$A,'May 2026'!$D33,'2026 Time Off Request'!$L:$L,'May 2026'!X$6)</f>
        <v>0</v>
      </c>
      <c r="Y33" s="148">
        <f>COUNTIFS('2026 Time Off Request'!$A:$A,'May 2026'!$D33,'2026 Time Off Request'!$L:$L,'May 2026'!Y$6)</f>
        <v>0</v>
      </c>
      <c r="Z33" s="148">
        <f>COUNTIFS('2026 Time Off Request'!$A:$A,'May 2026'!$D33,'2026 Time Off Request'!$L:$L,'May 2026'!Z$6)</f>
        <v>0</v>
      </c>
      <c r="AA33" s="148">
        <f>COUNTIFS('2026 Time Off Request'!$A:$A,'May 2026'!$D33,'2026 Time Off Request'!$L:$L,'May 2026'!AA$6)</f>
        <v>0</v>
      </c>
      <c r="AB33" s="147">
        <f>COUNTIFS('2026 Time Off Request'!$A:$A,'May 2026'!$D33,'2026 Time Off Request'!$L:$L,'May 2026'!AB$6)</f>
        <v>0</v>
      </c>
      <c r="AC33" s="147">
        <f>COUNTIFS('2026 Time Off Request'!$A:$A,'May 2026'!$D33,'2026 Time Off Request'!$L:$L,'May 2026'!AC$6)</f>
        <v>0</v>
      </c>
      <c r="AD33" s="148">
        <f>COUNTIFS('2026 Time Off Request'!$A:$A,'May 2026'!$D33,'2026 Time Off Request'!$L:$L,'May 2026'!AD$6)</f>
        <v>0</v>
      </c>
      <c r="AE33" s="148">
        <f>COUNTIFS('2026 Time Off Request'!$A:$A,'May 2026'!$D33,'2026 Time Off Request'!$L:$L,'May 2026'!AE$6)</f>
        <v>0</v>
      </c>
      <c r="AF33" s="148">
        <f>COUNTIFS('2026 Time Off Request'!$A:$A,'May 2026'!$D33,'2026 Time Off Request'!$L:$L,'May 2026'!AF$6)</f>
        <v>0</v>
      </c>
      <c r="AG33" s="148">
        <f>COUNTIFS('2026 Time Off Request'!$A:$A,'May 2026'!$D33,'2026 Time Off Request'!$L:$L,'May 2026'!AG$6)</f>
        <v>0</v>
      </c>
      <c r="AH33" s="148">
        <f>COUNTIFS('2026 Time Off Request'!$A:$A,'May 2026'!$D33,'2026 Time Off Request'!$L:$L,'May 2026'!AH$6)</f>
        <v>0</v>
      </c>
      <c r="AI33" s="147">
        <f>COUNTIFS('2026 Time Off Request'!$A:$A,'May 2026'!$D33,'2026 Time Off Request'!$L:$L,'May 2026'!AI$6)</f>
        <v>0</v>
      </c>
      <c r="AJ33" s="147">
        <f>COUNTIFS('2026 Time Off Request'!$A:$A,'May 2026'!$D33,'2026 Time Off Request'!$L:$L,'May 2026'!AJ$6)</f>
        <v>0</v>
      </c>
    </row>
    <row r="34" spans="1:36" ht="15.75">
      <c r="A34" s="2">
        <v>25</v>
      </c>
      <c r="B34" s="209" t="s">
        <v>45</v>
      </c>
      <c r="C34" s="210" t="s">
        <v>70</v>
      </c>
      <c r="D34" s="215" t="s">
        <v>72</v>
      </c>
      <c r="E34" s="212">
        <f t="shared" si="3"/>
        <v>0</v>
      </c>
      <c r="F34" s="223">
        <f>COUNTIFS('2026 Time Off Request'!$A:$A,'May 2026'!$D34,'2026 Time Off Request'!$L:$L,'May 2026'!F$6)</f>
        <v>0</v>
      </c>
      <c r="G34" s="147">
        <f>COUNTIFS('2026 Time Off Request'!$A:$A,'May 2026'!$D34,'2026 Time Off Request'!$L:$L,'May 2026'!G$6)</f>
        <v>0</v>
      </c>
      <c r="H34" s="147">
        <f>COUNTIFS('2026 Time Off Request'!$A:$A,'May 2026'!$D34,'2026 Time Off Request'!$L:$L,'May 2026'!H$6)</f>
        <v>0</v>
      </c>
      <c r="I34" s="148">
        <f>COUNTIFS('2026 Time Off Request'!$A:$A,'May 2026'!$D34,'2026 Time Off Request'!$L:$L,'May 2026'!I$6)</f>
        <v>0</v>
      </c>
      <c r="J34" s="148">
        <f>COUNTIFS('2026 Time Off Request'!$A:$A,'May 2026'!$D34,'2026 Time Off Request'!$L:$L,'May 2026'!J$6)</f>
        <v>0</v>
      </c>
      <c r="K34" s="148">
        <f>COUNTIFS('2026 Time Off Request'!$A:$A,'May 2026'!$D34,'2026 Time Off Request'!$L:$L,'May 2026'!K$6)</f>
        <v>0</v>
      </c>
      <c r="L34" s="148">
        <f>COUNTIFS('2026 Time Off Request'!$A:$A,'May 2026'!$D34,'2026 Time Off Request'!$L:$L,'May 2026'!L$6)</f>
        <v>0</v>
      </c>
      <c r="M34" s="148">
        <f>COUNTIFS('2026 Time Off Request'!$A:$A,'May 2026'!$D34,'2026 Time Off Request'!$L:$L,'May 2026'!M$6)</f>
        <v>0</v>
      </c>
      <c r="N34" s="147">
        <f>COUNTIFS('2026 Time Off Request'!$A:$A,'May 2026'!$D34,'2026 Time Off Request'!$L:$L,'May 2026'!N$6)</f>
        <v>0</v>
      </c>
      <c r="O34" s="147">
        <f>COUNTIFS('2026 Time Off Request'!$A:$A,'May 2026'!$D34,'2026 Time Off Request'!$L:$L,'May 2026'!O$6)</f>
        <v>0</v>
      </c>
      <c r="P34" s="148">
        <f>COUNTIFS('2026 Time Off Request'!$A:$A,'May 2026'!$D34,'2026 Time Off Request'!$L:$L,'May 2026'!P$6)</f>
        <v>0</v>
      </c>
      <c r="Q34" s="148">
        <f>COUNTIFS('2026 Time Off Request'!$A:$A,'May 2026'!$D34,'2026 Time Off Request'!$L:$L,'May 2026'!Q$6)</f>
        <v>0</v>
      </c>
      <c r="R34" s="148">
        <f>COUNTIFS('2026 Time Off Request'!$A:$A,'May 2026'!$D34,'2026 Time Off Request'!$L:$L,'May 2026'!R$6)</f>
        <v>0</v>
      </c>
      <c r="S34" s="148">
        <f>COUNTIFS('2026 Time Off Request'!$A:$A,'May 2026'!$D34,'2026 Time Off Request'!$L:$L,'May 2026'!S$6)</f>
        <v>0</v>
      </c>
      <c r="T34" s="148">
        <f>COUNTIFS('2026 Time Off Request'!$A:$A,'May 2026'!$D34,'2026 Time Off Request'!$L:$L,'May 2026'!T$6)</f>
        <v>0</v>
      </c>
      <c r="U34" s="147">
        <f>COUNTIFS('2026 Time Off Request'!$A:$A,'May 2026'!$D34,'2026 Time Off Request'!$L:$L,'May 2026'!U$6)</f>
        <v>0</v>
      </c>
      <c r="V34" s="147">
        <f>COUNTIFS('2026 Time Off Request'!$A:$A,'May 2026'!$D34,'2026 Time Off Request'!$L:$L,'May 2026'!V$6)</f>
        <v>0</v>
      </c>
      <c r="W34" s="224">
        <f>COUNTIFS('2026 Time Off Request'!$A:$A,'May 2026'!$D34,'2026 Time Off Request'!$L:$L,'May 2026'!W$6)</f>
        <v>0</v>
      </c>
      <c r="X34" s="148">
        <f>COUNTIFS('2026 Time Off Request'!$A:$A,'May 2026'!$D34,'2026 Time Off Request'!$L:$L,'May 2026'!X$6)</f>
        <v>0</v>
      </c>
      <c r="Y34" s="148">
        <f>COUNTIFS('2026 Time Off Request'!$A:$A,'May 2026'!$D34,'2026 Time Off Request'!$L:$L,'May 2026'!Y$6)</f>
        <v>0</v>
      </c>
      <c r="Z34" s="148">
        <f>COUNTIFS('2026 Time Off Request'!$A:$A,'May 2026'!$D34,'2026 Time Off Request'!$L:$L,'May 2026'!Z$6)</f>
        <v>0</v>
      </c>
      <c r="AA34" s="148">
        <f>COUNTIFS('2026 Time Off Request'!$A:$A,'May 2026'!$D34,'2026 Time Off Request'!$L:$L,'May 2026'!AA$6)</f>
        <v>0</v>
      </c>
      <c r="AB34" s="147">
        <f>COUNTIFS('2026 Time Off Request'!$A:$A,'May 2026'!$D34,'2026 Time Off Request'!$L:$L,'May 2026'!AB$6)</f>
        <v>0</v>
      </c>
      <c r="AC34" s="147">
        <f>COUNTIFS('2026 Time Off Request'!$A:$A,'May 2026'!$D34,'2026 Time Off Request'!$L:$L,'May 2026'!AC$6)</f>
        <v>0</v>
      </c>
      <c r="AD34" s="148">
        <f>COUNTIFS('2026 Time Off Request'!$A:$A,'May 2026'!$D34,'2026 Time Off Request'!$L:$L,'May 2026'!AD$6)</f>
        <v>0</v>
      </c>
      <c r="AE34" s="148">
        <f>COUNTIFS('2026 Time Off Request'!$A:$A,'May 2026'!$D34,'2026 Time Off Request'!$L:$L,'May 2026'!AE$6)</f>
        <v>0</v>
      </c>
      <c r="AF34" s="148">
        <f>COUNTIFS('2026 Time Off Request'!$A:$A,'May 2026'!$D34,'2026 Time Off Request'!$L:$L,'May 2026'!AF$6)</f>
        <v>0</v>
      </c>
      <c r="AG34" s="148">
        <f>COUNTIFS('2026 Time Off Request'!$A:$A,'May 2026'!$D34,'2026 Time Off Request'!$L:$L,'May 2026'!AG$6)</f>
        <v>0</v>
      </c>
      <c r="AH34" s="148">
        <f>COUNTIFS('2026 Time Off Request'!$A:$A,'May 2026'!$D34,'2026 Time Off Request'!$L:$L,'May 2026'!AH$6)</f>
        <v>0</v>
      </c>
      <c r="AI34" s="147">
        <f>COUNTIFS('2026 Time Off Request'!$A:$A,'May 2026'!$D34,'2026 Time Off Request'!$L:$L,'May 2026'!AI$6)</f>
        <v>0</v>
      </c>
      <c r="AJ34" s="147">
        <f>COUNTIFS('2026 Time Off Request'!$A:$A,'May 2026'!$D34,'2026 Time Off Request'!$L:$L,'May 2026'!AJ$6)</f>
        <v>0</v>
      </c>
    </row>
    <row r="35" spans="1:36" ht="15.75">
      <c r="A35" s="2">
        <v>26</v>
      </c>
      <c r="B35" s="209" t="s">
        <v>45</v>
      </c>
      <c r="C35" s="210" t="s">
        <v>73</v>
      </c>
      <c r="D35" s="215" t="s">
        <v>74</v>
      </c>
      <c r="E35" s="212">
        <f t="shared" ref="E35" si="5">SUM(F35:AI35)</f>
        <v>0</v>
      </c>
      <c r="F35" s="223">
        <f>COUNTIFS('2026 Time Off Request'!$A:$A,'May 2026'!$D35,'2026 Time Off Request'!$L:$L,'May 2026'!F$6)</f>
        <v>0</v>
      </c>
      <c r="G35" s="147">
        <f>COUNTIFS('2026 Time Off Request'!$A:$A,'May 2026'!$D35,'2026 Time Off Request'!$L:$L,'May 2026'!G$6)</f>
        <v>0</v>
      </c>
      <c r="H35" s="147">
        <f>COUNTIFS('2026 Time Off Request'!$A:$A,'May 2026'!$D35,'2026 Time Off Request'!$L:$L,'May 2026'!H$6)</f>
        <v>0</v>
      </c>
      <c r="I35" s="148">
        <f>COUNTIFS('2026 Time Off Request'!$A:$A,'May 2026'!$D35,'2026 Time Off Request'!$L:$L,'May 2026'!I$6)</f>
        <v>0</v>
      </c>
      <c r="J35" s="148">
        <f>COUNTIFS('2026 Time Off Request'!$A:$A,'May 2026'!$D35,'2026 Time Off Request'!$L:$L,'May 2026'!J$6)</f>
        <v>0</v>
      </c>
      <c r="K35" s="148">
        <f>COUNTIFS('2026 Time Off Request'!$A:$A,'May 2026'!$D35,'2026 Time Off Request'!$L:$L,'May 2026'!K$6)</f>
        <v>0</v>
      </c>
      <c r="L35" s="148">
        <f>COUNTIFS('2026 Time Off Request'!$A:$A,'May 2026'!$D35,'2026 Time Off Request'!$L:$L,'May 2026'!L$6)</f>
        <v>0</v>
      </c>
      <c r="M35" s="148">
        <f>COUNTIFS('2026 Time Off Request'!$A:$A,'May 2026'!$D35,'2026 Time Off Request'!$L:$L,'May 2026'!M$6)</f>
        <v>0</v>
      </c>
      <c r="N35" s="147">
        <f>COUNTIFS('2026 Time Off Request'!$A:$A,'May 2026'!$D35,'2026 Time Off Request'!$L:$L,'May 2026'!N$6)</f>
        <v>0</v>
      </c>
      <c r="O35" s="147">
        <f>COUNTIFS('2026 Time Off Request'!$A:$A,'May 2026'!$D35,'2026 Time Off Request'!$L:$L,'May 2026'!O$6)</f>
        <v>0</v>
      </c>
      <c r="P35" s="148">
        <f>COUNTIFS('2026 Time Off Request'!$A:$A,'May 2026'!$D35,'2026 Time Off Request'!$L:$L,'May 2026'!P$6)</f>
        <v>0</v>
      </c>
      <c r="Q35" s="148">
        <f>COUNTIFS('2026 Time Off Request'!$A:$A,'May 2026'!$D35,'2026 Time Off Request'!$L:$L,'May 2026'!Q$6)</f>
        <v>0</v>
      </c>
      <c r="R35" s="148">
        <f>COUNTIFS('2026 Time Off Request'!$A:$A,'May 2026'!$D35,'2026 Time Off Request'!$L:$L,'May 2026'!R$6)</f>
        <v>0</v>
      </c>
      <c r="S35" s="148">
        <f>COUNTIFS('2026 Time Off Request'!$A:$A,'May 2026'!$D35,'2026 Time Off Request'!$L:$L,'May 2026'!S$6)</f>
        <v>0</v>
      </c>
      <c r="T35" s="148">
        <f>COUNTIFS('2026 Time Off Request'!$A:$A,'May 2026'!$D35,'2026 Time Off Request'!$L:$L,'May 2026'!T$6)</f>
        <v>0</v>
      </c>
      <c r="U35" s="147">
        <f>COUNTIFS('2026 Time Off Request'!$A:$A,'May 2026'!$D35,'2026 Time Off Request'!$L:$L,'May 2026'!U$6)</f>
        <v>0</v>
      </c>
      <c r="V35" s="147">
        <f>COUNTIFS('2026 Time Off Request'!$A:$A,'May 2026'!$D35,'2026 Time Off Request'!$L:$L,'May 2026'!V$6)</f>
        <v>0</v>
      </c>
      <c r="W35" s="224">
        <f>COUNTIFS('2026 Time Off Request'!$A:$A,'May 2026'!$D35,'2026 Time Off Request'!$L:$L,'May 2026'!W$6)</f>
        <v>0</v>
      </c>
      <c r="X35" s="148">
        <f>COUNTIFS('2026 Time Off Request'!$A:$A,'May 2026'!$D35,'2026 Time Off Request'!$L:$L,'May 2026'!X$6)</f>
        <v>0</v>
      </c>
      <c r="Y35" s="148">
        <f>COUNTIFS('2026 Time Off Request'!$A:$A,'May 2026'!$D35,'2026 Time Off Request'!$L:$L,'May 2026'!Y$6)</f>
        <v>0</v>
      </c>
      <c r="Z35" s="148">
        <f>COUNTIFS('2026 Time Off Request'!$A:$A,'May 2026'!$D35,'2026 Time Off Request'!$L:$L,'May 2026'!Z$6)</f>
        <v>0</v>
      </c>
      <c r="AA35" s="148">
        <f>COUNTIFS('2026 Time Off Request'!$A:$A,'May 2026'!$D35,'2026 Time Off Request'!$L:$L,'May 2026'!AA$6)</f>
        <v>0</v>
      </c>
      <c r="AB35" s="147">
        <f>COUNTIFS('2026 Time Off Request'!$A:$A,'May 2026'!$D35,'2026 Time Off Request'!$L:$L,'May 2026'!AB$6)</f>
        <v>0</v>
      </c>
      <c r="AC35" s="147">
        <f>COUNTIFS('2026 Time Off Request'!$A:$A,'May 2026'!$D35,'2026 Time Off Request'!$L:$L,'May 2026'!AC$6)</f>
        <v>0</v>
      </c>
      <c r="AD35" s="148">
        <f>COUNTIFS('2026 Time Off Request'!$A:$A,'May 2026'!$D35,'2026 Time Off Request'!$L:$L,'May 2026'!AD$6)</f>
        <v>0</v>
      </c>
      <c r="AE35" s="148">
        <f>COUNTIFS('2026 Time Off Request'!$A:$A,'May 2026'!$D35,'2026 Time Off Request'!$L:$L,'May 2026'!AE$6)</f>
        <v>0</v>
      </c>
      <c r="AF35" s="148">
        <f>COUNTIFS('2026 Time Off Request'!$A:$A,'May 2026'!$D35,'2026 Time Off Request'!$L:$L,'May 2026'!AF$6)</f>
        <v>0</v>
      </c>
      <c r="AG35" s="148">
        <f>COUNTIFS('2026 Time Off Request'!$A:$A,'May 2026'!$D35,'2026 Time Off Request'!$L:$L,'May 2026'!AG$6)</f>
        <v>0</v>
      </c>
      <c r="AH35" s="148">
        <f>COUNTIFS('2026 Time Off Request'!$A:$A,'May 2026'!$D35,'2026 Time Off Request'!$L:$L,'May 2026'!AH$6)</f>
        <v>0</v>
      </c>
      <c r="AI35" s="147">
        <f>COUNTIFS('2026 Time Off Request'!$A:$A,'May 2026'!$D35,'2026 Time Off Request'!$L:$L,'May 2026'!AI$6)</f>
        <v>0</v>
      </c>
      <c r="AJ35" s="147">
        <f>COUNTIFS('2026 Time Off Request'!$A:$A,'May 2026'!$D35,'2026 Time Off Request'!$L:$L,'May 2026'!AJ$6)</f>
        <v>0</v>
      </c>
    </row>
    <row r="36" spans="1:36" ht="15.75">
      <c r="A36" s="2">
        <v>27</v>
      </c>
      <c r="B36" s="209" t="s">
        <v>49</v>
      </c>
      <c r="C36" s="210" t="s">
        <v>75</v>
      </c>
      <c r="D36" s="215" t="s">
        <v>76</v>
      </c>
      <c r="E36" s="212">
        <f t="shared" si="3"/>
        <v>0</v>
      </c>
      <c r="F36" s="223">
        <f>COUNTIFS('2026 Time Off Request'!$A:$A,'May 2026'!$D36,'2026 Time Off Request'!$L:$L,'May 2026'!F$6)</f>
        <v>0</v>
      </c>
      <c r="G36" s="147">
        <f>COUNTIFS('2026 Time Off Request'!$A:$A,'May 2026'!$D36,'2026 Time Off Request'!$L:$L,'May 2026'!G$6)</f>
        <v>0</v>
      </c>
      <c r="H36" s="147">
        <f>COUNTIFS('2026 Time Off Request'!$A:$A,'May 2026'!$D36,'2026 Time Off Request'!$L:$L,'May 2026'!H$6)</f>
        <v>0</v>
      </c>
      <c r="I36" s="148">
        <f>COUNTIFS('2026 Time Off Request'!$A:$A,'May 2026'!$D36,'2026 Time Off Request'!$L:$L,'May 2026'!I$6)</f>
        <v>0</v>
      </c>
      <c r="J36" s="148">
        <f>COUNTIFS('2026 Time Off Request'!$A:$A,'May 2026'!$D36,'2026 Time Off Request'!$L:$L,'May 2026'!J$6)</f>
        <v>0</v>
      </c>
      <c r="K36" s="148">
        <f>COUNTIFS('2026 Time Off Request'!$A:$A,'May 2026'!$D36,'2026 Time Off Request'!$L:$L,'May 2026'!K$6)</f>
        <v>0</v>
      </c>
      <c r="L36" s="148">
        <f>COUNTIFS('2026 Time Off Request'!$A:$A,'May 2026'!$D36,'2026 Time Off Request'!$L:$L,'May 2026'!L$6)</f>
        <v>0</v>
      </c>
      <c r="M36" s="148">
        <f>COUNTIFS('2026 Time Off Request'!$A:$A,'May 2026'!$D36,'2026 Time Off Request'!$L:$L,'May 2026'!M$6)</f>
        <v>0</v>
      </c>
      <c r="N36" s="147">
        <f>COUNTIFS('2026 Time Off Request'!$A:$A,'May 2026'!$D36,'2026 Time Off Request'!$L:$L,'May 2026'!N$6)</f>
        <v>0</v>
      </c>
      <c r="O36" s="147">
        <f>COUNTIFS('2026 Time Off Request'!$A:$A,'May 2026'!$D36,'2026 Time Off Request'!$L:$L,'May 2026'!O$6)</f>
        <v>0</v>
      </c>
      <c r="P36" s="148">
        <f>COUNTIFS('2026 Time Off Request'!$A:$A,'May 2026'!$D36,'2026 Time Off Request'!$L:$L,'May 2026'!P$6)</f>
        <v>0</v>
      </c>
      <c r="Q36" s="148">
        <f>COUNTIFS('2026 Time Off Request'!$A:$A,'May 2026'!$D36,'2026 Time Off Request'!$L:$L,'May 2026'!Q$6)</f>
        <v>0</v>
      </c>
      <c r="R36" s="148">
        <f>COUNTIFS('2026 Time Off Request'!$A:$A,'May 2026'!$D36,'2026 Time Off Request'!$L:$L,'May 2026'!R$6)</f>
        <v>0</v>
      </c>
      <c r="S36" s="148">
        <f>COUNTIFS('2026 Time Off Request'!$A:$A,'May 2026'!$D36,'2026 Time Off Request'!$L:$L,'May 2026'!S$6)</f>
        <v>0</v>
      </c>
      <c r="T36" s="148">
        <f>COUNTIFS('2026 Time Off Request'!$A:$A,'May 2026'!$D36,'2026 Time Off Request'!$L:$L,'May 2026'!T$6)</f>
        <v>0</v>
      </c>
      <c r="U36" s="147">
        <f>COUNTIFS('2026 Time Off Request'!$A:$A,'May 2026'!$D36,'2026 Time Off Request'!$L:$L,'May 2026'!U$6)</f>
        <v>0</v>
      </c>
      <c r="V36" s="147">
        <f>COUNTIFS('2026 Time Off Request'!$A:$A,'May 2026'!$D36,'2026 Time Off Request'!$L:$L,'May 2026'!V$6)</f>
        <v>0</v>
      </c>
      <c r="W36" s="224">
        <f>COUNTIFS('2026 Time Off Request'!$A:$A,'May 2026'!$D36,'2026 Time Off Request'!$L:$L,'May 2026'!W$6)</f>
        <v>0</v>
      </c>
      <c r="X36" s="148">
        <f>COUNTIFS('2026 Time Off Request'!$A:$A,'May 2026'!$D36,'2026 Time Off Request'!$L:$L,'May 2026'!X$6)</f>
        <v>0</v>
      </c>
      <c r="Y36" s="148">
        <f>COUNTIFS('2026 Time Off Request'!$A:$A,'May 2026'!$D36,'2026 Time Off Request'!$L:$L,'May 2026'!Y$6)</f>
        <v>0</v>
      </c>
      <c r="Z36" s="148">
        <f>COUNTIFS('2026 Time Off Request'!$A:$A,'May 2026'!$D36,'2026 Time Off Request'!$L:$L,'May 2026'!Z$6)</f>
        <v>0</v>
      </c>
      <c r="AA36" s="148">
        <f>COUNTIFS('2026 Time Off Request'!$A:$A,'May 2026'!$D36,'2026 Time Off Request'!$L:$L,'May 2026'!AA$6)</f>
        <v>0</v>
      </c>
      <c r="AB36" s="147">
        <f>COUNTIFS('2026 Time Off Request'!$A:$A,'May 2026'!$D36,'2026 Time Off Request'!$L:$L,'May 2026'!AB$6)</f>
        <v>0</v>
      </c>
      <c r="AC36" s="147">
        <f>COUNTIFS('2026 Time Off Request'!$A:$A,'May 2026'!$D36,'2026 Time Off Request'!$L:$L,'May 2026'!AC$6)</f>
        <v>0</v>
      </c>
      <c r="AD36" s="148">
        <f>COUNTIFS('2026 Time Off Request'!$A:$A,'May 2026'!$D36,'2026 Time Off Request'!$L:$L,'May 2026'!AD$6)</f>
        <v>0</v>
      </c>
      <c r="AE36" s="148">
        <f>COUNTIFS('2026 Time Off Request'!$A:$A,'May 2026'!$D36,'2026 Time Off Request'!$L:$L,'May 2026'!AE$6)</f>
        <v>0</v>
      </c>
      <c r="AF36" s="148">
        <f>COUNTIFS('2026 Time Off Request'!$A:$A,'May 2026'!$D36,'2026 Time Off Request'!$L:$L,'May 2026'!AF$6)</f>
        <v>0</v>
      </c>
      <c r="AG36" s="148">
        <f>COUNTIFS('2026 Time Off Request'!$A:$A,'May 2026'!$D36,'2026 Time Off Request'!$L:$L,'May 2026'!AG$6)</f>
        <v>0</v>
      </c>
      <c r="AH36" s="148">
        <f>COUNTIFS('2026 Time Off Request'!$A:$A,'May 2026'!$D36,'2026 Time Off Request'!$L:$L,'May 2026'!AH$6)</f>
        <v>0</v>
      </c>
      <c r="AI36" s="147">
        <f>COUNTIFS('2026 Time Off Request'!$A:$A,'May 2026'!$D36,'2026 Time Off Request'!$L:$L,'May 2026'!AI$6)</f>
        <v>0</v>
      </c>
      <c r="AJ36" s="147">
        <f>COUNTIFS('2026 Time Off Request'!$A:$A,'May 2026'!$D36,'2026 Time Off Request'!$L:$L,'May 2026'!AJ$6)</f>
        <v>0</v>
      </c>
    </row>
    <row r="37" spans="1:36" ht="15.75">
      <c r="A37" s="2">
        <v>28</v>
      </c>
      <c r="B37" s="209" t="s">
        <v>45</v>
      </c>
      <c r="C37" s="210" t="s">
        <v>77</v>
      </c>
      <c r="D37" s="215" t="s">
        <v>78</v>
      </c>
      <c r="E37" s="212">
        <f t="shared" si="3"/>
        <v>0</v>
      </c>
      <c r="F37" s="223">
        <f>COUNTIFS('2026 Time Off Request'!$A:$A,'May 2026'!$D37,'2026 Time Off Request'!$L:$L,'May 2026'!F$6)</f>
        <v>0</v>
      </c>
      <c r="G37" s="147">
        <f>COUNTIFS('2026 Time Off Request'!$A:$A,'May 2026'!$D37,'2026 Time Off Request'!$L:$L,'May 2026'!G$6)</f>
        <v>0</v>
      </c>
      <c r="H37" s="147">
        <f>COUNTIFS('2026 Time Off Request'!$A:$A,'May 2026'!$D37,'2026 Time Off Request'!$L:$L,'May 2026'!H$6)</f>
        <v>0</v>
      </c>
      <c r="I37" s="148">
        <f>COUNTIFS('2026 Time Off Request'!$A:$A,'May 2026'!$D37,'2026 Time Off Request'!$L:$L,'May 2026'!I$6)</f>
        <v>0</v>
      </c>
      <c r="J37" s="148">
        <f>COUNTIFS('2026 Time Off Request'!$A:$A,'May 2026'!$D37,'2026 Time Off Request'!$L:$L,'May 2026'!J$6)</f>
        <v>0</v>
      </c>
      <c r="K37" s="148">
        <f>COUNTIFS('2026 Time Off Request'!$A:$A,'May 2026'!$D37,'2026 Time Off Request'!$L:$L,'May 2026'!K$6)</f>
        <v>0</v>
      </c>
      <c r="L37" s="148">
        <f>COUNTIFS('2026 Time Off Request'!$A:$A,'May 2026'!$D37,'2026 Time Off Request'!$L:$L,'May 2026'!L$6)</f>
        <v>0</v>
      </c>
      <c r="M37" s="148">
        <f>COUNTIFS('2026 Time Off Request'!$A:$A,'May 2026'!$D37,'2026 Time Off Request'!$L:$L,'May 2026'!M$6)</f>
        <v>0</v>
      </c>
      <c r="N37" s="147">
        <f>COUNTIFS('2026 Time Off Request'!$A:$A,'May 2026'!$D37,'2026 Time Off Request'!$L:$L,'May 2026'!N$6)</f>
        <v>0</v>
      </c>
      <c r="O37" s="147">
        <f>COUNTIFS('2026 Time Off Request'!$A:$A,'May 2026'!$D37,'2026 Time Off Request'!$L:$L,'May 2026'!O$6)</f>
        <v>0</v>
      </c>
      <c r="P37" s="148">
        <f>COUNTIFS('2026 Time Off Request'!$A:$A,'May 2026'!$D37,'2026 Time Off Request'!$L:$L,'May 2026'!P$6)</f>
        <v>0</v>
      </c>
      <c r="Q37" s="148">
        <f>COUNTIFS('2026 Time Off Request'!$A:$A,'May 2026'!$D37,'2026 Time Off Request'!$L:$L,'May 2026'!Q$6)</f>
        <v>0</v>
      </c>
      <c r="R37" s="148">
        <f>COUNTIFS('2026 Time Off Request'!$A:$A,'May 2026'!$D37,'2026 Time Off Request'!$L:$L,'May 2026'!R$6)</f>
        <v>0</v>
      </c>
      <c r="S37" s="148">
        <f>COUNTIFS('2026 Time Off Request'!$A:$A,'May 2026'!$D37,'2026 Time Off Request'!$L:$L,'May 2026'!S$6)</f>
        <v>0</v>
      </c>
      <c r="T37" s="148">
        <f>COUNTIFS('2026 Time Off Request'!$A:$A,'May 2026'!$D37,'2026 Time Off Request'!$L:$L,'May 2026'!T$6)</f>
        <v>0</v>
      </c>
      <c r="U37" s="147">
        <f>COUNTIFS('2026 Time Off Request'!$A:$A,'May 2026'!$D37,'2026 Time Off Request'!$L:$L,'May 2026'!U$6)</f>
        <v>0</v>
      </c>
      <c r="V37" s="147">
        <f>COUNTIFS('2026 Time Off Request'!$A:$A,'May 2026'!$D37,'2026 Time Off Request'!$L:$L,'May 2026'!V$6)</f>
        <v>0</v>
      </c>
      <c r="W37" s="224">
        <f>COUNTIFS('2026 Time Off Request'!$A:$A,'May 2026'!$D37,'2026 Time Off Request'!$L:$L,'May 2026'!W$6)</f>
        <v>0</v>
      </c>
      <c r="X37" s="148">
        <f>COUNTIFS('2026 Time Off Request'!$A:$A,'May 2026'!$D37,'2026 Time Off Request'!$L:$L,'May 2026'!X$6)</f>
        <v>0</v>
      </c>
      <c r="Y37" s="148">
        <f>COUNTIFS('2026 Time Off Request'!$A:$A,'May 2026'!$D37,'2026 Time Off Request'!$L:$L,'May 2026'!Y$6)</f>
        <v>0</v>
      </c>
      <c r="Z37" s="148">
        <f>COUNTIFS('2026 Time Off Request'!$A:$A,'May 2026'!$D37,'2026 Time Off Request'!$L:$L,'May 2026'!Z$6)</f>
        <v>0</v>
      </c>
      <c r="AA37" s="148">
        <f>COUNTIFS('2026 Time Off Request'!$A:$A,'May 2026'!$D37,'2026 Time Off Request'!$L:$L,'May 2026'!AA$6)</f>
        <v>0</v>
      </c>
      <c r="AB37" s="147">
        <f>COUNTIFS('2026 Time Off Request'!$A:$A,'May 2026'!$D37,'2026 Time Off Request'!$L:$L,'May 2026'!AB$6)</f>
        <v>0</v>
      </c>
      <c r="AC37" s="147">
        <f>COUNTIFS('2026 Time Off Request'!$A:$A,'May 2026'!$D37,'2026 Time Off Request'!$L:$L,'May 2026'!AC$6)</f>
        <v>0</v>
      </c>
      <c r="AD37" s="148">
        <f>COUNTIFS('2026 Time Off Request'!$A:$A,'May 2026'!$D37,'2026 Time Off Request'!$L:$L,'May 2026'!AD$6)</f>
        <v>0</v>
      </c>
      <c r="AE37" s="148">
        <f>COUNTIFS('2026 Time Off Request'!$A:$A,'May 2026'!$D37,'2026 Time Off Request'!$L:$L,'May 2026'!AE$6)</f>
        <v>0</v>
      </c>
      <c r="AF37" s="148">
        <f>COUNTIFS('2026 Time Off Request'!$A:$A,'May 2026'!$D37,'2026 Time Off Request'!$L:$L,'May 2026'!AF$6)</f>
        <v>0</v>
      </c>
      <c r="AG37" s="148">
        <f>COUNTIFS('2026 Time Off Request'!$A:$A,'May 2026'!$D37,'2026 Time Off Request'!$L:$L,'May 2026'!AG$6)</f>
        <v>0</v>
      </c>
      <c r="AH37" s="148">
        <f>COUNTIFS('2026 Time Off Request'!$A:$A,'May 2026'!$D37,'2026 Time Off Request'!$L:$L,'May 2026'!AH$6)</f>
        <v>0</v>
      </c>
      <c r="AI37" s="147">
        <f>COUNTIFS('2026 Time Off Request'!$A:$A,'May 2026'!$D37,'2026 Time Off Request'!$L:$L,'May 2026'!AI$6)</f>
        <v>0</v>
      </c>
      <c r="AJ37" s="147">
        <f>COUNTIFS('2026 Time Off Request'!$A:$A,'May 2026'!$D37,'2026 Time Off Request'!$L:$L,'May 2026'!AJ$6)</f>
        <v>0</v>
      </c>
    </row>
    <row r="38" spans="1:36" ht="15.75">
      <c r="A38" s="2">
        <v>29</v>
      </c>
      <c r="B38" s="209" t="s">
        <v>45</v>
      </c>
      <c r="C38" s="210" t="s">
        <v>77</v>
      </c>
      <c r="D38" s="215" t="s">
        <v>79</v>
      </c>
      <c r="E38" s="212">
        <f t="shared" si="3"/>
        <v>0</v>
      </c>
      <c r="F38" s="223">
        <f>COUNTIFS('2026 Time Off Request'!$A:$A,'May 2026'!$D38,'2026 Time Off Request'!$L:$L,'May 2026'!F$6)</f>
        <v>0</v>
      </c>
      <c r="G38" s="147">
        <f>COUNTIFS('2026 Time Off Request'!$A:$A,'May 2026'!$D38,'2026 Time Off Request'!$L:$L,'May 2026'!G$6)</f>
        <v>0</v>
      </c>
      <c r="H38" s="147">
        <f>COUNTIFS('2026 Time Off Request'!$A:$A,'May 2026'!$D38,'2026 Time Off Request'!$L:$L,'May 2026'!H$6)</f>
        <v>0</v>
      </c>
      <c r="I38" s="148">
        <f>COUNTIFS('2026 Time Off Request'!$A:$A,'May 2026'!$D38,'2026 Time Off Request'!$L:$L,'May 2026'!I$6)</f>
        <v>0</v>
      </c>
      <c r="J38" s="148">
        <f>COUNTIFS('2026 Time Off Request'!$A:$A,'May 2026'!$D38,'2026 Time Off Request'!$L:$L,'May 2026'!J$6)</f>
        <v>0</v>
      </c>
      <c r="K38" s="148">
        <f>COUNTIFS('2026 Time Off Request'!$A:$A,'May 2026'!$D38,'2026 Time Off Request'!$L:$L,'May 2026'!K$6)</f>
        <v>0</v>
      </c>
      <c r="L38" s="148">
        <f>COUNTIFS('2026 Time Off Request'!$A:$A,'May 2026'!$D38,'2026 Time Off Request'!$L:$L,'May 2026'!L$6)</f>
        <v>0</v>
      </c>
      <c r="M38" s="148">
        <f>COUNTIFS('2026 Time Off Request'!$A:$A,'May 2026'!$D38,'2026 Time Off Request'!$L:$L,'May 2026'!M$6)</f>
        <v>0</v>
      </c>
      <c r="N38" s="147">
        <f>COUNTIFS('2026 Time Off Request'!$A:$A,'May 2026'!$D38,'2026 Time Off Request'!$L:$L,'May 2026'!N$6)</f>
        <v>0</v>
      </c>
      <c r="O38" s="147">
        <f>COUNTIFS('2026 Time Off Request'!$A:$A,'May 2026'!$D38,'2026 Time Off Request'!$L:$L,'May 2026'!O$6)</f>
        <v>0</v>
      </c>
      <c r="P38" s="148">
        <f>COUNTIFS('2026 Time Off Request'!$A:$A,'May 2026'!$D38,'2026 Time Off Request'!$L:$L,'May 2026'!P$6)</f>
        <v>0</v>
      </c>
      <c r="Q38" s="148">
        <f>COUNTIFS('2026 Time Off Request'!$A:$A,'May 2026'!$D38,'2026 Time Off Request'!$L:$L,'May 2026'!Q$6)</f>
        <v>0</v>
      </c>
      <c r="R38" s="148">
        <f>COUNTIFS('2026 Time Off Request'!$A:$A,'May 2026'!$D38,'2026 Time Off Request'!$L:$L,'May 2026'!R$6)</f>
        <v>0</v>
      </c>
      <c r="S38" s="148">
        <f>COUNTIFS('2026 Time Off Request'!$A:$A,'May 2026'!$D38,'2026 Time Off Request'!$L:$L,'May 2026'!S$6)</f>
        <v>0</v>
      </c>
      <c r="T38" s="148">
        <f>COUNTIFS('2026 Time Off Request'!$A:$A,'May 2026'!$D38,'2026 Time Off Request'!$L:$L,'May 2026'!T$6)</f>
        <v>0</v>
      </c>
      <c r="U38" s="147">
        <f>COUNTIFS('2026 Time Off Request'!$A:$A,'May 2026'!$D38,'2026 Time Off Request'!$L:$L,'May 2026'!U$6)</f>
        <v>0</v>
      </c>
      <c r="V38" s="147">
        <f>COUNTIFS('2026 Time Off Request'!$A:$A,'May 2026'!$D38,'2026 Time Off Request'!$L:$L,'May 2026'!V$6)</f>
        <v>0</v>
      </c>
      <c r="W38" s="224">
        <f>COUNTIFS('2026 Time Off Request'!$A:$A,'May 2026'!$D38,'2026 Time Off Request'!$L:$L,'May 2026'!W$6)</f>
        <v>0</v>
      </c>
      <c r="X38" s="148">
        <f>COUNTIFS('2026 Time Off Request'!$A:$A,'May 2026'!$D38,'2026 Time Off Request'!$L:$L,'May 2026'!X$6)</f>
        <v>0</v>
      </c>
      <c r="Y38" s="148">
        <f>COUNTIFS('2026 Time Off Request'!$A:$A,'May 2026'!$D38,'2026 Time Off Request'!$L:$L,'May 2026'!Y$6)</f>
        <v>0</v>
      </c>
      <c r="Z38" s="148">
        <f>COUNTIFS('2026 Time Off Request'!$A:$A,'May 2026'!$D38,'2026 Time Off Request'!$L:$L,'May 2026'!Z$6)</f>
        <v>0</v>
      </c>
      <c r="AA38" s="148">
        <f>COUNTIFS('2026 Time Off Request'!$A:$A,'May 2026'!$D38,'2026 Time Off Request'!$L:$L,'May 2026'!AA$6)</f>
        <v>0</v>
      </c>
      <c r="AB38" s="147">
        <f>COUNTIFS('2026 Time Off Request'!$A:$A,'May 2026'!$D38,'2026 Time Off Request'!$L:$L,'May 2026'!AB$6)</f>
        <v>0</v>
      </c>
      <c r="AC38" s="147">
        <f>COUNTIFS('2026 Time Off Request'!$A:$A,'May 2026'!$D38,'2026 Time Off Request'!$L:$L,'May 2026'!AC$6)</f>
        <v>0</v>
      </c>
      <c r="AD38" s="148">
        <f>COUNTIFS('2026 Time Off Request'!$A:$A,'May 2026'!$D38,'2026 Time Off Request'!$L:$L,'May 2026'!AD$6)</f>
        <v>0</v>
      </c>
      <c r="AE38" s="148">
        <f>COUNTIFS('2026 Time Off Request'!$A:$A,'May 2026'!$D38,'2026 Time Off Request'!$L:$L,'May 2026'!AE$6)</f>
        <v>0</v>
      </c>
      <c r="AF38" s="148">
        <f>COUNTIFS('2026 Time Off Request'!$A:$A,'May 2026'!$D38,'2026 Time Off Request'!$L:$L,'May 2026'!AF$6)</f>
        <v>0</v>
      </c>
      <c r="AG38" s="148">
        <f>COUNTIFS('2026 Time Off Request'!$A:$A,'May 2026'!$D38,'2026 Time Off Request'!$L:$L,'May 2026'!AG$6)</f>
        <v>0</v>
      </c>
      <c r="AH38" s="148">
        <f>COUNTIFS('2026 Time Off Request'!$A:$A,'May 2026'!$D38,'2026 Time Off Request'!$L:$L,'May 2026'!AH$6)</f>
        <v>0</v>
      </c>
      <c r="AI38" s="147">
        <f>COUNTIFS('2026 Time Off Request'!$A:$A,'May 2026'!$D38,'2026 Time Off Request'!$L:$L,'May 2026'!AI$6)</f>
        <v>0</v>
      </c>
      <c r="AJ38" s="147">
        <f>COUNTIFS('2026 Time Off Request'!$A:$A,'May 2026'!$D38,'2026 Time Off Request'!$L:$L,'May 2026'!AJ$6)</f>
        <v>0</v>
      </c>
    </row>
    <row r="39" spans="1:36" ht="15.75">
      <c r="A39" s="2">
        <v>30</v>
      </c>
      <c r="B39" s="209" t="s">
        <v>45</v>
      </c>
      <c r="C39" s="210" t="s">
        <v>77</v>
      </c>
      <c r="D39" s="215" t="s">
        <v>80</v>
      </c>
      <c r="E39" s="212">
        <f t="shared" si="3"/>
        <v>0</v>
      </c>
      <c r="F39" s="223">
        <f>COUNTIFS('2026 Time Off Request'!$A:$A,'May 2026'!$D39,'2026 Time Off Request'!$L:$L,'May 2026'!F$6)</f>
        <v>0</v>
      </c>
      <c r="G39" s="147">
        <f>COUNTIFS('2026 Time Off Request'!$A:$A,'May 2026'!$D39,'2026 Time Off Request'!$L:$L,'May 2026'!G$6)</f>
        <v>0</v>
      </c>
      <c r="H39" s="147">
        <f>COUNTIFS('2026 Time Off Request'!$A:$A,'May 2026'!$D39,'2026 Time Off Request'!$L:$L,'May 2026'!H$6)</f>
        <v>0</v>
      </c>
      <c r="I39" s="148">
        <f>COUNTIFS('2026 Time Off Request'!$A:$A,'May 2026'!$D39,'2026 Time Off Request'!$L:$L,'May 2026'!I$6)</f>
        <v>0</v>
      </c>
      <c r="J39" s="148">
        <f>COUNTIFS('2026 Time Off Request'!$A:$A,'May 2026'!$D39,'2026 Time Off Request'!$L:$L,'May 2026'!J$6)</f>
        <v>0</v>
      </c>
      <c r="K39" s="148">
        <f>COUNTIFS('2026 Time Off Request'!$A:$A,'May 2026'!$D39,'2026 Time Off Request'!$L:$L,'May 2026'!K$6)</f>
        <v>0</v>
      </c>
      <c r="L39" s="148">
        <f>COUNTIFS('2026 Time Off Request'!$A:$A,'May 2026'!$D39,'2026 Time Off Request'!$L:$L,'May 2026'!L$6)</f>
        <v>0</v>
      </c>
      <c r="M39" s="148">
        <f>COUNTIFS('2026 Time Off Request'!$A:$A,'May 2026'!$D39,'2026 Time Off Request'!$L:$L,'May 2026'!M$6)</f>
        <v>0</v>
      </c>
      <c r="N39" s="147">
        <f>COUNTIFS('2026 Time Off Request'!$A:$A,'May 2026'!$D39,'2026 Time Off Request'!$L:$L,'May 2026'!N$6)</f>
        <v>0</v>
      </c>
      <c r="O39" s="147">
        <f>COUNTIFS('2026 Time Off Request'!$A:$A,'May 2026'!$D39,'2026 Time Off Request'!$L:$L,'May 2026'!O$6)</f>
        <v>0</v>
      </c>
      <c r="P39" s="148">
        <f>COUNTIFS('2026 Time Off Request'!$A:$A,'May 2026'!$D39,'2026 Time Off Request'!$L:$L,'May 2026'!P$6)</f>
        <v>0</v>
      </c>
      <c r="Q39" s="148">
        <f>COUNTIFS('2026 Time Off Request'!$A:$A,'May 2026'!$D39,'2026 Time Off Request'!$L:$L,'May 2026'!Q$6)</f>
        <v>0</v>
      </c>
      <c r="R39" s="148">
        <f>COUNTIFS('2026 Time Off Request'!$A:$A,'May 2026'!$D39,'2026 Time Off Request'!$L:$L,'May 2026'!R$6)</f>
        <v>0</v>
      </c>
      <c r="S39" s="148">
        <f>COUNTIFS('2026 Time Off Request'!$A:$A,'May 2026'!$D39,'2026 Time Off Request'!$L:$L,'May 2026'!S$6)</f>
        <v>0</v>
      </c>
      <c r="T39" s="148">
        <f>COUNTIFS('2026 Time Off Request'!$A:$A,'May 2026'!$D39,'2026 Time Off Request'!$L:$L,'May 2026'!T$6)</f>
        <v>0</v>
      </c>
      <c r="U39" s="147">
        <f>COUNTIFS('2026 Time Off Request'!$A:$A,'May 2026'!$D39,'2026 Time Off Request'!$L:$L,'May 2026'!U$6)</f>
        <v>0</v>
      </c>
      <c r="V39" s="147">
        <f>COUNTIFS('2026 Time Off Request'!$A:$A,'May 2026'!$D39,'2026 Time Off Request'!$L:$L,'May 2026'!V$6)</f>
        <v>0</v>
      </c>
      <c r="W39" s="224">
        <f>COUNTIFS('2026 Time Off Request'!$A:$A,'May 2026'!$D39,'2026 Time Off Request'!$L:$L,'May 2026'!W$6)</f>
        <v>0</v>
      </c>
      <c r="X39" s="148">
        <f>COUNTIFS('2026 Time Off Request'!$A:$A,'May 2026'!$D39,'2026 Time Off Request'!$L:$L,'May 2026'!X$6)</f>
        <v>0</v>
      </c>
      <c r="Y39" s="148">
        <f>COUNTIFS('2026 Time Off Request'!$A:$A,'May 2026'!$D39,'2026 Time Off Request'!$L:$L,'May 2026'!Y$6)</f>
        <v>0</v>
      </c>
      <c r="Z39" s="148">
        <f>COUNTIFS('2026 Time Off Request'!$A:$A,'May 2026'!$D39,'2026 Time Off Request'!$L:$L,'May 2026'!Z$6)</f>
        <v>0</v>
      </c>
      <c r="AA39" s="148">
        <f>COUNTIFS('2026 Time Off Request'!$A:$A,'May 2026'!$D39,'2026 Time Off Request'!$L:$L,'May 2026'!AA$6)</f>
        <v>0</v>
      </c>
      <c r="AB39" s="147">
        <f>COUNTIFS('2026 Time Off Request'!$A:$A,'May 2026'!$D39,'2026 Time Off Request'!$L:$L,'May 2026'!AB$6)</f>
        <v>0</v>
      </c>
      <c r="AC39" s="147">
        <f>COUNTIFS('2026 Time Off Request'!$A:$A,'May 2026'!$D39,'2026 Time Off Request'!$L:$L,'May 2026'!AC$6)</f>
        <v>0</v>
      </c>
      <c r="AD39" s="148">
        <f>COUNTIFS('2026 Time Off Request'!$A:$A,'May 2026'!$D39,'2026 Time Off Request'!$L:$L,'May 2026'!AD$6)</f>
        <v>0</v>
      </c>
      <c r="AE39" s="148">
        <f>COUNTIFS('2026 Time Off Request'!$A:$A,'May 2026'!$D39,'2026 Time Off Request'!$L:$L,'May 2026'!AE$6)</f>
        <v>0</v>
      </c>
      <c r="AF39" s="148">
        <f>COUNTIFS('2026 Time Off Request'!$A:$A,'May 2026'!$D39,'2026 Time Off Request'!$L:$L,'May 2026'!AF$6)</f>
        <v>0</v>
      </c>
      <c r="AG39" s="148">
        <f>COUNTIFS('2026 Time Off Request'!$A:$A,'May 2026'!$D39,'2026 Time Off Request'!$L:$L,'May 2026'!AG$6)</f>
        <v>0</v>
      </c>
      <c r="AH39" s="148">
        <f>COUNTIFS('2026 Time Off Request'!$A:$A,'May 2026'!$D39,'2026 Time Off Request'!$L:$L,'May 2026'!AH$6)</f>
        <v>0</v>
      </c>
      <c r="AI39" s="147">
        <f>COUNTIFS('2026 Time Off Request'!$A:$A,'May 2026'!$D39,'2026 Time Off Request'!$L:$L,'May 2026'!AI$6)</f>
        <v>0</v>
      </c>
      <c r="AJ39" s="147">
        <f>COUNTIFS('2026 Time Off Request'!$A:$A,'May 2026'!$D39,'2026 Time Off Request'!$L:$L,'May 2026'!AJ$6)</f>
        <v>0</v>
      </c>
    </row>
    <row r="40" spans="1:36" ht="15.75">
      <c r="A40" s="2">
        <v>31</v>
      </c>
      <c r="B40" s="209" t="s">
        <v>49</v>
      </c>
      <c r="C40" s="210" t="s">
        <v>81</v>
      </c>
      <c r="D40" s="215" t="s">
        <v>82</v>
      </c>
      <c r="E40" s="212">
        <f t="shared" si="3"/>
        <v>0</v>
      </c>
      <c r="F40" s="223">
        <f>COUNTIFS('2026 Time Off Request'!$A:$A,'May 2026'!$D40,'2026 Time Off Request'!$L:$L,'May 2026'!F$6)</f>
        <v>0</v>
      </c>
      <c r="G40" s="147">
        <f>COUNTIFS('2026 Time Off Request'!$A:$A,'May 2026'!$D40,'2026 Time Off Request'!$L:$L,'May 2026'!G$6)</f>
        <v>0</v>
      </c>
      <c r="H40" s="147">
        <f>COUNTIFS('2026 Time Off Request'!$A:$A,'May 2026'!$D40,'2026 Time Off Request'!$L:$L,'May 2026'!H$6)</f>
        <v>0</v>
      </c>
      <c r="I40" s="148">
        <f>COUNTIFS('2026 Time Off Request'!$A:$A,'May 2026'!$D40,'2026 Time Off Request'!$L:$L,'May 2026'!I$6)</f>
        <v>0</v>
      </c>
      <c r="J40" s="148">
        <f>COUNTIFS('2026 Time Off Request'!$A:$A,'May 2026'!$D40,'2026 Time Off Request'!$L:$L,'May 2026'!J$6)</f>
        <v>0</v>
      </c>
      <c r="K40" s="148">
        <f>COUNTIFS('2026 Time Off Request'!$A:$A,'May 2026'!$D40,'2026 Time Off Request'!$L:$L,'May 2026'!K$6)</f>
        <v>0</v>
      </c>
      <c r="L40" s="148">
        <f>COUNTIFS('2026 Time Off Request'!$A:$A,'May 2026'!$D40,'2026 Time Off Request'!$L:$L,'May 2026'!L$6)</f>
        <v>0</v>
      </c>
      <c r="M40" s="148">
        <f>COUNTIFS('2026 Time Off Request'!$A:$A,'May 2026'!$D40,'2026 Time Off Request'!$L:$L,'May 2026'!M$6)</f>
        <v>0</v>
      </c>
      <c r="N40" s="147">
        <f>COUNTIFS('2026 Time Off Request'!$A:$A,'May 2026'!$D40,'2026 Time Off Request'!$L:$L,'May 2026'!N$6)</f>
        <v>0</v>
      </c>
      <c r="O40" s="147">
        <f>COUNTIFS('2026 Time Off Request'!$A:$A,'May 2026'!$D40,'2026 Time Off Request'!$L:$L,'May 2026'!O$6)</f>
        <v>0</v>
      </c>
      <c r="P40" s="148">
        <f>COUNTIFS('2026 Time Off Request'!$A:$A,'May 2026'!$D40,'2026 Time Off Request'!$L:$L,'May 2026'!P$6)</f>
        <v>0</v>
      </c>
      <c r="Q40" s="148">
        <f>COUNTIFS('2026 Time Off Request'!$A:$A,'May 2026'!$D40,'2026 Time Off Request'!$L:$L,'May 2026'!Q$6)</f>
        <v>0</v>
      </c>
      <c r="R40" s="148">
        <f>COUNTIFS('2026 Time Off Request'!$A:$A,'May 2026'!$D40,'2026 Time Off Request'!$L:$L,'May 2026'!R$6)</f>
        <v>0</v>
      </c>
      <c r="S40" s="148">
        <f>COUNTIFS('2026 Time Off Request'!$A:$A,'May 2026'!$D40,'2026 Time Off Request'!$L:$L,'May 2026'!S$6)</f>
        <v>0</v>
      </c>
      <c r="T40" s="148">
        <f>COUNTIFS('2026 Time Off Request'!$A:$A,'May 2026'!$D40,'2026 Time Off Request'!$L:$L,'May 2026'!T$6)</f>
        <v>0</v>
      </c>
      <c r="U40" s="147">
        <f>COUNTIFS('2026 Time Off Request'!$A:$A,'May 2026'!$D40,'2026 Time Off Request'!$L:$L,'May 2026'!U$6)</f>
        <v>0</v>
      </c>
      <c r="V40" s="147">
        <f>COUNTIFS('2026 Time Off Request'!$A:$A,'May 2026'!$D40,'2026 Time Off Request'!$L:$L,'May 2026'!V$6)</f>
        <v>0</v>
      </c>
      <c r="W40" s="224">
        <f>COUNTIFS('2026 Time Off Request'!$A:$A,'May 2026'!$D40,'2026 Time Off Request'!$L:$L,'May 2026'!W$6)</f>
        <v>0</v>
      </c>
      <c r="X40" s="148">
        <f>COUNTIFS('2026 Time Off Request'!$A:$A,'May 2026'!$D40,'2026 Time Off Request'!$L:$L,'May 2026'!X$6)</f>
        <v>0</v>
      </c>
      <c r="Y40" s="148">
        <f>COUNTIFS('2026 Time Off Request'!$A:$A,'May 2026'!$D40,'2026 Time Off Request'!$L:$L,'May 2026'!Y$6)</f>
        <v>0</v>
      </c>
      <c r="Z40" s="148">
        <f>COUNTIFS('2026 Time Off Request'!$A:$A,'May 2026'!$D40,'2026 Time Off Request'!$L:$L,'May 2026'!Z$6)</f>
        <v>0</v>
      </c>
      <c r="AA40" s="148">
        <f>COUNTIFS('2026 Time Off Request'!$A:$A,'May 2026'!$D40,'2026 Time Off Request'!$L:$L,'May 2026'!AA$6)</f>
        <v>0</v>
      </c>
      <c r="AB40" s="147">
        <f>COUNTIFS('2026 Time Off Request'!$A:$A,'May 2026'!$D40,'2026 Time Off Request'!$L:$L,'May 2026'!AB$6)</f>
        <v>0</v>
      </c>
      <c r="AC40" s="147">
        <f>COUNTIFS('2026 Time Off Request'!$A:$A,'May 2026'!$D40,'2026 Time Off Request'!$L:$L,'May 2026'!AC$6)</f>
        <v>0</v>
      </c>
      <c r="AD40" s="148">
        <f>COUNTIFS('2026 Time Off Request'!$A:$A,'May 2026'!$D40,'2026 Time Off Request'!$L:$L,'May 2026'!AD$6)</f>
        <v>0</v>
      </c>
      <c r="AE40" s="148">
        <f>COUNTIFS('2026 Time Off Request'!$A:$A,'May 2026'!$D40,'2026 Time Off Request'!$L:$L,'May 2026'!AE$6)</f>
        <v>0</v>
      </c>
      <c r="AF40" s="148">
        <f>COUNTIFS('2026 Time Off Request'!$A:$A,'May 2026'!$D40,'2026 Time Off Request'!$L:$L,'May 2026'!AF$6)</f>
        <v>0</v>
      </c>
      <c r="AG40" s="148">
        <f>COUNTIFS('2026 Time Off Request'!$A:$A,'May 2026'!$D40,'2026 Time Off Request'!$L:$L,'May 2026'!AG$6)</f>
        <v>0</v>
      </c>
      <c r="AH40" s="148">
        <f>COUNTIFS('2026 Time Off Request'!$A:$A,'May 2026'!$D40,'2026 Time Off Request'!$L:$L,'May 2026'!AH$6)</f>
        <v>0</v>
      </c>
      <c r="AI40" s="147">
        <f>COUNTIFS('2026 Time Off Request'!$A:$A,'May 2026'!$D40,'2026 Time Off Request'!$L:$L,'May 2026'!AI$6)</f>
        <v>0</v>
      </c>
      <c r="AJ40" s="147">
        <f>COUNTIFS('2026 Time Off Request'!$A:$A,'May 2026'!$D40,'2026 Time Off Request'!$L:$L,'May 2026'!AJ$6)</f>
        <v>0</v>
      </c>
    </row>
    <row r="41" spans="1:36" ht="15.75">
      <c r="A41" s="2">
        <v>32</v>
      </c>
      <c r="B41" s="209" t="s">
        <v>45</v>
      </c>
      <c r="C41" s="210" t="s">
        <v>83</v>
      </c>
      <c r="D41" s="215" t="s">
        <v>84</v>
      </c>
      <c r="E41" s="212">
        <f t="shared" si="3"/>
        <v>0</v>
      </c>
      <c r="F41" s="223">
        <f>COUNTIFS('2026 Time Off Request'!$A:$A,'May 2026'!$D41,'2026 Time Off Request'!$L:$L,'May 2026'!F$6)</f>
        <v>0</v>
      </c>
      <c r="G41" s="147">
        <f>COUNTIFS('2026 Time Off Request'!$A:$A,'May 2026'!$D41,'2026 Time Off Request'!$L:$L,'May 2026'!G$6)</f>
        <v>0</v>
      </c>
      <c r="H41" s="147">
        <f>COUNTIFS('2026 Time Off Request'!$A:$A,'May 2026'!$D41,'2026 Time Off Request'!$L:$L,'May 2026'!H$6)</f>
        <v>0</v>
      </c>
      <c r="I41" s="148">
        <f>COUNTIFS('2026 Time Off Request'!$A:$A,'May 2026'!$D41,'2026 Time Off Request'!$L:$L,'May 2026'!I$6)</f>
        <v>0</v>
      </c>
      <c r="J41" s="148">
        <f>COUNTIFS('2026 Time Off Request'!$A:$A,'May 2026'!$D41,'2026 Time Off Request'!$L:$L,'May 2026'!J$6)</f>
        <v>0</v>
      </c>
      <c r="K41" s="148">
        <f>COUNTIFS('2026 Time Off Request'!$A:$A,'May 2026'!$D41,'2026 Time Off Request'!$L:$L,'May 2026'!K$6)</f>
        <v>0</v>
      </c>
      <c r="L41" s="148">
        <f>COUNTIFS('2026 Time Off Request'!$A:$A,'May 2026'!$D41,'2026 Time Off Request'!$L:$L,'May 2026'!L$6)</f>
        <v>0</v>
      </c>
      <c r="M41" s="148">
        <f>COUNTIFS('2026 Time Off Request'!$A:$A,'May 2026'!$D41,'2026 Time Off Request'!$L:$L,'May 2026'!M$6)</f>
        <v>0</v>
      </c>
      <c r="N41" s="147">
        <f>COUNTIFS('2026 Time Off Request'!$A:$A,'May 2026'!$D41,'2026 Time Off Request'!$L:$L,'May 2026'!N$6)</f>
        <v>0</v>
      </c>
      <c r="O41" s="147">
        <f>COUNTIFS('2026 Time Off Request'!$A:$A,'May 2026'!$D41,'2026 Time Off Request'!$L:$L,'May 2026'!O$6)</f>
        <v>0</v>
      </c>
      <c r="P41" s="148">
        <f>COUNTIFS('2026 Time Off Request'!$A:$A,'May 2026'!$D41,'2026 Time Off Request'!$L:$L,'May 2026'!P$6)</f>
        <v>0</v>
      </c>
      <c r="Q41" s="148">
        <f>COUNTIFS('2026 Time Off Request'!$A:$A,'May 2026'!$D41,'2026 Time Off Request'!$L:$L,'May 2026'!Q$6)</f>
        <v>0</v>
      </c>
      <c r="R41" s="148">
        <f>COUNTIFS('2026 Time Off Request'!$A:$A,'May 2026'!$D41,'2026 Time Off Request'!$L:$L,'May 2026'!R$6)</f>
        <v>0</v>
      </c>
      <c r="S41" s="148">
        <f>COUNTIFS('2026 Time Off Request'!$A:$A,'May 2026'!$D41,'2026 Time Off Request'!$L:$L,'May 2026'!S$6)</f>
        <v>0</v>
      </c>
      <c r="T41" s="148">
        <f>COUNTIFS('2026 Time Off Request'!$A:$A,'May 2026'!$D41,'2026 Time Off Request'!$L:$L,'May 2026'!T$6)</f>
        <v>0</v>
      </c>
      <c r="U41" s="147">
        <f>COUNTIFS('2026 Time Off Request'!$A:$A,'May 2026'!$D41,'2026 Time Off Request'!$L:$L,'May 2026'!U$6)</f>
        <v>0</v>
      </c>
      <c r="V41" s="147">
        <f>COUNTIFS('2026 Time Off Request'!$A:$A,'May 2026'!$D41,'2026 Time Off Request'!$L:$L,'May 2026'!V$6)</f>
        <v>0</v>
      </c>
      <c r="W41" s="224">
        <f>COUNTIFS('2026 Time Off Request'!$A:$A,'May 2026'!$D41,'2026 Time Off Request'!$L:$L,'May 2026'!W$6)</f>
        <v>0</v>
      </c>
      <c r="X41" s="148">
        <f>COUNTIFS('2026 Time Off Request'!$A:$A,'May 2026'!$D41,'2026 Time Off Request'!$L:$L,'May 2026'!X$6)</f>
        <v>0</v>
      </c>
      <c r="Y41" s="148">
        <f>COUNTIFS('2026 Time Off Request'!$A:$A,'May 2026'!$D41,'2026 Time Off Request'!$L:$L,'May 2026'!Y$6)</f>
        <v>0</v>
      </c>
      <c r="Z41" s="148">
        <f>COUNTIFS('2026 Time Off Request'!$A:$A,'May 2026'!$D41,'2026 Time Off Request'!$L:$L,'May 2026'!Z$6)</f>
        <v>0</v>
      </c>
      <c r="AA41" s="148">
        <f>COUNTIFS('2026 Time Off Request'!$A:$A,'May 2026'!$D41,'2026 Time Off Request'!$L:$L,'May 2026'!AA$6)</f>
        <v>0</v>
      </c>
      <c r="AB41" s="147">
        <f>COUNTIFS('2026 Time Off Request'!$A:$A,'May 2026'!$D41,'2026 Time Off Request'!$L:$L,'May 2026'!AB$6)</f>
        <v>0</v>
      </c>
      <c r="AC41" s="147">
        <f>COUNTIFS('2026 Time Off Request'!$A:$A,'May 2026'!$D41,'2026 Time Off Request'!$L:$L,'May 2026'!AC$6)</f>
        <v>0</v>
      </c>
      <c r="AD41" s="148">
        <f>COUNTIFS('2026 Time Off Request'!$A:$A,'May 2026'!$D41,'2026 Time Off Request'!$L:$L,'May 2026'!AD$6)</f>
        <v>0</v>
      </c>
      <c r="AE41" s="148">
        <f>COUNTIFS('2026 Time Off Request'!$A:$A,'May 2026'!$D41,'2026 Time Off Request'!$L:$L,'May 2026'!AE$6)</f>
        <v>0</v>
      </c>
      <c r="AF41" s="148">
        <f>COUNTIFS('2026 Time Off Request'!$A:$A,'May 2026'!$D41,'2026 Time Off Request'!$L:$L,'May 2026'!AF$6)</f>
        <v>0</v>
      </c>
      <c r="AG41" s="148">
        <f>COUNTIFS('2026 Time Off Request'!$A:$A,'May 2026'!$D41,'2026 Time Off Request'!$L:$L,'May 2026'!AG$6)</f>
        <v>0</v>
      </c>
      <c r="AH41" s="148">
        <f>COUNTIFS('2026 Time Off Request'!$A:$A,'May 2026'!$D41,'2026 Time Off Request'!$L:$L,'May 2026'!AH$6)</f>
        <v>0</v>
      </c>
      <c r="AI41" s="147">
        <f>COUNTIFS('2026 Time Off Request'!$A:$A,'May 2026'!$D41,'2026 Time Off Request'!$L:$L,'May 2026'!AI$6)</f>
        <v>0</v>
      </c>
      <c r="AJ41" s="147">
        <f>COUNTIFS('2026 Time Off Request'!$A:$A,'May 2026'!$D41,'2026 Time Off Request'!$L:$L,'May 2026'!AJ$6)</f>
        <v>0</v>
      </c>
    </row>
    <row r="42" spans="1:36" ht="15.75">
      <c r="A42" s="2">
        <v>33</v>
      </c>
      <c r="B42" s="209" t="s">
        <v>45</v>
      </c>
      <c r="C42" s="210" t="s">
        <v>85</v>
      </c>
      <c r="D42" s="215" t="s">
        <v>86</v>
      </c>
      <c r="E42" s="212">
        <f t="shared" si="3"/>
        <v>0</v>
      </c>
      <c r="F42" s="223">
        <f>COUNTIFS('2026 Time Off Request'!$A:$A,'May 2026'!$D42,'2026 Time Off Request'!$L:$L,'May 2026'!F$6)</f>
        <v>0</v>
      </c>
      <c r="G42" s="147">
        <f>COUNTIFS('2026 Time Off Request'!$A:$A,'May 2026'!$D42,'2026 Time Off Request'!$L:$L,'May 2026'!G$6)</f>
        <v>0</v>
      </c>
      <c r="H42" s="147">
        <f>COUNTIFS('2026 Time Off Request'!$A:$A,'May 2026'!$D42,'2026 Time Off Request'!$L:$L,'May 2026'!H$6)</f>
        <v>0</v>
      </c>
      <c r="I42" s="148">
        <f>COUNTIFS('2026 Time Off Request'!$A:$A,'May 2026'!$D42,'2026 Time Off Request'!$L:$L,'May 2026'!I$6)</f>
        <v>0</v>
      </c>
      <c r="J42" s="148">
        <f>COUNTIFS('2026 Time Off Request'!$A:$A,'May 2026'!$D42,'2026 Time Off Request'!$L:$L,'May 2026'!J$6)</f>
        <v>0</v>
      </c>
      <c r="K42" s="148">
        <f>COUNTIFS('2026 Time Off Request'!$A:$A,'May 2026'!$D42,'2026 Time Off Request'!$L:$L,'May 2026'!K$6)</f>
        <v>0</v>
      </c>
      <c r="L42" s="148">
        <f>COUNTIFS('2026 Time Off Request'!$A:$A,'May 2026'!$D42,'2026 Time Off Request'!$L:$L,'May 2026'!L$6)</f>
        <v>0</v>
      </c>
      <c r="M42" s="148">
        <f>COUNTIFS('2026 Time Off Request'!$A:$A,'May 2026'!$D42,'2026 Time Off Request'!$L:$L,'May 2026'!M$6)</f>
        <v>0</v>
      </c>
      <c r="N42" s="147">
        <f>COUNTIFS('2026 Time Off Request'!$A:$A,'May 2026'!$D42,'2026 Time Off Request'!$L:$L,'May 2026'!N$6)</f>
        <v>0</v>
      </c>
      <c r="O42" s="147">
        <f>COUNTIFS('2026 Time Off Request'!$A:$A,'May 2026'!$D42,'2026 Time Off Request'!$L:$L,'May 2026'!O$6)</f>
        <v>0</v>
      </c>
      <c r="P42" s="148">
        <f>COUNTIFS('2026 Time Off Request'!$A:$A,'May 2026'!$D42,'2026 Time Off Request'!$L:$L,'May 2026'!P$6)</f>
        <v>0</v>
      </c>
      <c r="Q42" s="148">
        <f>COUNTIFS('2026 Time Off Request'!$A:$A,'May 2026'!$D42,'2026 Time Off Request'!$L:$L,'May 2026'!Q$6)</f>
        <v>0</v>
      </c>
      <c r="R42" s="148">
        <f>COUNTIFS('2026 Time Off Request'!$A:$A,'May 2026'!$D42,'2026 Time Off Request'!$L:$L,'May 2026'!R$6)</f>
        <v>0</v>
      </c>
      <c r="S42" s="148">
        <f>COUNTIFS('2026 Time Off Request'!$A:$A,'May 2026'!$D42,'2026 Time Off Request'!$L:$L,'May 2026'!S$6)</f>
        <v>0</v>
      </c>
      <c r="T42" s="148">
        <f>COUNTIFS('2026 Time Off Request'!$A:$A,'May 2026'!$D42,'2026 Time Off Request'!$L:$L,'May 2026'!T$6)</f>
        <v>0</v>
      </c>
      <c r="U42" s="147">
        <f>COUNTIFS('2026 Time Off Request'!$A:$A,'May 2026'!$D42,'2026 Time Off Request'!$L:$L,'May 2026'!U$6)</f>
        <v>0</v>
      </c>
      <c r="V42" s="147">
        <f>COUNTIFS('2026 Time Off Request'!$A:$A,'May 2026'!$D42,'2026 Time Off Request'!$L:$L,'May 2026'!V$6)</f>
        <v>0</v>
      </c>
      <c r="W42" s="224">
        <f>COUNTIFS('2026 Time Off Request'!$A:$A,'May 2026'!$D42,'2026 Time Off Request'!$L:$L,'May 2026'!W$6)</f>
        <v>0</v>
      </c>
      <c r="X42" s="148">
        <f>COUNTIFS('2026 Time Off Request'!$A:$A,'May 2026'!$D42,'2026 Time Off Request'!$L:$L,'May 2026'!X$6)</f>
        <v>0</v>
      </c>
      <c r="Y42" s="148">
        <f>COUNTIFS('2026 Time Off Request'!$A:$A,'May 2026'!$D42,'2026 Time Off Request'!$L:$L,'May 2026'!Y$6)</f>
        <v>0</v>
      </c>
      <c r="Z42" s="148">
        <f>COUNTIFS('2026 Time Off Request'!$A:$A,'May 2026'!$D42,'2026 Time Off Request'!$L:$L,'May 2026'!Z$6)</f>
        <v>0</v>
      </c>
      <c r="AA42" s="148">
        <f>COUNTIFS('2026 Time Off Request'!$A:$A,'May 2026'!$D42,'2026 Time Off Request'!$L:$L,'May 2026'!AA$6)</f>
        <v>0</v>
      </c>
      <c r="AB42" s="147">
        <f>COUNTIFS('2026 Time Off Request'!$A:$A,'May 2026'!$D42,'2026 Time Off Request'!$L:$L,'May 2026'!AB$6)</f>
        <v>0</v>
      </c>
      <c r="AC42" s="147">
        <f>COUNTIFS('2026 Time Off Request'!$A:$A,'May 2026'!$D42,'2026 Time Off Request'!$L:$L,'May 2026'!AC$6)</f>
        <v>0</v>
      </c>
      <c r="AD42" s="148">
        <f>COUNTIFS('2026 Time Off Request'!$A:$A,'May 2026'!$D42,'2026 Time Off Request'!$L:$L,'May 2026'!AD$6)</f>
        <v>0</v>
      </c>
      <c r="AE42" s="148">
        <f>COUNTIFS('2026 Time Off Request'!$A:$A,'May 2026'!$D42,'2026 Time Off Request'!$L:$L,'May 2026'!AE$6)</f>
        <v>0</v>
      </c>
      <c r="AF42" s="148">
        <f>COUNTIFS('2026 Time Off Request'!$A:$A,'May 2026'!$D42,'2026 Time Off Request'!$L:$L,'May 2026'!AF$6)</f>
        <v>0</v>
      </c>
      <c r="AG42" s="148">
        <f>COUNTIFS('2026 Time Off Request'!$A:$A,'May 2026'!$D42,'2026 Time Off Request'!$L:$L,'May 2026'!AG$6)</f>
        <v>0</v>
      </c>
      <c r="AH42" s="148">
        <f>COUNTIFS('2026 Time Off Request'!$A:$A,'May 2026'!$D42,'2026 Time Off Request'!$L:$L,'May 2026'!AH$6)</f>
        <v>0</v>
      </c>
      <c r="AI42" s="147">
        <f>COUNTIFS('2026 Time Off Request'!$A:$A,'May 2026'!$D42,'2026 Time Off Request'!$L:$L,'May 2026'!AI$6)</f>
        <v>0</v>
      </c>
      <c r="AJ42" s="147">
        <f>COUNTIFS('2026 Time Off Request'!$A:$A,'May 2026'!$D42,'2026 Time Off Request'!$L:$L,'May 2026'!AJ$6)</f>
        <v>0</v>
      </c>
    </row>
    <row r="43" spans="1:36" ht="15.75">
      <c r="A43" s="2">
        <v>34</v>
      </c>
      <c r="B43" s="209" t="s">
        <v>45</v>
      </c>
      <c r="C43" s="210" t="s">
        <v>87</v>
      </c>
      <c r="D43" s="215" t="s">
        <v>88</v>
      </c>
      <c r="E43" s="212">
        <f t="shared" si="3"/>
        <v>0</v>
      </c>
      <c r="F43" s="223">
        <f>COUNTIFS('2026 Time Off Request'!$A:$A,'May 2026'!$D43,'2026 Time Off Request'!$L:$L,'May 2026'!F$6)</f>
        <v>0</v>
      </c>
      <c r="G43" s="147">
        <f>COUNTIFS('2026 Time Off Request'!$A:$A,'May 2026'!$D43,'2026 Time Off Request'!$L:$L,'May 2026'!G$6)</f>
        <v>0</v>
      </c>
      <c r="H43" s="147">
        <f>COUNTIFS('2026 Time Off Request'!$A:$A,'May 2026'!$D43,'2026 Time Off Request'!$L:$L,'May 2026'!H$6)</f>
        <v>0</v>
      </c>
      <c r="I43" s="148">
        <f>COUNTIFS('2026 Time Off Request'!$A:$A,'May 2026'!$D43,'2026 Time Off Request'!$L:$L,'May 2026'!I$6)</f>
        <v>0</v>
      </c>
      <c r="J43" s="148">
        <f>COUNTIFS('2026 Time Off Request'!$A:$A,'May 2026'!$D43,'2026 Time Off Request'!$L:$L,'May 2026'!J$6)</f>
        <v>0</v>
      </c>
      <c r="K43" s="148">
        <f>COUNTIFS('2026 Time Off Request'!$A:$A,'May 2026'!$D43,'2026 Time Off Request'!$L:$L,'May 2026'!K$6)</f>
        <v>0</v>
      </c>
      <c r="L43" s="148">
        <f>COUNTIFS('2026 Time Off Request'!$A:$A,'May 2026'!$D43,'2026 Time Off Request'!$L:$L,'May 2026'!L$6)</f>
        <v>0</v>
      </c>
      <c r="M43" s="148">
        <f>COUNTIFS('2026 Time Off Request'!$A:$A,'May 2026'!$D43,'2026 Time Off Request'!$L:$L,'May 2026'!M$6)</f>
        <v>0</v>
      </c>
      <c r="N43" s="147">
        <f>COUNTIFS('2026 Time Off Request'!$A:$A,'May 2026'!$D43,'2026 Time Off Request'!$L:$L,'May 2026'!N$6)</f>
        <v>0</v>
      </c>
      <c r="O43" s="147">
        <f>COUNTIFS('2026 Time Off Request'!$A:$A,'May 2026'!$D43,'2026 Time Off Request'!$L:$L,'May 2026'!O$6)</f>
        <v>0</v>
      </c>
      <c r="P43" s="148">
        <f>COUNTIFS('2026 Time Off Request'!$A:$A,'May 2026'!$D43,'2026 Time Off Request'!$L:$L,'May 2026'!P$6)</f>
        <v>0</v>
      </c>
      <c r="Q43" s="148">
        <f>COUNTIFS('2026 Time Off Request'!$A:$A,'May 2026'!$D43,'2026 Time Off Request'!$L:$L,'May 2026'!Q$6)</f>
        <v>0</v>
      </c>
      <c r="R43" s="148">
        <f>COUNTIFS('2026 Time Off Request'!$A:$A,'May 2026'!$D43,'2026 Time Off Request'!$L:$L,'May 2026'!R$6)</f>
        <v>0</v>
      </c>
      <c r="S43" s="148">
        <f>COUNTIFS('2026 Time Off Request'!$A:$A,'May 2026'!$D43,'2026 Time Off Request'!$L:$L,'May 2026'!S$6)</f>
        <v>0</v>
      </c>
      <c r="T43" s="148">
        <f>COUNTIFS('2026 Time Off Request'!$A:$A,'May 2026'!$D43,'2026 Time Off Request'!$L:$L,'May 2026'!T$6)</f>
        <v>0</v>
      </c>
      <c r="U43" s="147">
        <f>COUNTIFS('2026 Time Off Request'!$A:$A,'May 2026'!$D43,'2026 Time Off Request'!$L:$L,'May 2026'!U$6)</f>
        <v>0</v>
      </c>
      <c r="V43" s="147">
        <f>COUNTIFS('2026 Time Off Request'!$A:$A,'May 2026'!$D43,'2026 Time Off Request'!$L:$L,'May 2026'!V$6)</f>
        <v>0</v>
      </c>
      <c r="W43" s="224">
        <f>COUNTIFS('2026 Time Off Request'!$A:$A,'May 2026'!$D43,'2026 Time Off Request'!$L:$L,'May 2026'!W$6)</f>
        <v>0</v>
      </c>
      <c r="X43" s="148">
        <f>COUNTIFS('2026 Time Off Request'!$A:$A,'May 2026'!$D43,'2026 Time Off Request'!$L:$L,'May 2026'!X$6)</f>
        <v>0</v>
      </c>
      <c r="Y43" s="148">
        <f>COUNTIFS('2026 Time Off Request'!$A:$A,'May 2026'!$D43,'2026 Time Off Request'!$L:$L,'May 2026'!Y$6)</f>
        <v>0</v>
      </c>
      <c r="Z43" s="148">
        <f>COUNTIFS('2026 Time Off Request'!$A:$A,'May 2026'!$D43,'2026 Time Off Request'!$L:$L,'May 2026'!Z$6)</f>
        <v>0</v>
      </c>
      <c r="AA43" s="148">
        <f>COUNTIFS('2026 Time Off Request'!$A:$A,'May 2026'!$D43,'2026 Time Off Request'!$L:$L,'May 2026'!AA$6)</f>
        <v>0</v>
      </c>
      <c r="AB43" s="147">
        <f>COUNTIFS('2026 Time Off Request'!$A:$A,'May 2026'!$D43,'2026 Time Off Request'!$L:$L,'May 2026'!AB$6)</f>
        <v>0</v>
      </c>
      <c r="AC43" s="147">
        <f>COUNTIFS('2026 Time Off Request'!$A:$A,'May 2026'!$D43,'2026 Time Off Request'!$L:$L,'May 2026'!AC$6)</f>
        <v>0</v>
      </c>
      <c r="AD43" s="148">
        <f>COUNTIFS('2026 Time Off Request'!$A:$A,'May 2026'!$D43,'2026 Time Off Request'!$L:$L,'May 2026'!AD$6)</f>
        <v>0</v>
      </c>
      <c r="AE43" s="148">
        <f>COUNTIFS('2026 Time Off Request'!$A:$A,'May 2026'!$D43,'2026 Time Off Request'!$L:$L,'May 2026'!AE$6)</f>
        <v>0</v>
      </c>
      <c r="AF43" s="148">
        <f>COUNTIFS('2026 Time Off Request'!$A:$A,'May 2026'!$D43,'2026 Time Off Request'!$L:$L,'May 2026'!AF$6)</f>
        <v>0</v>
      </c>
      <c r="AG43" s="148">
        <f>COUNTIFS('2026 Time Off Request'!$A:$A,'May 2026'!$D43,'2026 Time Off Request'!$L:$L,'May 2026'!AG$6)</f>
        <v>0</v>
      </c>
      <c r="AH43" s="148">
        <f>COUNTIFS('2026 Time Off Request'!$A:$A,'May 2026'!$D43,'2026 Time Off Request'!$L:$L,'May 2026'!AH$6)</f>
        <v>0</v>
      </c>
      <c r="AI43" s="147">
        <f>COUNTIFS('2026 Time Off Request'!$A:$A,'May 2026'!$D43,'2026 Time Off Request'!$L:$L,'May 2026'!AI$6)</f>
        <v>0</v>
      </c>
      <c r="AJ43" s="147">
        <f>COUNTIFS('2026 Time Off Request'!$A:$A,'May 2026'!$D43,'2026 Time Off Request'!$L:$L,'May 2026'!AJ$6)</f>
        <v>0</v>
      </c>
    </row>
    <row r="44" spans="1:36" ht="15.75">
      <c r="A44" s="2">
        <v>35</v>
      </c>
      <c r="B44" s="209" t="s">
        <v>45</v>
      </c>
      <c r="C44" s="210" t="s">
        <v>89</v>
      </c>
      <c r="D44" s="215" t="s">
        <v>90</v>
      </c>
      <c r="E44" s="212">
        <f t="shared" si="3"/>
        <v>0</v>
      </c>
      <c r="F44" s="223">
        <f>COUNTIFS('2026 Time Off Request'!$A:$A,'May 2026'!$D44,'2026 Time Off Request'!$L:$L,'May 2026'!F$6)</f>
        <v>0</v>
      </c>
      <c r="G44" s="147">
        <f>COUNTIFS('2026 Time Off Request'!$A:$A,'May 2026'!$D44,'2026 Time Off Request'!$L:$L,'May 2026'!G$6)</f>
        <v>0</v>
      </c>
      <c r="H44" s="147">
        <f>COUNTIFS('2026 Time Off Request'!$A:$A,'May 2026'!$D44,'2026 Time Off Request'!$L:$L,'May 2026'!H$6)</f>
        <v>0</v>
      </c>
      <c r="I44" s="148">
        <f>COUNTIFS('2026 Time Off Request'!$A:$A,'May 2026'!$D44,'2026 Time Off Request'!$L:$L,'May 2026'!I$6)</f>
        <v>0</v>
      </c>
      <c r="J44" s="148">
        <f>COUNTIFS('2026 Time Off Request'!$A:$A,'May 2026'!$D44,'2026 Time Off Request'!$L:$L,'May 2026'!J$6)</f>
        <v>0</v>
      </c>
      <c r="K44" s="148">
        <f>COUNTIFS('2026 Time Off Request'!$A:$A,'May 2026'!$D44,'2026 Time Off Request'!$L:$L,'May 2026'!K$6)</f>
        <v>0</v>
      </c>
      <c r="L44" s="148">
        <f>COUNTIFS('2026 Time Off Request'!$A:$A,'May 2026'!$D44,'2026 Time Off Request'!$L:$L,'May 2026'!L$6)</f>
        <v>0</v>
      </c>
      <c r="M44" s="148">
        <f>COUNTIFS('2026 Time Off Request'!$A:$A,'May 2026'!$D44,'2026 Time Off Request'!$L:$L,'May 2026'!M$6)</f>
        <v>0</v>
      </c>
      <c r="N44" s="147">
        <f>COUNTIFS('2026 Time Off Request'!$A:$A,'May 2026'!$D44,'2026 Time Off Request'!$L:$L,'May 2026'!N$6)</f>
        <v>0</v>
      </c>
      <c r="O44" s="147">
        <f>COUNTIFS('2026 Time Off Request'!$A:$A,'May 2026'!$D44,'2026 Time Off Request'!$L:$L,'May 2026'!O$6)</f>
        <v>0</v>
      </c>
      <c r="P44" s="148">
        <f>COUNTIFS('2026 Time Off Request'!$A:$A,'May 2026'!$D44,'2026 Time Off Request'!$L:$L,'May 2026'!P$6)</f>
        <v>0</v>
      </c>
      <c r="Q44" s="148">
        <f>COUNTIFS('2026 Time Off Request'!$A:$A,'May 2026'!$D44,'2026 Time Off Request'!$L:$L,'May 2026'!Q$6)</f>
        <v>0</v>
      </c>
      <c r="R44" s="148">
        <f>COUNTIFS('2026 Time Off Request'!$A:$A,'May 2026'!$D44,'2026 Time Off Request'!$L:$L,'May 2026'!R$6)</f>
        <v>0</v>
      </c>
      <c r="S44" s="148">
        <f>COUNTIFS('2026 Time Off Request'!$A:$A,'May 2026'!$D44,'2026 Time Off Request'!$L:$L,'May 2026'!S$6)</f>
        <v>0</v>
      </c>
      <c r="T44" s="148">
        <f>COUNTIFS('2026 Time Off Request'!$A:$A,'May 2026'!$D44,'2026 Time Off Request'!$L:$L,'May 2026'!T$6)</f>
        <v>0</v>
      </c>
      <c r="U44" s="147">
        <f>COUNTIFS('2026 Time Off Request'!$A:$A,'May 2026'!$D44,'2026 Time Off Request'!$L:$L,'May 2026'!U$6)</f>
        <v>0</v>
      </c>
      <c r="V44" s="147">
        <f>COUNTIFS('2026 Time Off Request'!$A:$A,'May 2026'!$D44,'2026 Time Off Request'!$L:$L,'May 2026'!V$6)</f>
        <v>0</v>
      </c>
      <c r="W44" s="224">
        <f>COUNTIFS('2026 Time Off Request'!$A:$A,'May 2026'!$D44,'2026 Time Off Request'!$L:$L,'May 2026'!W$6)</f>
        <v>0</v>
      </c>
      <c r="X44" s="148">
        <f>COUNTIFS('2026 Time Off Request'!$A:$A,'May 2026'!$D44,'2026 Time Off Request'!$L:$L,'May 2026'!X$6)</f>
        <v>0</v>
      </c>
      <c r="Y44" s="148">
        <f>COUNTIFS('2026 Time Off Request'!$A:$A,'May 2026'!$D44,'2026 Time Off Request'!$L:$L,'May 2026'!Y$6)</f>
        <v>0</v>
      </c>
      <c r="Z44" s="148">
        <f>COUNTIFS('2026 Time Off Request'!$A:$A,'May 2026'!$D44,'2026 Time Off Request'!$L:$L,'May 2026'!Z$6)</f>
        <v>0</v>
      </c>
      <c r="AA44" s="148">
        <f>COUNTIFS('2026 Time Off Request'!$A:$A,'May 2026'!$D44,'2026 Time Off Request'!$L:$L,'May 2026'!AA$6)</f>
        <v>0</v>
      </c>
      <c r="AB44" s="147">
        <f>COUNTIFS('2026 Time Off Request'!$A:$A,'May 2026'!$D44,'2026 Time Off Request'!$L:$L,'May 2026'!AB$6)</f>
        <v>0</v>
      </c>
      <c r="AC44" s="147">
        <f>COUNTIFS('2026 Time Off Request'!$A:$A,'May 2026'!$D44,'2026 Time Off Request'!$L:$L,'May 2026'!AC$6)</f>
        <v>0</v>
      </c>
      <c r="AD44" s="148">
        <f>COUNTIFS('2026 Time Off Request'!$A:$A,'May 2026'!$D44,'2026 Time Off Request'!$L:$L,'May 2026'!AD$6)</f>
        <v>0</v>
      </c>
      <c r="AE44" s="148">
        <f>COUNTIFS('2026 Time Off Request'!$A:$A,'May 2026'!$D44,'2026 Time Off Request'!$L:$L,'May 2026'!AE$6)</f>
        <v>0</v>
      </c>
      <c r="AF44" s="148">
        <f>COUNTIFS('2026 Time Off Request'!$A:$A,'May 2026'!$D44,'2026 Time Off Request'!$L:$L,'May 2026'!AF$6)</f>
        <v>0</v>
      </c>
      <c r="AG44" s="148">
        <f>COUNTIFS('2026 Time Off Request'!$A:$A,'May 2026'!$D44,'2026 Time Off Request'!$L:$L,'May 2026'!AG$6)</f>
        <v>0</v>
      </c>
      <c r="AH44" s="148">
        <f>COUNTIFS('2026 Time Off Request'!$A:$A,'May 2026'!$D44,'2026 Time Off Request'!$L:$L,'May 2026'!AH$6)</f>
        <v>0</v>
      </c>
      <c r="AI44" s="147">
        <f>COUNTIFS('2026 Time Off Request'!$A:$A,'May 2026'!$D44,'2026 Time Off Request'!$L:$L,'May 2026'!AI$6)</f>
        <v>0</v>
      </c>
      <c r="AJ44" s="147">
        <f>COUNTIFS('2026 Time Off Request'!$A:$A,'May 2026'!$D44,'2026 Time Off Request'!$L:$L,'May 2026'!AJ$6)</f>
        <v>0</v>
      </c>
    </row>
    <row r="45" spans="1:36" ht="15.75">
      <c r="A45" s="2">
        <v>36</v>
      </c>
      <c r="B45" s="209" t="s">
        <v>45</v>
      </c>
      <c r="C45" s="210" t="s">
        <v>89</v>
      </c>
      <c r="D45" s="215" t="s">
        <v>91</v>
      </c>
      <c r="E45" s="212">
        <f t="shared" si="3"/>
        <v>0</v>
      </c>
      <c r="F45" s="223">
        <f>COUNTIFS('2026 Time Off Request'!$A:$A,'May 2026'!$D45,'2026 Time Off Request'!$L:$L,'May 2026'!F$6)</f>
        <v>0</v>
      </c>
      <c r="G45" s="147">
        <f>COUNTIFS('2026 Time Off Request'!$A:$A,'May 2026'!$D45,'2026 Time Off Request'!$L:$L,'May 2026'!G$6)</f>
        <v>0</v>
      </c>
      <c r="H45" s="147">
        <f>COUNTIFS('2026 Time Off Request'!$A:$A,'May 2026'!$D45,'2026 Time Off Request'!$L:$L,'May 2026'!H$6)</f>
        <v>0</v>
      </c>
      <c r="I45" s="148">
        <f>COUNTIFS('2026 Time Off Request'!$A:$A,'May 2026'!$D45,'2026 Time Off Request'!$L:$L,'May 2026'!I$6)</f>
        <v>0</v>
      </c>
      <c r="J45" s="148">
        <f>COUNTIFS('2026 Time Off Request'!$A:$A,'May 2026'!$D45,'2026 Time Off Request'!$L:$L,'May 2026'!J$6)</f>
        <v>0</v>
      </c>
      <c r="K45" s="148">
        <f>COUNTIFS('2026 Time Off Request'!$A:$A,'May 2026'!$D45,'2026 Time Off Request'!$L:$L,'May 2026'!K$6)</f>
        <v>0</v>
      </c>
      <c r="L45" s="148">
        <f>COUNTIFS('2026 Time Off Request'!$A:$A,'May 2026'!$D45,'2026 Time Off Request'!$L:$L,'May 2026'!L$6)</f>
        <v>0</v>
      </c>
      <c r="M45" s="148">
        <f>COUNTIFS('2026 Time Off Request'!$A:$A,'May 2026'!$D45,'2026 Time Off Request'!$L:$L,'May 2026'!M$6)</f>
        <v>0</v>
      </c>
      <c r="N45" s="147">
        <f>COUNTIFS('2026 Time Off Request'!$A:$A,'May 2026'!$D45,'2026 Time Off Request'!$L:$L,'May 2026'!N$6)</f>
        <v>0</v>
      </c>
      <c r="O45" s="147">
        <f>COUNTIFS('2026 Time Off Request'!$A:$A,'May 2026'!$D45,'2026 Time Off Request'!$L:$L,'May 2026'!O$6)</f>
        <v>0</v>
      </c>
      <c r="P45" s="148">
        <f>COUNTIFS('2026 Time Off Request'!$A:$A,'May 2026'!$D45,'2026 Time Off Request'!$L:$L,'May 2026'!P$6)</f>
        <v>0</v>
      </c>
      <c r="Q45" s="148">
        <f>COUNTIFS('2026 Time Off Request'!$A:$A,'May 2026'!$D45,'2026 Time Off Request'!$L:$L,'May 2026'!Q$6)</f>
        <v>0</v>
      </c>
      <c r="R45" s="148">
        <f>COUNTIFS('2026 Time Off Request'!$A:$A,'May 2026'!$D45,'2026 Time Off Request'!$L:$L,'May 2026'!R$6)</f>
        <v>0</v>
      </c>
      <c r="S45" s="148">
        <f>COUNTIFS('2026 Time Off Request'!$A:$A,'May 2026'!$D45,'2026 Time Off Request'!$L:$L,'May 2026'!S$6)</f>
        <v>0</v>
      </c>
      <c r="T45" s="148">
        <f>COUNTIFS('2026 Time Off Request'!$A:$A,'May 2026'!$D45,'2026 Time Off Request'!$L:$L,'May 2026'!T$6)</f>
        <v>0</v>
      </c>
      <c r="U45" s="147">
        <f>COUNTIFS('2026 Time Off Request'!$A:$A,'May 2026'!$D45,'2026 Time Off Request'!$L:$L,'May 2026'!U$6)</f>
        <v>0</v>
      </c>
      <c r="V45" s="147">
        <f>COUNTIFS('2026 Time Off Request'!$A:$A,'May 2026'!$D45,'2026 Time Off Request'!$L:$L,'May 2026'!V$6)</f>
        <v>0</v>
      </c>
      <c r="W45" s="224">
        <f>COUNTIFS('2026 Time Off Request'!$A:$A,'May 2026'!$D45,'2026 Time Off Request'!$L:$L,'May 2026'!W$6)</f>
        <v>0</v>
      </c>
      <c r="X45" s="148">
        <f>COUNTIFS('2026 Time Off Request'!$A:$A,'May 2026'!$D45,'2026 Time Off Request'!$L:$L,'May 2026'!X$6)</f>
        <v>0</v>
      </c>
      <c r="Y45" s="148">
        <f>COUNTIFS('2026 Time Off Request'!$A:$A,'May 2026'!$D45,'2026 Time Off Request'!$L:$L,'May 2026'!Y$6)</f>
        <v>0</v>
      </c>
      <c r="Z45" s="148">
        <f>COUNTIFS('2026 Time Off Request'!$A:$A,'May 2026'!$D45,'2026 Time Off Request'!$L:$L,'May 2026'!Z$6)</f>
        <v>0</v>
      </c>
      <c r="AA45" s="148">
        <f>COUNTIFS('2026 Time Off Request'!$A:$A,'May 2026'!$D45,'2026 Time Off Request'!$L:$L,'May 2026'!AA$6)</f>
        <v>0</v>
      </c>
      <c r="AB45" s="147">
        <f>COUNTIFS('2026 Time Off Request'!$A:$A,'May 2026'!$D45,'2026 Time Off Request'!$L:$L,'May 2026'!AB$6)</f>
        <v>0</v>
      </c>
      <c r="AC45" s="147">
        <f>COUNTIFS('2026 Time Off Request'!$A:$A,'May 2026'!$D45,'2026 Time Off Request'!$L:$L,'May 2026'!AC$6)</f>
        <v>0</v>
      </c>
      <c r="AD45" s="148">
        <f>COUNTIFS('2026 Time Off Request'!$A:$A,'May 2026'!$D45,'2026 Time Off Request'!$L:$L,'May 2026'!AD$6)</f>
        <v>0</v>
      </c>
      <c r="AE45" s="148">
        <f>COUNTIFS('2026 Time Off Request'!$A:$A,'May 2026'!$D45,'2026 Time Off Request'!$L:$L,'May 2026'!AE$6)</f>
        <v>0</v>
      </c>
      <c r="AF45" s="148">
        <f>COUNTIFS('2026 Time Off Request'!$A:$A,'May 2026'!$D45,'2026 Time Off Request'!$L:$L,'May 2026'!AF$6)</f>
        <v>0</v>
      </c>
      <c r="AG45" s="148">
        <f>COUNTIFS('2026 Time Off Request'!$A:$A,'May 2026'!$D45,'2026 Time Off Request'!$L:$L,'May 2026'!AG$6)</f>
        <v>0</v>
      </c>
      <c r="AH45" s="148">
        <f>COUNTIFS('2026 Time Off Request'!$A:$A,'May 2026'!$D45,'2026 Time Off Request'!$L:$L,'May 2026'!AH$6)</f>
        <v>0</v>
      </c>
      <c r="AI45" s="147">
        <f>COUNTIFS('2026 Time Off Request'!$A:$A,'May 2026'!$D45,'2026 Time Off Request'!$L:$L,'May 2026'!AI$6)</f>
        <v>0</v>
      </c>
      <c r="AJ45" s="147">
        <f>COUNTIFS('2026 Time Off Request'!$A:$A,'May 2026'!$D45,'2026 Time Off Request'!$L:$L,'May 2026'!AJ$6)</f>
        <v>0</v>
      </c>
    </row>
    <row r="46" spans="1:36" ht="15.75">
      <c r="A46" s="2"/>
      <c r="B46" s="29"/>
      <c r="C46" s="23"/>
      <c r="D46" s="2"/>
      <c r="E46" s="3"/>
    </row>
    <row r="47" spans="1:36" ht="15.6">
      <c r="A47" s="2"/>
      <c r="B47" s="29"/>
      <c r="C47" s="23"/>
      <c r="D47" s="2"/>
      <c r="E47" s="3"/>
    </row>
    <row r="48" spans="1:36" ht="15.6">
      <c r="A48" s="2"/>
      <c r="B48" s="29"/>
      <c r="C48" s="23"/>
      <c r="D48" s="2"/>
      <c r="E48" s="3"/>
    </row>
    <row r="49" spans="1:5" ht="15.6">
      <c r="A49" s="2"/>
      <c r="B49" s="29"/>
      <c r="C49" s="105"/>
      <c r="D49" s="2"/>
      <c r="E49" s="3"/>
    </row>
    <row r="50" spans="1:5" ht="15.6">
      <c r="A50" s="2"/>
      <c r="B50" s="29"/>
      <c r="C50" s="23"/>
      <c r="D50" s="2"/>
      <c r="E50" s="2"/>
    </row>
    <row r="51" spans="1:5" ht="15.6">
      <c r="A51" s="2"/>
      <c r="B51" s="29"/>
      <c r="C51" s="23"/>
      <c r="D51" s="2"/>
      <c r="E51" s="2"/>
    </row>
    <row r="52" spans="1:5" ht="15.6">
      <c r="A52" s="2"/>
      <c r="B52" s="29"/>
      <c r="C52" s="23"/>
      <c r="D52" s="2"/>
      <c r="E52" s="2"/>
    </row>
    <row r="53" spans="1:5" ht="15.6">
      <c r="A53" s="2"/>
      <c r="B53" s="29"/>
      <c r="C53" s="23"/>
      <c r="D53" s="2"/>
      <c r="E53" s="2"/>
    </row>
    <row r="54" spans="1:5" ht="15.6">
      <c r="A54" s="2"/>
      <c r="B54" s="29"/>
      <c r="C54" s="23"/>
      <c r="D54" s="2"/>
      <c r="E54" s="2"/>
    </row>
    <row r="55" spans="1:5" ht="15.6">
      <c r="A55" s="2"/>
      <c r="B55" s="29"/>
      <c r="C55" s="23"/>
      <c r="D55" s="2"/>
      <c r="E55" s="2"/>
    </row>
    <row r="56" spans="1:5" ht="15.6">
      <c r="A56" s="2"/>
      <c r="B56" s="29"/>
      <c r="C56" s="23"/>
      <c r="D56" s="2"/>
      <c r="E56" s="2"/>
    </row>
    <row r="57" spans="1:5" ht="15.6">
      <c r="A57" s="2"/>
      <c r="B57" s="29"/>
      <c r="C57" s="23"/>
      <c r="D57" s="2"/>
      <c r="E57" s="2"/>
    </row>
    <row r="58" spans="1:5" ht="15.6">
      <c r="A58" s="2"/>
      <c r="B58" s="29"/>
      <c r="C58" s="23"/>
      <c r="D58" s="2"/>
      <c r="E58" s="2"/>
    </row>
    <row r="59" spans="1:5" ht="15.6">
      <c r="A59" s="2"/>
      <c r="B59" s="29"/>
      <c r="C59" s="23"/>
      <c r="D59" s="2"/>
      <c r="E59" s="2"/>
    </row>
    <row r="60" spans="1:5" ht="15"/>
    <row r="61" spans="1:5" ht="15"/>
  </sheetData>
  <mergeCells count="1">
    <mergeCell ref="B6:D6"/>
  </mergeCells>
  <conditionalFormatting sqref="E8:AJ45">
    <cfRule type="cellIs" dxfId="7" priority="1" operator="greaterThan">
      <formula>0</formula>
    </cfRule>
  </conditionalFormatting>
  <dataValidations count="1">
    <dataValidation allowBlank="1" showInputMessage="1" showErrorMessage="1" sqref="A3:A59" xr:uid="{14B07C17-3E1D-46C5-AD3F-D7FD099F1714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6A23-509E-41F2-AFC5-447F804798DE}">
  <sheetPr>
    <tabColor rgb="FF00B050"/>
  </sheetPr>
  <dimension ref="A2:AM61"/>
  <sheetViews>
    <sheetView showGridLines="0" workbookViewId="0">
      <pane xSplit="4" ySplit="7" topLeftCell="E36" activePane="bottomRight" state="frozen"/>
      <selection pane="bottomRight" activeCell="A13" sqref="A13"/>
      <selection pane="bottomLeft"/>
      <selection pane="topRight"/>
    </sheetView>
  </sheetViews>
  <sheetFormatPr defaultColWidth="9.140625" defaultRowHeight="14.45"/>
  <cols>
    <col min="1" max="1" width="3.28515625" bestFit="1" customWidth="1"/>
    <col min="3" max="3" width="22.7109375" bestFit="1" customWidth="1"/>
    <col min="4" max="4" width="27.140625" customWidth="1"/>
    <col min="5" max="5" width="15" customWidth="1"/>
    <col min="6" max="6" width="17.140625" style="57" customWidth="1"/>
    <col min="7" max="10" width="17.42578125" bestFit="1" customWidth="1"/>
    <col min="11" max="12" width="17.42578125" style="48" bestFit="1" customWidth="1"/>
    <col min="13" max="14" width="17.42578125" bestFit="1" customWidth="1"/>
    <col min="15" max="17" width="18.42578125" bestFit="1" customWidth="1"/>
    <col min="18" max="19" width="18.42578125" style="48" bestFit="1" customWidth="1"/>
    <col min="20" max="24" width="18.42578125" bestFit="1" customWidth="1"/>
    <col min="25" max="26" width="18.42578125" style="48" bestFit="1" customWidth="1"/>
    <col min="27" max="31" width="18.42578125" bestFit="1" customWidth="1"/>
    <col min="32" max="33" width="18.42578125" style="48" bestFit="1" customWidth="1"/>
    <col min="34" max="35" width="18.42578125" bestFit="1" customWidth="1"/>
  </cols>
  <sheetData>
    <row r="2" spans="1:39" s="80" customFormat="1" ht="18.75" customHeight="1">
      <c r="D2" s="96" t="s">
        <v>95</v>
      </c>
      <c r="F2" s="115">
        <f>COUNTA($D$8:$D$52)</f>
        <v>38</v>
      </c>
      <c r="G2" s="80">
        <f t="shared" ref="G2:AI2" si="0">COUNTA($D$8:$D$52)</f>
        <v>38</v>
      </c>
      <c r="H2" s="80">
        <f t="shared" si="0"/>
        <v>38</v>
      </c>
      <c r="I2" s="80">
        <f t="shared" si="0"/>
        <v>38</v>
      </c>
      <c r="J2" s="80">
        <f t="shared" si="0"/>
        <v>38</v>
      </c>
      <c r="K2" s="46">
        <f t="shared" si="0"/>
        <v>38</v>
      </c>
      <c r="L2" s="46">
        <f t="shared" si="0"/>
        <v>38</v>
      </c>
      <c r="M2" s="80">
        <f t="shared" si="0"/>
        <v>38</v>
      </c>
      <c r="N2" s="80">
        <f t="shared" si="0"/>
        <v>38</v>
      </c>
      <c r="O2" s="80">
        <f t="shared" si="0"/>
        <v>38</v>
      </c>
      <c r="P2" s="80">
        <f t="shared" si="0"/>
        <v>38</v>
      </c>
      <c r="Q2" s="80">
        <f t="shared" si="0"/>
        <v>38</v>
      </c>
      <c r="R2" s="46">
        <f t="shared" si="0"/>
        <v>38</v>
      </c>
      <c r="S2" s="46">
        <f t="shared" si="0"/>
        <v>38</v>
      </c>
      <c r="T2" s="80">
        <f t="shared" si="0"/>
        <v>38</v>
      </c>
      <c r="U2" s="80">
        <f t="shared" si="0"/>
        <v>38</v>
      </c>
      <c r="V2" s="80">
        <f t="shared" si="0"/>
        <v>38</v>
      </c>
      <c r="W2" s="80">
        <f t="shared" si="0"/>
        <v>38</v>
      </c>
      <c r="X2" s="80">
        <f t="shared" si="0"/>
        <v>38</v>
      </c>
      <c r="Y2" s="46">
        <f t="shared" si="0"/>
        <v>38</v>
      </c>
      <c r="Z2" s="46">
        <f t="shared" si="0"/>
        <v>38</v>
      </c>
      <c r="AA2" s="80">
        <f t="shared" si="0"/>
        <v>38</v>
      </c>
      <c r="AB2" s="80">
        <f t="shared" si="0"/>
        <v>38</v>
      </c>
      <c r="AC2" s="80">
        <f t="shared" si="0"/>
        <v>38</v>
      </c>
      <c r="AD2" s="80">
        <f t="shared" si="0"/>
        <v>38</v>
      </c>
      <c r="AE2" s="80">
        <f t="shared" si="0"/>
        <v>38</v>
      </c>
      <c r="AF2" s="46">
        <f t="shared" si="0"/>
        <v>38</v>
      </c>
      <c r="AG2" s="46">
        <f t="shared" si="0"/>
        <v>38</v>
      </c>
      <c r="AH2" s="80">
        <f t="shared" si="0"/>
        <v>38</v>
      </c>
      <c r="AI2" s="80">
        <f t="shared" si="0"/>
        <v>38</v>
      </c>
    </row>
    <row r="3" spans="1:39" s="80" customFormat="1" ht="12">
      <c r="A3" s="96"/>
      <c r="C3" s="96"/>
      <c r="D3" s="96" t="s">
        <v>96</v>
      </c>
      <c r="E3" s="96"/>
      <c r="F3" s="115">
        <f>SUM(F8:F49)</f>
        <v>0</v>
      </c>
      <c r="G3" s="80">
        <f t="shared" ref="G3:AI3" si="1">SUM(G8:G49)</f>
        <v>0</v>
      </c>
      <c r="H3" s="80">
        <f t="shared" si="1"/>
        <v>0</v>
      </c>
      <c r="I3" s="80">
        <f t="shared" si="1"/>
        <v>0</v>
      </c>
      <c r="J3" s="80">
        <f t="shared" si="1"/>
        <v>0</v>
      </c>
      <c r="K3" s="46">
        <f t="shared" si="1"/>
        <v>0</v>
      </c>
      <c r="L3" s="46">
        <f t="shared" si="1"/>
        <v>0</v>
      </c>
      <c r="M3" s="80">
        <f>SUM(M8:M49)</f>
        <v>1</v>
      </c>
      <c r="N3" s="80">
        <f t="shared" si="1"/>
        <v>1</v>
      </c>
      <c r="O3" s="80">
        <f t="shared" si="1"/>
        <v>1</v>
      </c>
      <c r="P3" s="80">
        <f t="shared" si="1"/>
        <v>1</v>
      </c>
      <c r="Q3" s="80">
        <f t="shared" si="1"/>
        <v>1</v>
      </c>
      <c r="R3" s="46">
        <f>SUM(R8:R49)</f>
        <v>0</v>
      </c>
      <c r="S3" s="46">
        <f t="shared" si="1"/>
        <v>0</v>
      </c>
      <c r="T3" s="80">
        <f t="shared" si="1"/>
        <v>0</v>
      </c>
      <c r="U3" s="80">
        <f t="shared" si="1"/>
        <v>0</v>
      </c>
      <c r="V3" s="80">
        <f t="shared" si="1"/>
        <v>0</v>
      </c>
      <c r="W3" s="80">
        <f>SUM(W8:W49)</f>
        <v>0</v>
      </c>
      <c r="X3" s="80">
        <f t="shared" si="1"/>
        <v>0</v>
      </c>
      <c r="Y3" s="46">
        <f t="shared" si="1"/>
        <v>0</v>
      </c>
      <c r="Z3" s="46">
        <f t="shared" si="1"/>
        <v>0</v>
      </c>
      <c r="AA3" s="80">
        <f t="shared" si="1"/>
        <v>0</v>
      </c>
      <c r="AB3" s="80">
        <f t="shared" si="1"/>
        <v>0</v>
      </c>
      <c r="AC3" s="80">
        <f t="shared" si="1"/>
        <v>0</v>
      </c>
      <c r="AD3" s="80">
        <f>SUM(AD8:AD49)</f>
        <v>0</v>
      </c>
      <c r="AE3" s="80">
        <f t="shared" si="1"/>
        <v>0</v>
      </c>
      <c r="AF3" s="46">
        <f>SUM(AF8:AF49)</f>
        <v>0</v>
      </c>
      <c r="AG3" s="46">
        <f t="shared" si="1"/>
        <v>0</v>
      </c>
      <c r="AH3" s="80">
        <f t="shared" si="1"/>
        <v>0</v>
      </c>
      <c r="AI3" s="80">
        <f t="shared" si="1"/>
        <v>0</v>
      </c>
    </row>
    <row r="4" spans="1:39" s="80" customFormat="1" ht="12">
      <c r="A4" s="96"/>
      <c r="B4" s="97"/>
      <c r="C4" s="96"/>
      <c r="D4" s="96" t="s">
        <v>97</v>
      </c>
      <c r="E4" s="96"/>
      <c r="F4" s="116">
        <f>(COUNTA($D$8:$D$49)-F$3)/(COUNTA($D$8:$D$49))</f>
        <v>1</v>
      </c>
      <c r="G4" s="81">
        <f>(COUNTA($D$8:$D$49)-G$3)/(COUNTA($D$8:$D$49))</f>
        <v>1</v>
      </c>
      <c r="H4" s="81">
        <f>(COUNTA($D$8:$D$49)-H$3)/(COUNTA($D$8:$D$49))</f>
        <v>1</v>
      </c>
      <c r="I4" s="81">
        <f>(COUNTA($D$8:$D$49)-I$3)/(COUNTA($D$8:$D$49))</f>
        <v>1</v>
      </c>
      <c r="J4" s="81">
        <f>(COUNTA($D$8:$D$49)-J$3)/(COUNTA($D$8:$D$49))</f>
        <v>1</v>
      </c>
      <c r="K4" s="47">
        <f>(COUNTA($D$8:$D$49)-K$3)/(COUNTA($D$8:$D$49))</f>
        <v>1</v>
      </c>
      <c r="L4" s="47">
        <f>(COUNTA($D$8:$D$49)-L$3)/(COUNTA($D$8:$D$49))</f>
        <v>1</v>
      </c>
      <c r="M4" s="81">
        <f>(COUNTA($D$8:$D$49)-M$3)/(COUNTA($D$8:$D$49))</f>
        <v>0.97368421052631582</v>
      </c>
      <c r="N4" s="81">
        <f>(COUNTA($D$8:$D$49)-N$3)/(COUNTA($D$8:$D$49))</f>
        <v>0.97368421052631582</v>
      </c>
      <c r="O4" s="81">
        <f>(COUNTA($D$8:$D$49)-O$3)/(COUNTA($D$8:$D$49))</f>
        <v>0.97368421052631582</v>
      </c>
      <c r="P4" s="81">
        <f>(COUNTA($D$8:$D$49)-P$3)/(COUNTA($D$8:$D$49))</f>
        <v>0.97368421052631582</v>
      </c>
      <c r="Q4" s="81">
        <f>(COUNTA($D$8:$D$49)-Q$3)/(COUNTA($D$8:$D$49))</f>
        <v>0.97368421052631582</v>
      </c>
      <c r="R4" s="47">
        <f>(COUNTA($D$8:$D$49)-R$3)/(COUNTA($D$8:$D$49))</f>
        <v>1</v>
      </c>
      <c r="S4" s="47">
        <f>(COUNTA($D$8:$D$49)-S$3)/(COUNTA($D$8:$D$49))</f>
        <v>1</v>
      </c>
      <c r="T4" s="81">
        <f>(COUNTA($D$8:$D$49)-T$3)/(COUNTA($D$8:$D$49))</f>
        <v>1</v>
      </c>
      <c r="U4" s="81">
        <f>(COUNTA($D$8:$D$49)-U$3)/(COUNTA($D$8:$D$49))</f>
        <v>1</v>
      </c>
      <c r="V4" s="81">
        <f>(COUNTA($D$8:$D$49)-V$3)/(COUNTA($D$8:$D$49))</f>
        <v>1</v>
      </c>
      <c r="W4" s="81">
        <f>(COUNTA($D$8:$D$49)-W$3)/(COUNTA($D$8:$D$49))</f>
        <v>1</v>
      </c>
      <c r="X4" s="81">
        <f>(COUNTA($D$8:$D$49)-X$3)/(COUNTA($D$8:$D$49))</f>
        <v>1</v>
      </c>
      <c r="Y4" s="47">
        <f>(COUNTA($D$8:$D$49)-Y$3)/(COUNTA($D$8:$D$49))</f>
        <v>1</v>
      </c>
      <c r="Z4" s="47">
        <f>(COUNTA($D$8:$D$49)-Z$3)/(COUNTA($D$8:$D$49))</f>
        <v>1</v>
      </c>
      <c r="AA4" s="81">
        <f>(COUNTA($D$8:$D$49)-AA$3)/(COUNTA($D$8:$D$49))</f>
        <v>1</v>
      </c>
      <c r="AB4" s="81">
        <f>(COUNTA($D$8:$D$49)-AB$3)/(COUNTA($D$8:$D$49))</f>
        <v>1</v>
      </c>
      <c r="AC4" s="81">
        <f>(COUNTA($D$8:$D$49)-AC$3)/(COUNTA($D$8:$D$49))</f>
        <v>1</v>
      </c>
      <c r="AD4" s="81">
        <f>(COUNTA($D$8:$D$49)-AD$3)/(COUNTA($D$8:$D$49))</f>
        <v>1</v>
      </c>
      <c r="AE4" s="81">
        <f>(COUNTA($D$8:$D$49)-AE$3)/(COUNTA($D$8:$D$49))</f>
        <v>1</v>
      </c>
      <c r="AF4" s="47">
        <f>(COUNTA($D$8:$D$49)-AF$3)/(COUNTA($D$8:$D$49))</f>
        <v>1</v>
      </c>
      <c r="AG4" s="47">
        <f>(COUNTA($D$8:$D$49)-AG$3)/(COUNTA($D$8:$D$49))</f>
        <v>1</v>
      </c>
      <c r="AH4" s="81">
        <f>(COUNTA($D$8:$D$49)-AH$3)/(COUNTA($D$8:$D$49))</f>
        <v>1</v>
      </c>
      <c r="AI4" s="81">
        <f>(COUNTA($D$8:$D$49)-AI$3)/(COUNTA($D$8:$D$49))</f>
        <v>1</v>
      </c>
    </row>
    <row r="5" spans="1:39" s="80" customFormat="1" ht="8.25" customHeight="1">
      <c r="A5" s="96"/>
      <c r="B5" s="97"/>
      <c r="C5" s="96"/>
      <c r="D5" s="96"/>
      <c r="E5" s="96"/>
      <c r="F5" s="116"/>
      <c r="G5" s="81"/>
      <c r="H5" s="81"/>
      <c r="I5" s="81"/>
      <c r="J5" s="81"/>
      <c r="K5" s="47"/>
      <c r="L5" s="47"/>
      <c r="M5" s="81"/>
      <c r="N5" s="81"/>
      <c r="O5" s="81"/>
      <c r="P5" s="81"/>
      <c r="Q5" s="81"/>
      <c r="R5" s="47"/>
      <c r="S5" s="47"/>
      <c r="T5" s="81"/>
      <c r="U5" s="81"/>
      <c r="V5" s="81"/>
      <c r="W5" s="81"/>
      <c r="X5" s="81"/>
      <c r="Y5" s="47"/>
      <c r="Z5" s="47"/>
      <c r="AA5" s="81"/>
      <c r="AB5" s="81"/>
      <c r="AC5" s="81"/>
      <c r="AD5" s="81"/>
      <c r="AE5" s="81"/>
      <c r="AF5" s="47"/>
      <c r="AG5" s="47"/>
      <c r="AH5" s="81"/>
      <c r="AI5" s="81"/>
    </row>
    <row r="6" spans="1:39" s="100" customFormat="1" ht="34.5" customHeight="1">
      <c r="A6" s="98"/>
      <c r="B6" s="246" t="s">
        <v>0</v>
      </c>
      <c r="C6" s="247"/>
      <c r="D6" s="247"/>
      <c r="E6" s="16" t="s">
        <v>98</v>
      </c>
      <c r="F6" s="95">
        <v>46174</v>
      </c>
      <c r="G6" s="95">
        <v>46175</v>
      </c>
      <c r="H6" s="95">
        <v>46176</v>
      </c>
      <c r="I6" s="95">
        <v>46177</v>
      </c>
      <c r="J6" s="95">
        <v>46178</v>
      </c>
      <c r="K6" s="109">
        <v>46179</v>
      </c>
      <c r="L6" s="109">
        <v>46180</v>
      </c>
      <c r="M6" s="95">
        <v>46181</v>
      </c>
      <c r="N6" s="95">
        <v>46182</v>
      </c>
      <c r="O6" s="95">
        <v>46183</v>
      </c>
      <c r="P6" s="95">
        <v>46184</v>
      </c>
      <c r="Q6" s="95">
        <v>46185</v>
      </c>
      <c r="R6" s="109">
        <v>46186</v>
      </c>
      <c r="S6" s="109">
        <v>46187</v>
      </c>
      <c r="T6" s="95">
        <v>46188</v>
      </c>
      <c r="U6" s="95">
        <v>46189</v>
      </c>
      <c r="V6" s="95">
        <v>46190</v>
      </c>
      <c r="W6" s="95">
        <v>46191</v>
      </c>
      <c r="X6" s="95">
        <v>46192</v>
      </c>
      <c r="Y6" s="109">
        <v>46193</v>
      </c>
      <c r="Z6" s="109">
        <v>46194</v>
      </c>
      <c r="AA6" s="95">
        <v>46195</v>
      </c>
      <c r="AB6" s="95">
        <v>46196</v>
      </c>
      <c r="AC6" s="95">
        <v>46197</v>
      </c>
      <c r="AD6" s="95">
        <v>46198</v>
      </c>
      <c r="AE6" s="95">
        <v>46199</v>
      </c>
      <c r="AF6" s="109">
        <v>46200</v>
      </c>
      <c r="AG6" s="109">
        <v>46201</v>
      </c>
      <c r="AH6" s="95">
        <v>46202</v>
      </c>
      <c r="AI6" s="117">
        <v>46203</v>
      </c>
      <c r="AJ6" s="99"/>
      <c r="AK6" s="99"/>
      <c r="AL6" s="99"/>
      <c r="AM6" s="99"/>
    </row>
    <row r="7" spans="1:39" ht="15.75">
      <c r="A7" s="1"/>
      <c r="B7" s="28" t="s">
        <v>3</v>
      </c>
      <c r="C7" s="24" t="s">
        <v>4</v>
      </c>
      <c r="D7" s="1" t="s">
        <v>5</v>
      </c>
      <c r="E7" s="5" t="s">
        <v>99</v>
      </c>
      <c r="F7" s="218" t="s">
        <v>100</v>
      </c>
      <c r="G7" s="218" t="s">
        <v>101</v>
      </c>
      <c r="H7" s="218" t="s">
        <v>102</v>
      </c>
      <c r="I7" s="218" t="s">
        <v>103</v>
      </c>
      <c r="J7" s="218" t="s">
        <v>104</v>
      </c>
      <c r="K7" s="216" t="s">
        <v>105</v>
      </c>
      <c r="L7" s="216" t="s">
        <v>106</v>
      </c>
      <c r="M7" s="218" t="s">
        <v>100</v>
      </c>
      <c r="N7" s="218" t="s">
        <v>101</v>
      </c>
      <c r="O7" s="218" t="s">
        <v>102</v>
      </c>
      <c r="P7" s="218" t="s">
        <v>103</v>
      </c>
      <c r="Q7" s="218" t="s">
        <v>104</v>
      </c>
      <c r="R7" s="216" t="s">
        <v>105</v>
      </c>
      <c r="S7" s="216" t="s">
        <v>106</v>
      </c>
      <c r="T7" s="218" t="s">
        <v>100</v>
      </c>
      <c r="U7" s="218" t="s">
        <v>101</v>
      </c>
      <c r="V7" s="218" t="s">
        <v>102</v>
      </c>
      <c r="W7" s="218" t="s">
        <v>103</v>
      </c>
      <c r="X7" s="218" t="s">
        <v>104</v>
      </c>
      <c r="Y7" s="216" t="s">
        <v>105</v>
      </c>
      <c r="Z7" s="216" t="s">
        <v>106</v>
      </c>
      <c r="AA7" s="218" t="s">
        <v>100</v>
      </c>
      <c r="AB7" s="218" t="s">
        <v>101</v>
      </c>
      <c r="AC7" s="218" t="s">
        <v>102</v>
      </c>
      <c r="AD7" s="218" t="s">
        <v>103</v>
      </c>
      <c r="AE7" s="218" t="s">
        <v>104</v>
      </c>
      <c r="AF7" s="216" t="s">
        <v>105</v>
      </c>
      <c r="AG7" s="216" t="s">
        <v>106</v>
      </c>
      <c r="AH7" s="218" t="s">
        <v>100</v>
      </c>
      <c r="AI7" s="222" t="s">
        <v>101</v>
      </c>
    </row>
    <row r="8" spans="1:39" ht="15.75">
      <c r="A8" s="2">
        <v>1</v>
      </c>
      <c r="B8" s="209" t="s">
        <v>25</v>
      </c>
      <c r="C8" s="210" t="s">
        <v>26</v>
      </c>
      <c r="D8" s="211" t="s">
        <v>27</v>
      </c>
      <c r="E8" s="212">
        <f t="shared" ref="E8:E45" si="2">SUM(F8:AI8)</f>
        <v>0</v>
      </c>
      <c r="F8" s="223">
        <f>COUNTIFS('2026 Time Off Request'!$A:$A,'June 2026'!$D8,'2026 Time Off Request'!$L:$L,'June 2026'!F$6)</f>
        <v>0</v>
      </c>
      <c r="G8" s="148">
        <f>COUNTIFS('2026 Time Off Request'!$A:$A,'June 2026'!$D8,'2026 Time Off Request'!$L:$L,'June 2026'!G$6)</f>
        <v>0</v>
      </c>
      <c r="H8" s="148">
        <f>COUNTIFS('2026 Time Off Request'!$A:$A,'June 2026'!$D8,'2026 Time Off Request'!$L:$L,'June 2026'!H$6)</f>
        <v>0</v>
      </c>
      <c r="I8" s="148">
        <f>COUNTIFS('2026 Time Off Request'!$A:$A,'June 2026'!$D8,'2026 Time Off Request'!$L:$L,'June 2026'!I$6)</f>
        <v>0</v>
      </c>
      <c r="J8" s="148">
        <f>COUNTIFS('2026 Time Off Request'!$A:$A,'June 2026'!$D8,'2026 Time Off Request'!$L:$L,'June 2026'!J$6)</f>
        <v>0</v>
      </c>
      <c r="K8" s="147">
        <f>COUNTIFS('2026 Time Off Request'!$A:$A,'June 2026'!$D8,'2026 Time Off Request'!$L:$L,'June 2026'!K$6)</f>
        <v>0</v>
      </c>
      <c r="L8" s="147">
        <f>COUNTIFS('2026 Time Off Request'!$A:$A,'June 2026'!$D8,'2026 Time Off Request'!$L:$L,'June 2026'!L$6)</f>
        <v>0</v>
      </c>
      <c r="M8" s="148">
        <f>COUNTIFS('2026 Time Off Request'!$A:$A,'June 2026'!$D8,'2026 Time Off Request'!$L:$L,'June 2026'!M$6)</f>
        <v>0</v>
      </c>
      <c r="N8" s="148">
        <f>COUNTIFS('2026 Time Off Request'!$A:$A,'June 2026'!$D8,'2026 Time Off Request'!$L:$L,'June 2026'!N$6)</f>
        <v>0</v>
      </c>
      <c r="O8" s="148">
        <f>COUNTIFS('2026 Time Off Request'!$A:$A,'June 2026'!$D8,'2026 Time Off Request'!$L:$L,'June 2026'!O$6)</f>
        <v>0</v>
      </c>
      <c r="P8" s="148">
        <f>COUNTIFS('2026 Time Off Request'!$A:$A,'June 2026'!$D8,'2026 Time Off Request'!$L:$L,'June 2026'!P$6)</f>
        <v>0</v>
      </c>
      <c r="Q8" s="148">
        <f>COUNTIFS('2026 Time Off Request'!$A:$A,'June 2026'!$D8,'2026 Time Off Request'!$L:$L,'June 2026'!Q$6)</f>
        <v>0</v>
      </c>
      <c r="R8" s="147">
        <f>COUNTIFS('2026 Time Off Request'!$A:$A,'June 2026'!$D8,'2026 Time Off Request'!$L:$L,'June 2026'!R$6)</f>
        <v>0</v>
      </c>
      <c r="S8" s="147">
        <f>COUNTIFS('2026 Time Off Request'!$A:$A,'June 2026'!$D8,'2026 Time Off Request'!$L:$L,'June 2026'!S$6)</f>
        <v>0</v>
      </c>
      <c r="T8" s="148">
        <f>COUNTIFS('2026 Time Off Request'!$A:$A,'June 2026'!$D8,'2026 Time Off Request'!$L:$L,'June 2026'!T$6)</f>
        <v>0</v>
      </c>
      <c r="U8" s="148">
        <f>COUNTIFS('2026 Time Off Request'!$A:$A,'June 2026'!$D8,'2026 Time Off Request'!$L:$L,'June 2026'!U$6)</f>
        <v>0</v>
      </c>
      <c r="V8" s="148">
        <f>COUNTIFS('2026 Time Off Request'!$A:$A,'June 2026'!$D8,'2026 Time Off Request'!$L:$L,'June 2026'!V$6)</f>
        <v>0</v>
      </c>
      <c r="W8" s="148">
        <f>COUNTIFS('2026 Time Off Request'!$A:$A,'June 2026'!$D8,'2026 Time Off Request'!$L:$L,'June 2026'!W$6)</f>
        <v>0</v>
      </c>
      <c r="X8" s="148">
        <f>COUNTIFS('2026 Time Off Request'!$A:$A,'June 2026'!$D8,'2026 Time Off Request'!$L:$L,'June 2026'!X$6)</f>
        <v>0</v>
      </c>
      <c r="Y8" s="147">
        <f>COUNTIFS('2026 Time Off Request'!$A:$A,'June 2026'!$D8,'2026 Time Off Request'!$L:$L,'June 2026'!Y$6)</f>
        <v>0</v>
      </c>
      <c r="Z8" s="147">
        <f>COUNTIFS('2026 Time Off Request'!$A:$A,'June 2026'!$D8,'2026 Time Off Request'!$L:$L,'June 2026'!Z$6)</f>
        <v>0</v>
      </c>
      <c r="AA8" s="148">
        <f>COUNTIFS('2026 Time Off Request'!$A:$A,'June 2026'!$D8,'2026 Time Off Request'!$L:$L,'June 2026'!AA$6)</f>
        <v>0</v>
      </c>
      <c r="AB8" s="148">
        <f>COUNTIFS('2026 Time Off Request'!$A:$A,'June 2026'!$D8,'2026 Time Off Request'!$L:$L,'June 2026'!AB$6)</f>
        <v>0</v>
      </c>
      <c r="AC8" s="148">
        <f>COUNTIFS('2026 Time Off Request'!$A:$A,'June 2026'!$D8,'2026 Time Off Request'!$L:$L,'June 2026'!AC$6)</f>
        <v>0</v>
      </c>
      <c r="AD8" s="148">
        <f>COUNTIFS('2026 Time Off Request'!$A:$A,'June 2026'!$D8,'2026 Time Off Request'!$L:$L,'June 2026'!AD$6)</f>
        <v>0</v>
      </c>
      <c r="AE8" s="148">
        <f>COUNTIFS('2026 Time Off Request'!$A:$A,'June 2026'!$D8,'2026 Time Off Request'!$L:$L,'June 2026'!AE$6)</f>
        <v>0</v>
      </c>
      <c r="AF8" s="147">
        <f>COUNTIFS('2026 Time Off Request'!$A:$A,'June 2026'!$D8,'2026 Time Off Request'!$L:$L,'June 2026'!AF$6)</f>
        <v>0</v>
      </c>
      <c r="AG8" s="147">
        <f>COUNTIFS('2026 Time Off Request'!$A:$A,'June 2026'!$D8,'2026 Time Off Request'!$L:$L,'June 2026'!AG$6)</f>
        <v>0</v>
      </c>
      <c r="AH8" s="148">
        <f>COUNTIFS('2026 Time Off Request'!$A:$A,'June 2026'!$D8,'2026 Time Off Request'!$L:$L,'June 2026'!AH$6)</f>
        <v>0</v>
      </c>
      <c r="AI8" s="148">
        <f>COUNTIFS('2026 Time Off Request'!$A:$A,'June 2026'!$D8,'2026 Time Off Request'!$L:$L,'June 2026'!AI$6)</f>
        <v>0</v>
      </c>
    </row>
    <row r="9" spans="1:39" ht="15.75">
      <c r="A9" s="2">
        <v>2</v>
      </c>
      <c r="B9" s="209" t="s">
        <v>25</v>
      </c>
      <c r="C9" s="210" t="s">
        <v>28</v>
      </c>
      <c r="D9" s="215" t="s">
        <v>29</v>
      </c>
      <c r="E9" s="212">
        <f t="shared" si="2"/>
        <v>0</v>
      </c>
      <c r="F9" s="223">
        <f>COUNTIFS('2026 Time Off Request'!$A:$A,'June 2026'!$D9,'2026 Time Off Request'!$L:$L,'June 2026'!F$6)</f>
        <v>0</v>
      </c>
      <c r="G9" s="148">
        <f>COUNTIFS('2026 Time Off Request'!$A:$A,'June 2026'!$D9,'2026 Time Off Request'!$L:$L,'June 2026'!G$6)</f>
        <v>0</v>
      </c>
      <c r="H9" s="148">
        <f>COUNTIFS('2026 Time Off Request'!$A:$A,'June 2026'!$D9,'2026 Time Off Request'!$L:$L,'June 2026'!H$6)</f>
        <v>0</v>
      </c>
      <c r="I9" s="148">
        <f>COUNTIFS('2026 Time Off Request'!$A:$A,'June 2026'!$D9,'2026 Time Off Request'!$L:$L,'June 2026'!I$6)</f>
        <v>0</v>
      </c>
      <c r="J9" s="148">
        <f>COUNTIFS('2026 Time Off Request'!$A:$A,'June 2026'!$D9,'2026 Time Off Request'!$L:$L,'June 2026'!J$6)</f>
        <v>0</v>
      </c>
      <c r="K9" s="147">
        <f>COUNTIFS('2026 Time Off Request'!$A:$A,'June 2026'!$D9,'2026 Time Off Request'!$L:$L,'June 2026'!K$6)</f>
        <v>0</v>
      </c>
      <c r="L9" s="147">
        <f>COUNTIFS('2026 Time Off Request'!$A:$A,'June 2026'!$D9,'2026 Time Off Request'!$L:$L,'June 2026'!L$6)</f>
        <v>0</v>
      </c>
      <c r="M9" s="148">
        <f>COUNTIFS('2026 Time Off Request'!$A:$A,'June 2026'!$D9,'2026 Time Off Request'!$L:$L,'June 2026'!M$6)</f>
        <v>0</v>
      </c>
      <c r="N9" s="148">
        <f>COUNTIFS('2026 Time Off Request'!$A:$A,'June 2026'!$D9,'2026 Time Off Request'!$L:$L,'June 2026'!N$6)</f>
        <v>0</v>
      </c>
      <c r="O9" s="148">
        <f>COUNTIFS('2026 Time Off Request'!$A:$A,'June 2026'!$D9,'2026 Time Off Request'!$L:$L,'June 2026'!O$6)</f>
        <v>0</v>
      </c>
      <c r="P9" s="148">
        <f>COUNTIFS('2026 Time Off Request'!$A:$A,'June 2026'!$D9,'2026 Time Off Request'!$L:$L,'June 2026'!P$6)</f>
        <v>0</v>
      </c>
      <c r="Q9" s="148">
        <f>COUNTIFS('2026 Time Off Request'!$A:$A,'June 2026'!$D9,'2026 Time Off Request'!$L:$L,'June 2026'!Q$6)</f>
        <v>0</v>
      </c>
      <c r="R9" s="147">
        <f>COUNTIFS('2026 Time Off Request'!$A:$A,'June 2026'!$D9,'2026 Time Off Request'!$L:$L,'June 2026'!R$6)</f>
        <v>0</v>
      </c>
      <c r="S9" s="147">
        <f>COUNTIFS('2026 Time Off Request'!$A:$A,'June 2026'!$D9,'2026 Time Off Request'!$L:$L,'June 2026'!S$6)</f>
        <v>0</v>
      </c>
      <c r="T9" s="148">
        <f>COUNTIFS('2026 Time Off Request'!$A:$A,'June 2026'!$D9,'2026 Time Off Request'!$L:$L,'June 2026'!T$6)</f>
        <v>0</v>
      </c>
      <c r="U9" s="148">
        <f>COUNTIFS('2026 Time Off Request'!$A:$A,'June 2026'!$D9,'2026 Time Off Request'!$L:$L,'June 2026'!U$6)</f>
        <v>0</v>
      </c>
      <c r="V9" s="148">
        <f>COUNTIFS('2026 Time Off Request'!$A:$A,'June 2026'!$D9,'2026 Time Off Request'!$L:$L,'June 2026'!V$6)</f>
        <v>0</v>
      </c>
      <c r="W9" s="148">
        <f>COUNTIFS('2026 Time Off Request'!$A:$A,'June 2026'!$D9,'2026 Time Off Request'!$L:$L,'June 2026'!W$6)</f>
        <v>0</v>
      </c>
      <c r="X9" s="148">
        <f>COUNTIFS('2026 Time Off Request'!$A:$A,'June 2026'!$D9,'2026 Time Off Request'!$L:$L,'June 2026'!X$6)</f>
        <v>0</v>
      </c>
      <c r="Y9" s="147">
        <f>COUNTIFS('2026 Time Off Request'!$A:$A,'June 2026'!$D9,'2026 Time Off Request'!$L:$L,'June 2026'!Y$6)</f>
        <v>0</v>
      </c>
      <c r="Z9" s="147">
        <f>COUNTIFS('2026 Time Off Request'!$A:$A,'June 2026'!$D9,'2026 Time Off Request'!$L:$L,'June 2026'!Z$6)</f>
        <v>0</v>
      </c>
      <c r="AA9" s="148">
        <f>COUNTIFS('2026 Time Off Request'!$A:$A,'June 2026'!$D9,'2026 Time Off Request'!$L:$L,'June 2026'!AA$6)</f>
        <v>0</v>
      </c>
      <c r="AB9" s="148">
        <f>COUNTIFS('2026 Time Off Request'!$A:$A,'June 2026'!$D9,'2026 Time Off Request'!$L:$L,'June 2026'!AB$6)</f>
        <v>0</v>
      </c>
      <c r="AC9" s="148">
        <f>COUNTIFS('2026 Time Off Request'!$A:$A,'June 2026'!$D9,'2026 Time Off Request'!$L:$L,'June 2026'!AC$6)</f>
        <v>0</v>
      </c>
      <c r="AD9" s="148">
        <f>COUNTIFS('2026 Time Off Request'!$A:$A,'June 2026'!$D9,'2026 Time Off Request'!$L:$L,'June 2026'!AD$6)</f>
        <v>0</v>
      </c>
      <c r="AE9" s="148">
        <f>COUNTIFS('2026 Time Off Request'!$A:$A,'June 2026'!$D9,'2026 Time Off Request'!$L:$L,'June 2026'!AE$6)</f>
        <v>0</v>
      </c>
      <c r="AF9" s="147">
        <f>COUNTIFS('2026 Time Off Request'!$A:$A,'June 2026'!$D9,'2026 Time Off Request'!$L:$L,'June 2026'!AF$6)</f>
        <v>0</v>
      </c>
      <c r="AG9" s="147">
        <f>COUNTIFS('2026 Time Off Request'!$A:$A,'June 2026'!$D9,'2026 Time Off Request'!$L:$L,'June 2026'!AG$6)</f>
        <v>0</v>
      </c>
      <c r="AH9" s="148">
        <f>COUNTIFS('2026 Time Off Request'!$A:$A,'June 2026'!$D9,'2026 Time Off Request'!$L:$L,'June 2026'!AH$6)</f>
        <v>0</v>
      </c>
      <c r="AI9" s="148">
        <f>COUNTIFS('2026 Time Off Request'!$A:$A,'June 2026'!$D9,'2026 Time Off Request'!$L:$L,'June 2026'!AI$6)</f>
        <v>0</v>
      </c>
    </row>
    <row r="10" spans="1:39" ht="15.75">
      <c r="A10" s="2">
        <v>3</v>
      </c>
      <c r="B10" s="209" t="s">
        <v>25</v>
      </c>
      <c r="C10" s="210" t="s">
        <v>30</v>
      </c>
      <c r="D10" s="215" t="s">
        <v>31</v>
      </c>
      <c r="E10" s="212">
        <f t="shared" si="2"/>
        <v>0</v>
      </c>
      <c r="F10" s="223">
        <f>COUNTIFS('2026 Time Off Request'!$A:$A,'June 2026'!$D10,'2026 Time Off Request'!$L:$L,'June 2026'!F$6)</f>
        <v>0</v>
      </c>
      <c r="G10" s="148">
        <f>COUNTIFS('2026 Time Off Request'!$A:$A,'June 2026'!$D10,'2026 Time Off Request'!$L:$L,'June 2026'!G$6)</f>
        <v>0</v>
      </c>
      <c r="H10" s="148">
        <f>COUNTIFS('2026 Time Off Request'!$A:$A,'June 2026'!$D10,'2026 Time Off Request'!$L:$L,'June 2026'!H$6)</f>
        <v>0</v>
      </c>
      <c r="I10" s="148">
        <f>COUNTIFS('2026 Time Off Request'!$A:$A,'June 2026'!$D10,'2026 Time Off Request'!$L:$L,'June 2026'!I$6)</f>
        <v>0</v>
      </c>
      <c r="J10" s="148">
        <f>COUNTIFS('2026 Time Off Request'!$A:$A,'June 2026'!$D10,'2026 Time Off Request'!$L:$L,'June 2026'!J$6)</f>
        <v>0</v>
      </c>
      <c r="K10" s="147">
        <f>COUNTIFS('2026 Time Off Request'!$A:$A,'June 2026'!$D10,'2026 Time Off Request'!$L:$L,'June 2026'!K$6)</f>
        <v>0</v>
      </c>
      <c r="L10" s="147">
        <f>COUNTIFS('2026 Time Off Request'!$A:$A,'June 2026'!$D10,'2026 Time Off Request'!$L:$L,'June 2026'!L$6)</f>
        <v>0</v>
      </c>
      <c r="M10" s="148">
        <f>COUNTIFS('2026 Time Off Request'!$A:$A,'June 2026'!$D10,'2026 Time Off Request'!$L:$L,'June 2026'!M$6)</f>
        <v>0</v>
      </c>
      <c r="N10" s="148">
        <f>COUNTIFS('2026 Time Off Request'!$A:$A,'June 2026'!$D10,'2026 Time Off Request'!$L:$L,'June 2026'!N$6)</f>
        <v>0</v>
      </c>
      <c r="O10" s="148">
        <f>COUNTIFS('2026 Time Off Request'!$A:$A,'June 2026'!$D10,'2026 Time Off Request'!$L:$L,'June 2026'!O$6)</f>
        <v>0</v>
      </c>
      <c r="P10" s="148">
        <f>COUNTIFS('2026 Time Off Request'!$A:$A,'June 2026'!$D10,'2026 Time Off Request'!$L:$L,'June 2026'!P$6)</f>
        <v>0</v>
      </c>
      <c r="Q10" s="148">
        <f>COUNTIFS('2026 Time Off Request'!$A:$A,'June 2026'!$D10,'2026 Time Off Request'!$L:$L,'June 2026'!Q$6)</f>
        <v>0</v>
      </c>
      <c r="R10" s="147">
        <f>COUNTIFS('2026 Time Off Request'!$A:$A,'June 2026'!$D10,'2026 Time Off Request'!$L:$L,'June 2026'!R$6)</f>
        <v>0</v>
      </c>
      <c r="S10" s="147">
        <f>COUNTIFS('2026 Time Off Request'!$A:$A,'June 2026'!$D10,'2026 Time Off Request'!$L:$L,'June 2026'!S$6)</f>
        <v>0</v>
      </c>
      <c r="T10" s="148">
        <f>COUNTIFS('2026 Time Off Request'!$A:$A,'June 2026'!$D10,'2026 Time Off Request'!$L:$L,'June 2026'!T$6)</f>
        <v>0</v>
      </c>
      <c r="U10" s="148">
        <f>COUNTIFS('2026 Time Off Request'!$A:$A,'June 2026'!$D10,'2026 Time Off Request'!$L:$L,'June 2026'!U$6)</f>
        <v>0</v>
      </c>
      <c r="V10" s="148">
        <f>COUNTIFS('2026 Time Off Request'!$A:$A,'June 2026'!$D10,'2026 Time Off Request'!$L:$L,'June 2026'!V$6)</f>
        <v>0</v>
      </c>
      <c r="W10" s="148">
        <f>COUNTIFS('2026 Time Off Request'!$A:$A,'June 2026'!$D10,'2026 Time Off Request'!$L:$L,'June 2026'!W$6)</f>
        <v>0</v>
      </c>
      <c r="X10" s="148">
        <f>COUNTIFS('2026 Time Off Request'!$A:$A,'June 2026'!$D10,'2026 Time Off Request'!$L:$L,'June 2026'!X$6)</f>
        <v>0</v>
      </c>
      <c r="Y10" s="147">
        <f>COUNTIFS('2026 Time Off Request'!$A:$A,'June 2026'!$D10,'2026 Time Off Request'!$L:$L,'June 2026'!Y$6)</f>
        <v>0</v>
      </c>
      <c r="Z10" s="147">
        <f>COUNTIFS('2026 Time Off Request'!$A:$A,'June 2026'!$D10,'2026 Time Off Request'!$L:$L,'June 2026'!Z$6)</f>
        <v>0</v>
      </c>
      <c r="AA10" s="148">
        <f>COUNTIFS('2026 Time Off Request'!$A:$A,'June 2026'!$D10,'2026 Time Off Request'!$L:$L,'June 2026'!AA$6)</f>
        <v>0</v>
      </c>
      <c r="AB10" s="148">
        <f>COUNTIFS('2026 Time Off Request'!$A:$A,'June 2026'!$D10,'2026 Time Off Request'!$L:$L,'June 2026'!AB$6)</f>
        <v>0</v>
      </c>
      <c r="AC10" s="148">
        <f>COUNTIFS('2026 Time Off Request'!$A:$A,'June 2026'!$D10,'2026 Time Off Request'!$L:$L,'June 2026'!AC$6)</f>
        <v>0</v>
      </c>
      <c r="AD10" s="148">
        <f>COUNTIFS('2026 Time Off Request'!$A:$A,'June 2026'!$D10,'2026 Time Off Request'!$L:$L,'June 2026'!AD$6)</f>
        <v>0</v>
      </c>
      <c r="AE10" s="148">
        <f>COUNTIFS('2026 Time Off Request'!$A:$A,'June 2026'!$D10,'2026 Time Off Request'!$L:$L,'June 2026'!AE$6)</f>
        <v>0</v>
      </c>
      <c r="AF10" s="147">
        <f>COUNTIFS('2026 Time Off Request'!$A:$A,'June 2026'!$D10,'2026 Time Off Request'!$L:$L,'June 2026'!AF$6)</f>
        <v>0</v>
      </c>
      <c r="AG10" s="147">
        <f>COUNTIFS('2026 Time Off Request'!$A:$A,'June 2026'!$D10,'2026 Time Off Request'!$L:$L,'June 2026'!AG$6)</f>
        <v>0</v>
      </c>
      <c r="AH10" s="148">
        <f>COUNTIFS('2026 Time Off Request'!$A:$A,'June 2026'!$D10,'2026 Time Off Request'!$L:$L,'June 2026'!AH$6)</f>
        <v>0</v>
      </c>
      <c r="AI10" s="148">
        <f>COUNTIFS('2026 Time Off Request'!$A:$A,'June 2026'!$D10,'2026 Time Off Request'!$L:$L,'June 2026'!AI$6)</f>
        <v>0</v>
      </c>
    </row>
    <row r="11" spans="1:39" ht="15.75">
      <c r="A11" s="2">
        <v>4</v>
      </c>
      <c r="B11" s="209" t="s">
        <v>25</v>
      </c>
      <c r="C11" s="210" t="s">
        <v>32</v>
      </c>
      <c r="D11" s="215" t="s">
        <v>33</v>
      </c>
      <c r="E11" s="212">
        <f t="shared" si="2"/>
        <v>0</v>
      </c>
      <c r="F11" s="223">
        <f>COUNTIFS('2026 Time Off Request'!$A:$A,'June 2026'!$D11,'2026 Time Off Request'!$L:$L,'June 2026'!F$6)</f>
        <v>0</v>
      </c>
      <c r="G11" s="148">
        <f>COUNTIFS('2026 Time Off Request'!$A:$A,'June 2026'!$D11,'2026 Time Off Request'!$L:$L,'June 2026'!G$6)</f>
        <v>0</v>
      </c>
      <c r="H11" s="148">
        <f>COUNTIFS('2026 Time Off Request'!$A:$A,'June 2026'!$D11,'2026 Time Off Request'!$L:$L,'June 2026'!H$6)</f>
        <v>0</v>
      </c>
      <c r="I11" s="148">
        <f>COUNTIFS('2026 Time Off Request'!$A:$A,'June 2026'!$D11,'2026 Time Off Request'!$L:$L,'June 2026'!I$6)</f>
        <v>0</v>
      </c>
      <c r="J11" s="148">
        <f>COUNTIFS('2026 Time Off Request'!$A:$A,'June 2026'!$D11,'2026 Time Off Request'!$L:$L,'June 2026'!J$6)</f>
        <v>0</v>
      </c>
      <c r="K11" s="147">
        <f>COUNTIFS('2026 Time Off Request'!$A:$A,'June 2026'!$D11,'2026 Time Off Request'!$L:$L,'June 2026'!K$6)</f>
        <v>0</v>
      </c>
      <c r="L11" s="147">
        <f>COUNTIFS('2026 Time Off Request'!$A:$A,'June 2026'!$D11,'2026 Time Off Request'!$L:$L,'June 2026'!L$6)</f>
        <v>0</v>
      </c>
      <c r="M11" s="148">
        <f>COUNTIFS('2026 Time Off Request'!$A:$A,'June 2026'!$D11,'2026 Time Off Request'!$L:$L,'June 2026'!M$6)</f>
        <v>0</v>
      </c>
      <c r="N11" s="148">
        <f>COUNTIFS('2026 Time Off Request'!$A:$A,'June 2026'!$D11,'2026 Time Off Request'!$L:$L,'June 2026'!N$6)</f>
        <v>0</v>
      </c>
      <c r="O11" s="148">
        <f>COUNTIFS('2026 Time Off Request'!$A:$A,'June 2026'!$D11,'2026 Time Off Request'!$L:$L,'June 2026'!O$6)</f>
        <v>0</v>
      </c>
      <c r="P11" s="148">
        <f>COUNTIFS('2026 Time Off Request'!$A:$A,'June 2026'!$D11,'2026 Time Off Request'!$L:$L,'June 2026'!P$6)</f>
        <v>0</v>
      </c>
      <c r="Q11" s="148">
        <f>COUNTIFS('2026 Time Off Request'!$A:$A,'June 2026'!$D11,'2026 Time Off Request'!$L:$L,'June 2026'!Q$6)</f>
        <v>0</v>
      </c>
      <c r="R11" s="147">
        <f>COUNTIFS('2026 Time Off Request'!$A:$A,'June 2026'!$D11,'2026 Time Off Request'!$L:$L,'June 2026'!R$6)</f>
        <v>0</v>
      </c>
      <c r="S11" s="147">
        <f>COUNTIFS('2026 Time Off Request'!$A:$A,'June 2026'!$D11,'2026 Time Off Request'!$L:$L,'June 2026'!S$6)</f>
        <v>0</v>
      </c>
      <c r="T11" s="148">
        <f>COUNTIFS('2026 Time Off Request'!$A:$A,'June 2026'!$D11,'2026 Time Off Request'!$L:$L,'June 2026'!T$6)</f>
        <v>0</v>
      </c>
      <c r="U11" s="148">
        <f>COUNTIFS('2026 Time Off Request'!$A:$A,'June 2026'!$D11,'2026 Time Off Request'!$L:$L,'June 2026'!U$6)</f>
        <v>0</v>
      </c>
      <c r="V11" s="148">
        <f>COUNTIFS('2026 Time Off Request'!$A:$A,'June 2026'!$D11,'2026 Time Off Request'!$L:$L,'June 2026'!V$6)</f>
        <v>0</v>
      </c>
      <c r="W11" s="148">
        <f>COUNTIFS('2026 Time Off Request'!$A:$A,'June 2026'!$D11,'2026 Time Off Request'!$L:$L,'June 2026'!W$6)</f>
        <v>0</v>
      </c>
      <c r="X11" s="148">
        <f>COUNTIFS('2026 Time Off Request'!$A:$A,'June 2026'!$D11,'2026 Time Off Request'!$L:$L,'June 2026'!X$6)</f>
        <v>0</v>
      </c>
      <c r="Y11" s="147">
        <f>COUNTIFS('2026 Time Off Request'!$A:$A,'June 2026'!$D11,'2026 Time Off Request'!$L:$L,'June 2026'!Y$6)</f>
        <v>0</v>
      </c>
      <c r="Z11" s="147">
        <f>COUNTIFS('2026 Time Off Request'!$A:$A,'June 2026'!$D11,'2026 Time Off Request'!$L:$L,'June 2026'!Z$6)</f>
        <v>0</v>
      </c>
      <c r="AA11" s="148">
        <f>COUNTIFS('2026 Time Off Request'!$A:$A,'June 2026'!$D11,'2026 Time Off Request'!$L:$L,'June 2026'!AA$6)</f>
        <v>0</v>
      </c>
      <c r="AB11" s="148">
        <f>COUNTIFS('2026 Time Off Request'!$A:$A,'June 2026'!$D11,'2026 Time Off Request'!$L:$L,'June 2026'!AB$6)</f>
        <v>0</v>
      </c>
      <c r="AC11" s="148">
        <f>COUNTIFS('2026 Time Off Request'!$A:$A,'June 2026'!$D11,'2026 Time Off Request'!$L:$L,'June 2026'!AC$6)</f>
        <v>0</v>
      </c>
      <c r="AD11" s="148">
        <f>COUNTIFS('2026 Time Off Request'!$A:$A,'June 2026'!$D11,'2026 Time Off Request'!$L:$L,'June 2026'!AD$6)</f>
        <v>0</v>
      </c>
      <c r="AE11" s="148">
        <f>COUNTIFS('2026 Time Off Request'!$A:$A,'June 2026'!$D11,'2026 Time Off Request'!$L:$L,'June 2026'!AE$6)</f>
        <v>0</v>
      </c>
      <c r="AF11" s="147">
        <f>COUNTIFS('2026 Time Off Request'!$A:$A,'June 2026'!$D11,'2026 Time Off Request'!$L:$L,'June 2026'!AF$6)</f>
        <v>0</v>
      </c>
      <c r="AG11" s="147">
        <f>COUNTIFS('2026 Time Off Request'!$A:$A,'June 2026'!$D11,'2026 Time Off Request'!$L:$L,'June 2026'!AG$6)</f>
        <v>0</v>
      </c>
      <c r="AH11" s="148">
        <f>COUNTIFS('2026 Time Off Request'!$A:$A,'June 2026'!$D11,'2026 Time Off Request'!$L:$L,'June 2026'!AH$6)</f>
        <v>0</v>
      </c>
      <c r="AI11" s="148">
        <f>COUNTIFS('2026 Time Off Request'!$A:$A,'June 2026'!$D11,'2026 Time Off Request'!$L:$L,'June 2026'!AI$6)</f>
        <v>0</v>
      </c>
    </row>
    <row r="12" spans="1:39" ht="15.75">
      <c r="A12" s="2">
        <v>5</v>
      </c>
      <c r="B12" s="209" t="s">
        <v>25</v>
      </c>
      <c r="C12" s="210" t="s">
        <v>34</v>
      </c>
      <c r="D12" s="215" t="s">
        <v>35</v>
      </c>
      <c r="E12" s="212">
        <f t="shared" si="2"/>
        <v>0</v>
      </c>
      <c r="F12" s="223">
        <f>COUNTIFS('2026 Time Off Request'!$A:$A,'June 2026'!$D12,'2026 Time Off Request'!$L:$L,'June 2026'!F$6)</f>
        <v>0</v>
      </c>
      <c r="G12" s="148">
        <f>COUNTIFS('2026 Time Off Request'!$A:$A,'June 2026'!$D12,'2026 Time Off Request'!$L:$L,'June 2026'!G$6)</f>
        <v>0</v>
      </c>
      <c r="H12" s="148">
        <f>COUNTIFS('2026 Time Off Request'!$A:$A,'June 2026'!$D12,'2026 Time Off Request'!$L:$L,'June 2026'!H$6)</f>
        <v>0</v>
      </c>
      <c r="I12" s="148">
        <f>COUNTIFS('2026 Time Off Request'!$A:$A,'June 2026'!$D12,'2026 Time Off Request'!$L:$L,'June 2026'!I$6)</f>
        <v>0</v>
      </c>
      <c r="J12" s="148">
        <f>COUNTIFS('2026 Time Off Request'!$A:$A,'June 2026'!$D12,'2026 Time Off Request'!$L:$L,'June 2026'!J$6)</f>
        <v>0</v>
      </c>
      <c r="K12" s="147">
        <f>COUNTIFS('2026 Time Off Request'!$A:$A,'June 2026'!$D12,'2026 Time Off Request'!$L:$L,'June 2026'!K$6)</f>
        <v>0</v>
      </c>
      <c r="L12" s="147">
        <f>COUNTIFS('2026 Time Off Request'!$A:$A,'June 2026'!$D12,'2026 Time Off Request'!$L:$L,'June 2026'!L$6)</f>
        <v>0</v>
      </c>
      <c r="M12" s="148">
        <f>COUNTIFS('2026 Time Off Request'!$A:$A,'June 2026'!$D12,'2026 Time Off Request'!$L:$L,'June 2026'!M$6)</f>
        <v>0</v>
      </c>
      <c r="N12" s="148">
        <f>COUNTIFS('2026 Time Off Request'!$A:$A,'June 2026'!$D12,'2026 Time Off Request'!$L:$L,'June 2026'!N$6)</f>
        <v>0</v>
      </c>
      <c r="O12" s="148">
        <f>COUNTIFS('2026 Time Off Request'!$A:$A,'June 2026'!$D12,'2026 Time Off Request'!$L:$L,'June 2026'!O$6)</f>
        <v>0</v>
      </c>
      <c r="P12" s="148">
        <f>COUNTIFS('2026 Time Off Request'!$A:$A,'June 2026'!$D12,'2026 Time Off Request'!$L:$L,'June 2026'!P$6)</f>
        <v>0</v>
      </c>
      <c r="Q12" s="148">
        <f>COUNTIFS('2026 Time Off Request'!$A:$A,'June 2026'!$D12,'2026 Time Off Request'!$L:$L,'June 2026'!Q$6)</f>
        <v>0</v>
      </c>
      <c r="R12" s="147">
        <f>COUNTIFS('2026 Time Off Request'!$A:$A,'June 2026'!$D12,'2026 Time Off Request'!$L:$L,'June 2026'!R$6)</f>
        <v>0</v>
      </c>
      <c r="S12" s="147">
        <f>COUNTIFS('2026 Time Off Request'!$A:$A,'June 2026'!$D12,'2026 Time Off Request'!$L:$L,'June 2026'!S$6)</f>
        <v>0</v>
      </c>
      <c r="T12" s="148">
        <f>COUNTIFS('2026 Time Off Request'!$A:$A,'June 2026'!$D12,'2026 Time Off Request'!$L:$L,'June 2026'!T$6)</f>
        <v>0</v>
      </c>
      <c r="U12" s="148">
        <f>COUNTIFS('2026 Time Off Request'!$A:$A,'June 2026'!$D12,'2026 Time Off Request'!$L:$L,'June 2026'!U$6)</f>
        <v>0</v>
      </c>
      <c r="V12" s="148">
        <f>COUNTIFS('2026 Time Off Request'!$A:$A,'June 2026'!$D12,'2026 Time Off Request'!$L:$L,'June 2026'!V$6)</f>
        <v>0</v>
      </c>
      <c r="W12" s="148">
        <f>COUNTIFS('2026 Time Off Request'!$A:$A,'June 2026'!$D12,'2026 Time Off Request'!$L:$L,'June 2026'!W$6)</f>
        <v>0</v>
      </c>
      <c r="X12" s="148">
        <f>COUNTIFS('2026 Time Off Request'!$A:$A,'June 2026'!$D12,'2026 Time Off Request'!$L:$L,'June 2026'!X$6)</f>
        <v>0</v>
      </c>
      <c r="Y12" s="147">
        <f>COUNTIFS('2026 Time Off Request'!$A:$A,'June 2026'!$D12,'2026 Time Off Request'!$L:$L,'June 2026'!Y$6)</f>
        <v>0</v>
      </c>
      <c r="Z12" s="147">
        <f>COUNTIFS('2026 Time Off Request'!$A:$A,'June 2026'!$D12,'2026 Time Off Request'!$L:$L,'June 2026'!Z$6)</f>
        <v>0</v>
      </c>
      <c r="AA12" s="148">
        <f>COUNTIFS('2026 Time Off Request'!$A:$A,'June 2026'!$D12,'2026 Time Off Request'!$L:$L,'June 2026'!AA$6)</f>
        <v>0</v>
      </c>
      <c r="AB12" s="148">
        <f>COUNTIFS('2026 Time Off Request'!$A:$A,'June 2026'!$D12,'2026 Time Off Request'!$L:$L,'June 2026'!AB$6)</f>
        <v>0</v>
      </c>
      <c r="AC12" s="148">
        <f>COUNTIFS('2026 Time Off Request'!$A:$A,'June 2026'!$D12,'2026 Time Off Request'!$L:$L,'June 2026'!AC$6)</f>
        <v>0</v>
      </c>
      <c r="AD12" s="148">
        <f>COUNTIFS('2026 Time Off Request'!$A:$A,'June 2026'!$D12,'2026 Time Off Request'!$L:$L,'June 2026'!AD$6)</f>
        <v>0</v>
      </c>
      <c r="AE12" s="148">
        <f>COUNTIFS('2026 Time Off Request'!$A:$A,'June 2026'!$D12,'2026 Time Off Request'!$L:$L,'June 2026'!AE$6)</f>
        <v>0</v>
      </c>
      <c r="AF12" s="147">
        <f>COUNTIFS('2026 Time Off Request'!$A:$A,'June 2026'!$D12,'2026 Time Off Request'!$L:$L,'June 2026'!AF$6)</f>
        <v>0</v>
      </c>
      <c r="AG12" s="147">
        <f>COUNTIFS('2026 Time Off Request'!$A:$A,'June 2026'!$D12,'2026 Time Off Request'!$L:$L,'June 2026'!AG$6)</f>
        <v>0</v>
      </c>
      <c r="AH12" s="148">
        <f>COUNTIFS('2026 Time Off Request'!$A:$A,'June 2026'!$D12,'2026 Time Off Request'!$L:$L,'June 2026'!AH$6)</f>
        <v>0</v>
      </c>
      <c r="AI12" s="148">
        <f>COUNTIFS('2026 Time Off Request'!$A:$A,'June 2026'!$D12,'2026 Time Off Request'!$L:$L,'June 2026'!AI$6)</f>
        <v>0</v>
      </c>
    </row>
    <row r="13" spans="1:39" ht="15.75">
      <c r="A13" s="2">
        <v>7</v>
      </c>
      <c r="B13" s="209" t="s">
        <v>36</v>
      </c>
      <c r="C13" s="210" t="s">
        <v>37</v>
      </c>
      <c r="D13" s="215" t="s">
        <v>38</v>
      </c>
      <c r="E13" s="212">
        <f t="shared" si="2"/>
        <v>0</v>
      </c>
      <c r="F13" s="223">
        <f>COUNTIFS('2026 Time Off Request'!$A:$A,'June 2026'!$D13,'2026 Time Off Request'!$L:$L,'June 2026'!F$6)</f>
        <v>0</v>
      </c>
      <c r="G13" s="148">
        <f>COUNTIFS('2026 Time Off Request'!$A:$A,'June 2026'!$D13,'2026 Time Off Request'!$L:$L,'June 2026'!G$6)</f>
        <v>0</v>
      </c>
      <c r="H13" s="148">
        <f>COUNTIFS('2026 Time Off Request'!$A:$A,'June 2026'!$D13,'2026 Time Off Request'!$L:$L,'June 2026'!H$6)</f>
        <v>0</v>
      </c>
      <c r="I13" s="148">
        <f>COUNTIFS('2026 Time Off Request'!$A:$A,'June 2026'!$D13,'2026 Time Off Request'!$L:$L,'June 2026'!I$6)</f>
        <v>0</v>
      </c>
      <c r="J13" s="148">
        <f>COUNTIFS('2026 Time Off Request'!$A:$A,'June 2026'!$D13,'2026 Time Off Request'!$L:$L,'June 2026'!J$6)</f>
        <v>0</v>
      </c>
      <c r="K13" s="147">
        <f>COUNTIFS('2026 Time Off Request'!$A:$A,'June 2026'!$D13,'2026 Time Off Request'!$L:$L,'June 2026'!K$6)</f>
        <v>0</v>
      </c>
      <c r="L13" s="147">
        <f>COUNTIFS('2026 Time Off Request'!$A:$A,'June 2026'!$D13,'2026 Time Off Request'!$L:$L,'June 2026'!L$6)</f>
        <v>0</v>
      </c>
      <c r="M13" s="148">
        <f>COUNTIFS('2026 Time Off Request'!$A:$A,'June 2026'!$D13,'2026 Time Off Request'!$L:$L,'June 2026'!M$6)</f>
        <v>0</v>
      </c>
      <c r="N13" s="148">
        <f>COUNTIFS('2026 Time Off Request'!$A:$A,'June 2026'!$D13,'2026 Time Off Request'!$L:$L,'June 2026'!N$6)</f>
        <v>0</v>
      </c>
      <c r="O13" s="148">
        <f>COUNTIFS('2026 Time Off Request'!$A:$A,'June 2026'!$D13,'2026 Time Off Request'!$L:$L,'June 2026'!O$6)</f>
        <v>0</v>
      </c>
      <c r="P13" s="148">
        <f>COUNTIFS('2026 Time Off Request'!$A:$A,'June 2026'!$D13,'2026 Time Off Request'!$L:$L,'June 2026'!P$6)</f>
        <v>0</v>
      </c>
      <c r="Q13" s="148">
        <f>COUNTIFS('2026 Time Off Request'!$A:$A,'June 2026'!$D13,'2026 Time Off Request'!$L:$L,'June 2026'!Q$6)</f>
        <v>0</v>
      </c>
      <c r="R13" s="147">
        <f>COUNTIFS('2026 Time Off Request'!$A:$A,'June 2026'!$D13,'2026 Time Off Request'!$L:$L,'June 2026'!R$6)</f>
        <v>0</v>
      </c>
      <c r="S13" s="147">
        <f>COUNTIFS('2026 Time Off Request'!$A:$A,'June 2026'!$D13,'2026 Time Off Request'!$L:$L,'June 2026'!S$6)</f>
        <v>0</v>
      </c>
      <c r="T13" s="148">
        <f>COUNTIFS('2026 Time Off Request'!$A:$A,'June 2026'!$D13,'2026 Time Off Request'!$L:$L,'June 2026'!T$6)</f>
        <v>0</v>
      </c>
      <c r="U13" s="148">
        <f>COUNTIFS('2026 Time Off Request'!$A:$A,'June 2026'!$D13,'2026 Time Off Request'!$L:$L,'June 2026'!U$6)</f>
        <v>0</v>
      </c>
      <c r="V13" s="148">
        <f>COUNTIFS('2026 Time Off Request'!$A:$A,'June 2026'!$D13,'2026 Time Off Request'!$L:$L,'June 2026'!V$6)</f>
        <v>0</v>
      </c>
      <c r="W13" s="148">
        <f>COUNTIFS('2026 Time Off Request'!$A:$A,'June 2026'!$D13,'2026 Time Off Request'!$L:$L,'June 2026'!W$6)</f>
        <v>0</v>
      </c>
      <c r="X13" s="148">
        <f>COUNTIFS('2026 Time Off Request'!$A:$A,'June 2026'!$D13,'2026 Time Off Request'!$L:$L,'June 2026'!X$6)</f>
        <v>0</v>
      </c>
      <c r="Y13" s="147">
        <f>COUNTIFS('2026 Time Off Request'!$A:$A,'June 2026'!$D13,'2026 Time Off Request'!$L:$L,'June 2026'!Y$6)</f>
        <v>0</v>
      </c>
      <c r="Z13" s="147">
        <f>COUNTIFS('2026 Time Off Request'!$A:$A,'June 2026'!$D13,'2026 Time Off Request'!$L:$L,'June 2026'!Z$6)</f>
        <v>0</v>
      </c>
      <c r="AA13" s="148">
        <f>COUNTIFS('2026 Time Off Request'!$A:$A,'June 2026'!$D13,'2026 Time Off Request'!$L:$L,'June 2026'!AA$6)</f>
        <v>0</v>
      </c>
      <c r="AB13" s="148">
        <f>COUNTIFS('2026 Time Off Request'!$A:$A,'June 2026'!$D13,'2026 Time Off Request'!$L:$L,'June 2026'!AB$6)</f>
        <v>0</v>
      </c>
      <c r="AC13" s="148">
        <f>COUNTIFS('2026 Time Off Request'!$A:$A,'June 2026'!$D13,'2026 Time Off Request'!$L:$L,'June 2026'!AC$6)</f>
        <v>0</v>
      </c>
      <c r="AD13" s="148">
        <f>COUNTIFS('2026 Time Off Request'!$A:$A,'June 2026'!$D13,'2026 Time Off Request'!$L:$L,'June 2026'!AD$6)</f>
        <v>0</v>
      </c>
      <c r="AE13" s="148">
        <f>COUNTIFS('2026 Time Off Request'!$A:$A,'June 2026'!$D13,'2026 Time Off Request'!$L:$L,'June 2026'!AE$6)</f>
        <v>0</v>
      </c>
      <c r="AF13" s="147">
        <f>COUNTIFS('2026 Time Off Request'!$A:$A,'June 2026'!$D13,'2026 Time Off Request'!$L:$L,'June 2026'!AF$6)</f>
        <v>0</v>
      </c>
      <c r="AG13" s="147">
        <f>COUNTIFS('2026 Time Off Request'!$A:$A,'June 2026'!$D13,'2026 Time Off Request'!$L:$L,'June 2026'!AG$6)</f>
        <v>0</v>
      </c>
      <c r="AH13" s="148">
        <f>COUNTIFS('2026 Time Off Request'!$A:$A,'June 2026'!$D13,'2026 Time Off Request'!$L:$L,'June 2026'!AH$6)</f>
        <v>0</v>
      </c>
      <c r="AI13" s="148">
        <f>COUNTIFS('2026 Time Off Request'!$A:$A,'June 2026'!$D13,'2026 Time Off Request'!$L:$L,'June 2026'!AI$6)</f>
        <v>0</v>
      </c>
    </row>
    <row r="14" spans="1:39" ht="15.75">
      <c r="A14" s="2">
        <v>8</v>
      </c>
      <c r="B14" s="209" t="s">
        <v>36</v>
      </c>
      <c r="C14" s="210" t="s">
        <v>37</v>
      </c>
      <c r="D14" s="215" t="s">
        <v>39</v>
      </c>
      <c r="E14" s="212">
        <f t="shared" si="2"/>
        <v>0</v>
      </c>
      <c r="F14" s="223">
        <f>COUNTIFS('2026 Time Off Request'!$A:$A,'June 2026'!$D14,'2026 Time Off Request'!$L:$L,'June 2026'!F$6)</f>
        <v>0</v>
      </c>
      <c r="G14" s="148">
        <f>COUNTIFS('2026 Time Off Request'!$A:$A,'June 2026'!$D14,'2026 Time Off Request'!$L:$L,'June 2026'!G$6)</f>
        <v>0</v>
      </c>
      <c r="H14" s="148">
        <f>COUNTIFS('2026 Time Off Request'!$A:$A,'June 2026'!$D14,'2026 Time Off Request'!$L:$L,'June 2026'!H$6)</f>
        <v>0</v>
      </c>
      <c r="I14" s="148">
        <f>COUNTIFS('2026 Time Off Request'!$A:$A,'June 2026'!$D14,'2026 Time Off Request'!$L:$L,'June 2026'!I$6)</f>
        <v>0</v>
      </c>
      <c r="J14" s="148">
        <f>COUNTIFS('2026 Time Off Request'!$A:$A,'June 2026'!$D14,'2026 Time Off Request'!$L:$L,'June 2026'!J$6)</f>
        <v>0</v>
      </c>
      <c r="K14" s="147">
        <f>COUNTIFS('2026 Time Off Request'!$A:$A,'June 2026'!$D14,'2026 Time Off Request'!$L:$L,'June 2026'!K$6)</f>
        <v>0</v>
      </c>
      <c r="L14" s="147">
        <f>COUNTIFS('2026 Time Off Request'!$A:$A,'June 2026'!$D14,'2026 Time Off Request'!$L:$L,'June 2026'!L$6)</f>
        <v>0</v>
      </c>
      <c r="M14" s="148">
        <f>COUNTIFS('2026 Time Off Request'!$A:$A,'June 2026'!$D14,'2026 Time Off Request'!$L:$L,'June 2026'!M$6)</f>
        <v>0</v>
      </c>
      <c r="N14" s="148">
        <f>COUNTIFS('2026 Time Off Request'!$A:$A,'June 2026'!$D14,'2026 Time Off Request'!$L:$L,'June 2026'!N$6)</f>
        <v>0</v>
      </c>
      <c r="O14" s="148">
        <f>COUNTIFS('2026 Time Off Request'!$A:$A,'June 2026'!$D14,'2026 Time Off Request'!$L:$L,'June 2026'!O$6)</f>
        <v>0</v>
      </c>
      <c r="P14" s="148">
        <f>COUNTIFS('2026 Time Off Request'!$A:$A,'June 2026'!$D14,'2026 Time Off Request'!$L:$L,'June 2026'!P$6)</f>
        <v>0</v>
      </c>
      <c r="Q14" s="148">
        <f>COUNTIFS('2026 Time Off Request'!$A:$A,'June 2026'!$D14,'2026 Time Off Request'!$L:$L,'June 2026'!Q$6)</f>
        <v>0</v>
      </c>
      <c r="R14" s="147">
        <f>COUNTIFS('2026 Time Off Request'!$A:$A,'June 2026'!$D14,'2026 Time Off Request'!$L:$L,'June 2026'!R$6)</f>
        <v>0</v>
      </c>
      <c r="S14" s="147">
        <f>COUNTIFS('2026 Time Off Request'!$A:$A,'June 2026'!$D14,'2026 Time Off Request'!$L:$L,'June 2026'!S$6)</f>
        <v>0</v>
      </c>
      <c r="T14" s="148">
        <f>COUNTIFS('2026 Time Off Request'!$A:$A,'June 2026'!$D14,'2026 Time Off Request'!$L:$L,'June 2026'!T$6)</f>
        <v>0</v>
      </c>
      <c r="U14" s="148">
        <f>COUNTIFS('2026 Time Off Request'!$A:$A,'June 2026'!$D14,'2026 Time Off Request'!$L:$L,'June 2026'!U$6)</f>
        <v>0</v>
      </c>
      <c r="V14" s="148">
        <f>COUNTIFS('2026 Time Off Request'!$A:$A,'June 2026'!$D14,'2026 Time Off Request'!$L:$L,'June 2026'!V$6)</f>
        <v>0</v>
      </c>
      <c r="W14" s="148">
        <f>COUNTIFS('2026 Time Off Request'!$A:$A,'June 2026'!$D14,'2026 Time Off Request'!$L:$L,'June 2026'!W$6)</f>
        <v>0</v>
      </c>
      <c r="X14" s="148">
        <f>COUNTIFS('2026 Time Off Request'!$A:$A,'June 2026'!$D14,'2026 Time Off Request'!$L:$L,'June 2026'!X$6)</f>
        <v>0</v>
      </c>
      <c r="Y14" s="147">
        <f>COUNTIFS('2026 Time Off Request'!$A:$A,'June 2026'!$D14,'2026 Time Off Request'!$L:$L,'June 2026'!Y$6)</f>
        <v>0</v>
      </c>
      <c r="Z14" s="147">
        <f>COUNTIFS('2026 Time Off Request'!$A:$A,'June 2026'!$D14,'2026 Time Off Request'!$L:$L,'June 2026'!Z$6)</f>
        <v>0</v>
      </c>
      <c r="AA14" s="148">
        <f>COUNTIFS('2026 Time Off Request'!$A:$A,'June 2026'!$D14,'2026 Time Off Request'!$L:$L,'June 2026'!AA$6)</f>
        <v>0</v>
      </c>
      <c r="AB14" s="148">
        <f>COUNTIFS('2026 Time Off Request'!$A:$A,'June 2026'!$D14,'2026 Time Off Request'!$L:$L,'June 2026'!AB$6)</f>
        <v>0</v>
      </c>
      <c r="AC14" s="148">
        <f>COUNTIFS('2026 Time Off Request'!$A:$A,'June 2026'!$D14,'2026 Time Off Request'!$L:$L,'June 2026'!AC$6)</f>
        <v>0</v>
      </c>
      <c r="AD14" s="148">
        <f>COUNTIFS('2026 Time Off Request'!$A:$A,'June 2026'!$D14,'2026 Time Off Request'!$L:$L,'June 2026'!AD$6)</f>
        <v>0</v>
      </c>
      <c r="AE14" s="148">
        <f>COUNTIFS('2026 Time Off Request'!$A:$A,'June 2026'!$D14,'2026 Time Off Request'!$L:$L,'June 2026'!AE$6)</f>
        <v>0</v>
      </c>
      <c r="AF14" s="147">
        <f>COUNTIFS('2026 Time Off Request'!$A:$A,'June 2026'!$D14,'2026 Time Off Request'!$L:$L,'June 2026'!AF$6)</f>
        <v>0</v>
      </c>
      <c r="AG14" s="147">
        <f>COUNTIFS('2026 Time Off Request'!$A:$A,'June 2026'!$D14,'2026 Time Off Request'!$L:$L,'June 2026'!AG$6)</f>
        <v>0</v>
      </c>
      <c r="AH14" s="148">
        <f>COUNTIFS('2026 Time Off Request'!$A:$A,'June 2026'!$D14,'2026 Time Off Request'!$L:$L,'June 2026'!AH$6)</f>
        <v>0</v>
      </c>
      <c r="AI14" s="148">
        <f>COUNTIFS('2026 Time Off Request'!$A:$A,'June 2026'!$D14,'2026 Time Off Request'!$L:$L,'June 2026'!AI$6)</f>
        <v>0</v>
      </c>
    </row>
    <row r="15" spans="1:39" ht="15.75">
      <c r="A15" s="2">
        <v>9</v>
      </c>
      <c r="B15" s="209" t="s">
        <v>36</v>
      </c>
      <c r="C15" s="210" t="s">
        <v>37</v>
      </c>
      <c r="D15" s="215" t="s">
        <v>40</v>
      </c>
      <c r="E15" s="212">
        <f t="shared" si="2"/>
        <v>0</v>
      </c>
      <c r="F15" s="223">
        <f>COUNTIFS('2026 Time Off Request'!$A:$A,'June 2026'!$D15,'2026 Time Off Request'!$L:$L,'June 2026'!F$6)</f>
        <v>0</v>
      </c>
      <c r="G15" s="148">
        <f>COUNTIFS('2026 Time Off Request'!$A:$A,'June 2026'!$D15,'2026 Time Off Request'!$L:$L,'June 2026'!G$6)</f>
        <v>0</v>
      </c>
      <c r="H15" s="148">
        <f>COUNTIFS('2026 Time Off Request'!$A:$A,'June 2026'!$D15,'2026 Time Off Request'!$L:$L,'June 2026'!H$6)</f>
        <v>0</v>
      </c>
      <c r="I15" s="148">
        <f>COUNTIFS('2026 Time Off Request'!$A:$A,'June 2026'!$D15,'2026 Time Off Request'!$L:$L,'June 2026'!I$6)</f>
        <v>0</v>
      </c>
      <c r="J15" s="148">
        <f>COUNTIFS('2026 Time Off Request'!$A:$A,'June 2026'!$D15,'2026 Time Off Request'!$L:$L,'June 2026'!J$6)</f>
        <v>0</v>
      </c>
      <c r="K15" s="147">
        <f>COUNTIFS('2026 Time Off Request'!$A:$A,'June 2026'!$D15,'2026 Time Off Request'!$L:$L,'June 2026'!K$6)</f>
        <v>0</v>
      </c>
      <c r="L15" s="147">
        <f>COUNTIFS('2026 Time Off Request'!$A:$A,'June 2026'!$D15,'2026 Time Off Request'!$L:$L,'June 2026'!L$6)</f>
        <v>0</v>
      </c>
      <c r="M15" s="148">
        <f>COUNTIFS('2026 Time Off Request'!$A:$A,'June 2026'!$D15,'2026 Time Off Request'!$L:$L,'June 2026'!M$6)</f>
        <v>0</v>
      </c>
      <c r="N15" s="148">
        <f>COUNTIFS('2026 Time Off Request'!$A:$A,'June 2026'!$D15,'2026 Time Off Request'!$L:$L,'June 2026'!N$6)</f>
        <v>0</v>
      </c>
      <c r="O15" s="148">
        <f>COUNTIFS('2026 Time Off Request'!$A:$A,'June 2026'!$D15,'2026 Time Off Request'!$L:$L,'June 2026'!O$6)</f>
        <v>0</v>
      </c>
      <c r="P15" s="148">
        <f>COUNTIFS('2026 Time Off Request'!$A:$A,'June 2026'!$D15,'2026 Time Off Request'!$L:$L,'June 2026'!P$6)</f>
        <v>0</v>
      </c>
      <c r="Q15" s="148">
        <f>COUNTIFS('2026 Time Off Request'!$A:$A,'June 2026'!$D15,'2026 Time Off Request'!$L:$L,'June 2026'!Q$6)</f>
        <v>0</v>
      </c>
      <c r="R15" s="147">
        <f>COUNTIFS('2026 Time Off Request'!$A:$A,'June 2026'!$D15,'2026 Time Off Request'!$L:$L,'June 2026'!R$6)</f>
        <v>0</v>
      </c>
      <c r="S15" s="147">
        <f>COUNTIFS('2026 Time Off Request'!$A:$A,'June 2026'!$D15,'2026 Time Off Request'!$L:$L,'June 2026'!S$6)</f>
        <v>0</v>
      </c>
      <c r="T15" s="148">
        <f>COUNTIFS('2026 Time Off Request'!$A:$A,'June 2026'!$D15,'2026 Time Off Request'!$L:$L,'June 2026'!T$6)</f>
        <v>0</v>
      </c>
      <c r="U15" s="148">
        <f>COUNTIFS('2026 Time Off Request'!$A:$A,'June 2026'!$D15,'2026 Time Off Request'!$L:$L,'June 2026'!U$6)</f>
        <v>0</v>
      </c>
      <c r="V15" s="148">
        <f>COUNTIFS('2026 Time Off Request'!$A:$A,'June 2026'!$D15,'2026 Time Off Request'!$L:$L,'June 2026'!V$6)</f>
        <v>0</v>
      </c>
      <c r="W15" s="148">
        <f>COUNTIFS('2026 Time Off Request'!$A:$A,'June 2026'!$D15,'2026 Time Off Request'!$L:$L,'June 2026'!W$6)</f>
        <v>0</v>
      </c>
      <c r="X15" s="148">
        <f>COUNTIFS('2026 Time Off Request'!$A:$A,'June 2026'!$D15,'2026 Time Off Request'!$L:$L,'June 2026'!X$6)</f>
        <v>0</v>
      </c>
      <c r="Y15" s="147">
        <f>COUNTIFS('2026 Time Off Request'!$A:$A,'June 2026'!$D15,'2026 Time Off Request'!$L:$L,'June 2026'!Y$6)</f>
        <v>0</v>
      </c>
      <c r="Z15" s="147">
        <f>COUNTIFS('2026 Time Off Request'!$A:$A,'June 2026'!$D15,'2026 Time Off Request'!$L:$L,'June 2026'!Z$6)</f>
        <v>0</v>
      </c>
      <c r="AA15" s="148">
        <f>COUNTIFS('2026 Time Off Request'!$A:$A,'June 2026'!$D15,'2026 Time Off Request'!$L:$L,'June 2026'!AA$6)</f>
        <v>0</v>
      </c>
      <c r="AB15" s="148">
        <f>COUNTIFS('2026 Time Off Request'!$A:$A,'June 2026'!$D15,'2026 Time Off Request'!$L:$L,'June 2026'!AB$6)</f>
        <v>0</v>
      </c>
      <c r="AC15" s="148">
        <f>COUNTIFS('2026 Time Off Request'!$A:$A,'June 2026'!$D15,'2026 Time Off Request'!$L:$L,'June 2026'!AC$6)</f>
        <v>0</v>
      </c>
      <c r="AD15" s="148">
        <f>COUNTIFS('2026 Time Off Request'!$A:$A,'June 2026'!$D15,'2026 Time Off Request'!$L:$L,'June 2026'!AD$6)</f>
        <v>0</v>
      </c>
      <c r="AE15" s="148">
        <f>COUNTIFS('2026 Time Off Request'!$A:$A,'June 2026'!$D15,'2026 Time Off Request'!$L:$L,'June 2026'!AE$6)</f>
        <v>0</v>
      </c>
      <c r="AF15" s="147">
        <f>COUNTIFS('2026 Time Off Request'!$A:$A,'June 2026'!$D15,'2026 Time Off Request'!$L:$L,'June 2026'!AF$6)</f>
        <v>0</v>
      </c>
      <c r="AG15" s="147">
        <f>COUNTIFS('2026 Time Off Request'!$A:$A,'June 2026'!$D15,'2026 Time Off Request'!$L:$L,'June 2026'!AG$6)</f>
        <v>0</v>
      </c>
      <c r="AH15" s="148">
        <f>COUNTIFS('2026 Time Off Request'!$A:$A,'June 2026'!$D15,'2026 Time Off Request'!$L:$L,'June 2026'!AH$6)</f>
        <v>0</v>
      </c>
      <c r="AI15" s="148">
        <f>COUNTIFS('2026 Time Off Request'!$A:$A,'June 2026'!$D15,'2026 Time Off Request'!$L:$L,'June 2026'!AI$6)</f>
        <v>0</v>
      </c>
    </row>
    <row r="16" spans="1:39" ht="15.75">
      <c r="A16" s="2">
        <v>10</v>
      </c>
      <c r="B16" s="209" t="s">
        <v>36</v>
      </c>
      <c r="C16" s="210" t="s">
        <v>37</v>
      </c>
      <c r="D16" s="215" t="s">
        <v>41</v>
      </c>
      <c r="E16" s="212">
        <f t="shared" si="2"/>
        <v>0</v>
      </c>
      <c r="F16" s="223">
        <f>COUNTIFS('2026 Time Off Request'!$A:$A,'June 2026'!$D16,'2026 Time Off Request'!$L:$L,'June 2026'!F$6)</f>
        <v>0</v>
      </c>
      <c r="G16" s="148">
        <f>COUNTIFS('2026 Time Off Request'!$A:$A,'June 2026'!$D16,'2026 Time Off Request'!$L:$L,'June 2026'!G$6)</f>
        <v>0</v>
      </c>
      <c r="H16" s="148">
        <f>COUNTIFS('2026 Time Off Request'!$A:$A,'June 2026'!$D16,'2026 Time Off Request'!$L:$L,'June 2026'!H$6)</f>
        <v>0</v>
      </c>
      <c r="I16" s="148">
        <f>COUNTIFS('2026 Time Off Request'!$A:$A,'June 2026'!$D16,'2026 Time Off Request'!$L:$L,'June 2026'!I$6)</f>
        <v>0</v>
      </c>
      <c r="J16" s="148">
        <f>COUNTIFS('2026 Time Off Request'!$A:$A,'June 2026'!$D16,'2026 Time Off Request'!$L:$L,'June 2026'!J$6)</f>
        <v>0</v>
      </c>
      <c r="K16" s="147">
        <f>COUNTIFS('2026 Time Off Request'!$A:$A,'June 2026'!$D16,'2026 Time Off Request'!$L:$L,'June 2026'!K$6)</f>
        <v>0</v>
      </c>
      <c r="L16" s="147">
        <f>COUNTIFS('2026 Time Off Request'!$A:$A,'June 2026'!$D16,'2026 Time Off Request'!$L:$L,'June 2026'!L$6)</f>
        <v>0</v>
      </c>
      <c r="M16" s="148">
        <f>COUNTIFS('2026 Time Off Request'!$A:$A,'June 2026'!$D16,'2026 Time Off Request'!$L:$L,'June 2026'!M$6)</f>
        <v>0</v>
      </c>
      <c r="N16" s="148">
        <f>COUNTIFS('2026 Time Off Request'!$A:$A,'June 2026'!$D16,'2026 Time Off Request'!$L:$L,'June 2026'!N$6)</f>
        <v>0</v>
      </c>
      <c r="O16" s="148">
        <f>COUNTIFS('2026 Time Off Request'!$A:$A,'June 2026'!$D16,'2026 Time Off Request'!$L:$L,'June 2026'!O$6)</f>
        <v>0</v>
      </c>
      <c r="P16" s="148">
        <f>COUNTIFS('2026 Time Off Request'!$A:$A,'June 2026'!$D16,'2026 Time Off Request'!$L:$L,'June 2026'!P$6)</f>
        <v>0</v>
      </c>
      <c r="Q16" s="148">
        <f>COUNTIFS('2026 Time Off Request'!$A:$A,'June 2026'!$D16,'2026 Time Off Request'!$L:$L,'June 2026'!Q$6)</f>
        <v>0</v>
      </c>
      <c r="R16" s="147">
        <f>COUNTIFS('2026 Time Off Request'!$A:$A,'June 2026'!$D16,'2026 Time Off Request'!$L:$L,'June 2026'!R$6)</f>
        <v>0</v>
      </c>
      <c r="S16" s="147">
        <f>COUNTIFS('2026 Time Off Request'!$A:$A,'June 2026'!$D16,'2026 Time Off Request'!$L:$L,'June 2026'!S$6)</f>
        <v>0</v>
      </c>
      <c r="T16" s="148">
        <f>COUNTIFS('2026 Time Off Request'!$A:$A,'June 2026'!$D16,'2026 Time Off Request'!$L:$L,'June 2026'!T$6)</f>
        <v>0</v>
      </c>
      <c r="U16" s="148">
        <f>COUNTIFS('2026 Time Off Request'!$A:$A,'June 2026'!$D16,'2026 Time Off Request'!$L:$L,'June 2026'!U$6)</f>
        <v>0</v>
      </c>
      <c r="V16" s="148">
        <f>COUNTIFS('2026 Time Off Request'!$A:$A,'June 2026'!$D16,'2026 Time Off Request'!$L:$L,'June 2026'!V$6)</f>
        <v>0</v>
      </c>
      <c r="W16" s="148">
        <f>COUNTIFS('2026 Time Off Request'!$A:$A,'June 2026'!$D16,'2026 Time Off Request'!$L:$L,'June 2026'!W$6)</f>
        <v>0</v>
      </c>
      <c r="X16" s="148">
        <f>COUNTIFS('2026 Time Off Request'!$A:$A,'June 2026'!$D16,'2026 Time Off Request'!$L:$L,'June 2026'!X$6)</f>
        <v>0</v>
      </c>
      <c r="Y16" s="147">
        <f>COUNTIFS('2026 Time Off Request'!$A:$A,'June 2026'!$D16,'2026 Time Off Request'!$L:$L,'June 2026'!Y$6)</f>
        <v>0</v>
      </c>
      <c r="Z16" s="147">
        <f>COUNTIFS('2026 Time Off Request'!$A:$A,'June 2026'!$D16,'2026 Time Off Request'!$L:$L,'June 2026'!Z$6)</f>
        <v>0</v>
      </c>
      <c r="AA16" s="148">
        <f>COUNTIFS('2026 Time Off Request'!$A:$A,'June 2026'!$D16,'2026 Time Off Request'!$L:$L,'June 2026'!AA$6)</f>
        <v>0</v>
      </c>
      <c r="AB16" s="148">
        <f>COUNTIFS('2026 Time Off Request'!$A:$A,'June 2026'!$D16,'2026 Time Off Request'!$L:$L,'June 2026'!AB$6)</f>
        <v>0</v>
      </c>
      <c r="AC16" s="148">
        <f>COUNTIFS('2026 Time Off Request'!$A:$A,'June 2026'!$D16,'2026 Time Off Request'!$L:$L,'June 2026'!AC$6)</f>
        <v>0</v>
      </c>
      <c r="AD16" s="148">
        <f>COUNTIFS('2026 Time Off Request'!$A:$A,'June 2026'!$D16,'2026 Time Off Request'!$L:$L,'June 2026'!AD$6)</f>
        <v>0</v>
      </c>
      <c r="AE16" s="148">
        <f>COUNTIFS('2026 Time Off Request'!$A:$A,'June 2026'!$D16,'2026 Time Off Request'!$L:$L,'June 2026'!AE$6)</f>
        <v>0</v>
      </c>
      <c r="AF16" s="147">
        <f>COUNTIFS('2026 Time Off Request'!$A:$A,'June 2026'!$D16,'2026 Time Off Request'!$L:$L,'June 2026'!AF$6)</f>
        <v>0</v>
      </c>
      <c r="AG16" s="147">
        <f>COUNTIFS('2026 Time Off Request'!$A:$A,'June 2026'!$D16,'2026 Time Off Request'!$L:$L,'June 2026'!AG$6)</f>
        <v>0</v>
      </c>
      <c r="AH16" s="148">
        <f>COUNTIFS('2026 Time Off Request'!$A:$A,'June 2026'!$D16,'2026 Time Off Request'!$L:$L,'June 2026'!AH$6)</f>
        <v>0</v>
      </c>
      <c r="AI16" s="148">
        <f>COUNTIFS('2026 Time Off Request'!$A:$A,'June 2026'!$D16,'2026 Time Off Request'!$L:$L,'June 2026'!AI$6)</f>
        <v>0</v>
      </c>
    </row>
    <row r="17" spans="1:35" ht="15.75">
      <c r="A17" s="2">
        <v>11</v>
      </c>
      <c r="B17" s="209" t="s">
        <v>36</v>
      </c>
      <c r="C17" s="210" t="s">
        <v>37</v>
      </c>
      <c r="D17" s="215" t="s">
        <v>42</v>
      </c>
      <c r="E17" s="212">
        <f t="shared" si="2"/>
        <v>0</v>
      </c>
      <c r="F17" s="223">
        <f>COUNTIFS('2026 Time Off Request'!$A:$A,'June 2026'!$D17,'2026 Time Off Request'!$L:$L,'June 2026'!F$6)</f>
        <v>0</v>
      </c>
      <c r="G17" s="148">
        <f>COUNTIFS('2026 Time Off Request'!$A:$A,'June 2026'!$D17,'2026 Time Off Request'!$L:$L,'June 2026'!G$6)</f>
        <v>0</v>
      </c>
      <c r="H17" s="148">
        <f>COUNTIFS('2026 Time Off Request'!$A:$A,'June 2026'!$D17,'2026 Time Off Request'!$L:$L,'June 2026'!H$6)</f>
        <v>0</v>
      </c>
      <c r="I17" s="148">
        <f>COUNTIFS('2026 Time Off Request'!$A:$A,'June 2026'!$D17,'2026 Time Off Request'!$L:$L,'June 2026'!I$6)</f>
        <v>0</v>
      </c>
      <c r="J17" s="148">
        <f>COUNTIFS('2026 Time Off Request'!$A:$A,'June 2026'!$D17,'2026 Time Off Request'!$L:$L,'June 2026'!J$6)</f>
        <v>0</v>
      </c>
      <c r="K17" s="147">
        <f>COUNTIFS('2026 Time Off Request'!$A:$A,'June 2026'!$D17,'2026 Time Off Request'!$L:$L,'June 2026'!K$6)</f>
        <v>0</v>
      </c>
      <c r="L17" s="147">
        <f>COUNTIFS('2026 Time Off Request'!$A:$A,'June 2026'!$D17,'2026 Time Off Request'!$L:$L,'June 2026'!L$6)</f>
        <v>0</v>
      </c>
      <c r="M17" s="148">
        <f>COUNTIFS('2026 Time Off Request'!$A:$A,'June 2026'!$D17,'2026 Time Off Request'!$L:$L,'June 2026'!M$6)</f>
        <v>0</v>
      </c>
      <c r="N17" s="148">
        <f>COUNTIFS('2026 Time Off Request'!$A:$A,'June 2026'!$D17,'2026 Time Off Request'!$L:$L,'June 2026'!N$6)</f>
        <v>0</v>
      </c>
      <c r="O17" s="148">
        <f>COUNTIFS('2026 Time Off Request'!$A:$A,'June 2026'!$D17,'2026 Time Off Request'!$L:$L,'June 2026'!O$6)</f>
        <v>0</v>
      </c>
      <c r="P17" s="148">
        <f>COUNTIFS('2026 Time Off Request'!$A:$A,'June 2026'!$D17,'2026 Time Off Request'!$L:$L,'June 2026'!P$6)</f>
        <v>0</v>
      </c>
      <c r="Q17" s="148">
        <f>COUNTIFS('2026 Time Off Request'!$A:$A,'June 2026'!$D17,'2026 Time Off Request'!$L:$L,'June 2026'!Q$6)</f>
        <v>0</v>
      </c>
      <c r="R17" s="147">
        <f>COUNTIFS('2026 Time Off Request'!$A:$A,'June 2026'!$D17,'2026 Time Off Request'!$L:$L,'June 2026'!R$6)</f>
        <v>0</v>
      </c>
      <c r="S17" s="147">
        <f>COUNTIFS('2026 Time Off Request'!$A:$A,'June 2026'!$D17,'2026 Time Off Request'!$L:$L,'June 2026'!S$6)</f>
        <v>0</v>
      </c>
      <c r="T17" s="148">
        <f>COUNTIFS('2026 Time Off Request'!$A:$A,'June 2026'!$D17,'2026 Time Off Request'!$L:$L,'June 2026'!T$6)</f>
        <v>0</v>
      </c>
      <c r="U17" s="148">
        <f>COUNTIFS('2026 Time Off Request'!$A:$A,'June 2026'!$D17,'2026 Time Off Request'!$L:$L,'June 2026'!U$6)</f>
        <v>0</v>
      </c>
      <c r="V17" s="148">
        <f>COUNTIFS('2026 Time Off Request'!$A:$A,'June 2026'!$D17,'2026 Time Off Request'!$L:$L,'June 2026'!V$6)</f>
        <v>0</v>
      </c>
      <c r="W17" s="148">
        <f>COUNTIFS('2026 Time Off Request'!$A:$A,'June 2026'!$D17,'2026 Time Off Request'!$L:$L,'June 2026'!W$6)</f>
        <v>0</v>
      </c>
      <c r="X17" s="148">
        <f>COUNTIFS('2026 Time Off Request'!$A:$A,'June 2026'!$D17,'2026 Time Off Request'!$L:$L,'June 2026'!X$6)</f>
        <v>0</v>
      </c>
      <c r="Y17" s="147">
        <f>COUNTIFS('2026 Time Off Request'!$A:$A,'June 2026'!$D17,'2026 Time Off Request'!$L:$L,'June 2026'!Y$6)</f>
        <v>0</v>
      </c>
      <c r="Z17" s="147">
        <f>COUNTIFS('2026 Time Off Request'!$A:$A,'June 2026'!$D17,'2026 Time Off Request'!$L:$L,'June 2026'!Z$6)</f>
        <v>0</v>
      </c>
      <c r="AA17" s="148">
        <f>COUNTIFS('2026 Time Off Request'!$A:$A,'June 2026'!$D17,'2026 Time Off Request'!$L:$L,'June 2026'!AA$6)</f>
        <v>0</v>
      </c>
      <c r="AB17" s="148">
        <f>COUNTIFS('2026 Time Off Request'!$A:$A,'June 2026'!$D17,'2026 Time Off Request'!$L:$L,'June 2026'!AB$6)</f>
        <v>0</v>
      </c>
      <c r="AC17" s="148">
        <f>COUNTIFS('2026 Time Off Request'!$A:$A,'June 2026'!$D17,'2026 Time Off Request'!$L:$L,'June 2026'!AC$6)</f>
        <v>0</v>
      </c>
      <c r="AD17" s="148">
        <f>COUNTIFS('2026 Time Off Request'!$A:$A,'June 2026'!$D17,'2026 Time Off Request'!$L:$L,'June 2026'!AD$6)</f>
        <v>0</v>
      </c>
      <c r="AE17" s="148">
        <f>COUNTIFS('2026 Time Off Request'!$A:$A,'June 2026'!$D17,'2026 Time Off Request'!$L:$L,'June 2026'!AE$6)</f>
        <v>0</v>
      </c>
      <c r="AF17" s="147">
        <f>COUNTIFS('2026 Time Off Request'!$A:$A,'June 2026'!$D17,'2026 Time Off Request'!$L:$L,'June 2026'!AF$6)</f>
        <v>0</v>
      </c>
      <c r="AG17" s="147">
        <f>COUNTIFS('2026 Time Off Request'!$A:$A,'June 2026'!$D17,'2026 Time Off Request'!$L:$L,'June 2026'!AG$6)</f>
        <v>0</v>
      </c>
      <c r="AH17" s="148">
        <f>COUNTIFS('2026 Time Off Request'!$A:$A,'June 2026'!$D17,'2026 Time Off Request'!$L:$L,'June 2026'!AH$6)</f>
        <v>0</v>
      </c>
      <c r="AI17" s="148">
        <f>COUNTIFS('2026 Time Off Request'!$A:$A,'June 2026'!$D17,'2026 Time Off Request'!$L:$L,'June 2026'!AI$6)</f>
        <v>0</v>
      </c>
    </row>
    <row r="18" spans="1:35" ht="15.75">
      <c r="A18" s="2">
        <v>12</v>
      </c>
      <c r="B18" s="209" t="s">
        <v>36</v>
      </c>
      <c r="C18" s="210" t="s">
        <v>37</v>
      </c>
      <c r="D18" s="215" t="s">
        <v>43</v>
      </c>
      <c r="E18" s="212">
        <f t="shared" si="2"/>
        <v>0</v>
      </c>
      <c r="F18" s="223">
        <f>COUNTIFS('2026 Time Off Request'!$A:$A,'June 2026'!$D18,'2026 Time Off Request'!$L:$L,'June 2026'!F$6)</f>
        <v>0</v>
      </c>
      <c r="G18" s="148">
        <f>COUNTIFS('2026 Time Off Request'!$A:$A,'June 2026'!$D18,'2026 Time Off Request'!$L:$L,'June 2026'!G$6)</f>
        <v>0</v>
      </c>
      <c r="H18" s="148">
        <f>COUNTIFS('2026 Time Off Request'!$A:$A,'June 2026'!$D18,'2026 Time Off Request'!$L:$L,'June 2026'!H$6)</f>
        <v>0</v>
      </c>
      <c r="I18" s="148">
        <f>COUNTIFS('2026 Time Off Request'!$A:$A,'June 2026'!$D18,'2026 Time Off Request'!$L:$L,'June 2026'!I$6)</f>
        <v>0</v>
      </c>
      <c r="J18" s="148">
        <f>COUNTIFS('2026 Time Off Request'!$A:$A,'June 2026'!$D18,'2026 Time Off Request'!$L:$L,'June 2026'!J$6)</f>
        <v>0</v>
      </c>
      <c r="K18" s="147">
        <f>COUNTIFS('2026 Time Off Request'!$A:$A,'June 2026'!$D18,'2026 Time Off Request'!$L:$L,'June 2026'!K$6)</f>
        <v>0</v>
      </c>
      <c r="L18" s="147">
        <f>COUNTIFS('2026 Time Off Request'!$A:$A,'June 2026'!$D18,'2026 Time Off Request'!$L:$L,'June 2026'!L$6)</f>
        <v>0</v>
      </c>
      <c r="M18" s="148">
        <f>COUNTIFS('2026 Time Off Request'!$A:$A,'June 2026'!$D18,'2026 Time Off Request'!$L:$L,'June 2026'!M$6)</f>
        <v>0</v>
      </c>
      <c r="N18" s="148">
        <f>COUNTIFS('2026 Time Off Request'!$A:$A,'June 2026'!$D18,'2026 Time Off Request'!$L:$L,'June 2026'!N$6)</f>
        <v>0</v>
      </c>
      <c r="O18" s="148">
        <f>COUNTIFS('2026 Time Off Request'!$A:$A,'June 2026'!$D18,'2026 Time Off Request'!$L:$L,'June 2026'!O$6)</f>
        <v>0</v>
      </c>
      <c r="P18" s="148">
        <f>COUNTIFS('2026 Time Off Request'!$A:$A,'June 2026'!$D18,'2026 Time Off Request'!$L:$L,'June 2026'!P$6)</f>
        <v>0</v>
      </c>
      <c r="Q18" s="148">
        <f>COUNTIFS('2026 Time Off Request'!$A:$A,'June 2026'!$D18,'2026 Time Off Request'!$L:$L,'June 2026'!Q$6)</f>
        <v>0</v>
      </c>
      <c r="R18" s="147">
        <f>COUNTIFS('2026 Time Off Request'!$A:$A,'June 2026'!$D18,'2026 Time Off Request'!$L:$L,'June 2026'!R$6)</f>
        <v>0</v>
      </c>
      <c r="S18" s="147">
        <f>COUNTIFS('2026 Time Off Request'!$A:$A,'June 2026'!$D18,'2026 Time Off Request'!$L:$L,'June 2026'!S$6)</f>
        <v>0</v>
      </c>
      <c r="T18" s="148">
        <f>COUNTIFS('2026 Time Off Request'!$A:$A,'June 2026'!$D18,'2026 Time Off Request'!$L:$L,'June 2026'!T$6)</f>
        <v>0</v>
      </c>
      <c r="U18" s="148">
        <f>COUNTIFS('2026 Time Off Request'!$A:$A,'June 2026'!$D18,'2026 Time Off Request'!$L:$L,'June 2026'!U$6)</f>
        <v>0</v>
      </c>
      <c r="V18" s="148">
        <f>COUNTIFS('2026 Time Off Request'!$A:$A,'June 2026'!$D18,'2026 Time Off Request'!$L:$L,'June 2026'!V$6)</f>
        <v>0</v>
      </c>
      <c r="W18" s="148">
        <f>COUNTIFS('2026 Time Off Request'!$A:$A,'June 2026'!$D18,'2026 Time Off Request'!$L:$L,'June 2026'!W$6)</f>
        <v>0</v>
      </c>
      <c r="X18" s="148">
        <f>COUNTIFS('2026 Time Off Request'!$A:$A,'June 2026'!$D18,'2026 Time Off Request'!$L:$L,'June 2026'!X$6)</f>
        <v>0</v>
      </c>
      <c r="Y18" s="147">
        <f>COUNTIFS('2026 Time Off Request'!$A:$A,'June 2026'!$D18,'2026 Time Off Request'!$L:$L,'June 2026'!Y$6)</f>
        <v>0</v>
      </c>
      <c r="Z18" s="147">
        <f>COUNTIFS('2026 Time Off Request'!$A:$A,'June 2026'!$D18,'2026 Time Off Request'!$L:$L,'June 2026'!Z$6)</f>
        <v>0</v>
      </c>
      <c r="AA18" s="148">
        <f>COUNTIFS('2026 Time Off Request'!$A:$A,'June 2026'!$D18,'2026 Time Off Request'!$L:$L,'June 2026'!AA$6)</f>
        <v>0</v>
      </c>
      <c r="AB18" s="148">
        <f>COUNTIFS('2026 Time Off Request'!$A:$A,'June 2026'!$D18,'2026 Time Off Request'!$L:$L,'June 2026'!AB$6)</f>
        <v>0</v>
      </c>
      <c r="AC18" s="148">
        <f>COUNTIFS('2026 Time Off Request'!$A:$A,'June 2026'!$D18,'2026 Time Off Request'!$L:$L,'June 2026'!AC$6)</f>
        <v>0</v>
      </c>
      <c r="AD18" s="148">
        <f>COUNTIFS('2026 Time Off Request'!$A:$A,'June 2026'!$D18,'2026 Time Off Request'!$L:$L,'June 2026'!AD$6)</f>
        <v>0</v>
      </c>
      <c r="AE18" s="148">
        <f>COUNTIFS('2026 Time Off Request'!$A:$A,'June 2026'!$D18,'2026 Time Off Request'!$L:$L,'June 2026'!AE$6)</f>
        <v>0</v>
      </c>
      <c r="AF18" s="147">
        <f>COUNTIFS('2026 Time Off Request'!$A:$A,'June 2026'!$D18,'2026 Time Off Request'!$L:$L,'June 2026'!AF$6)</f>
        <v>0</v>
      </c>
      <c r="AG18" s="147">
        <f>COUNTIFS('2026 Time Off Request'!$A:$A,'June 2026'!$D18,'2026 Time Off Request'!$L:$L,'June 2026'!AG$6)</f>
        <v>0</v>
      </c>
      <c r="AH18" s="148">
        <f>COUNTIFS('2026 Time Off Request'!$A:$A,'June 2026'!$D18,'2026 Time Off Request'!$L:$L,'June 2026'!AH$6)</f>
        <v>0</v>
      </c>
      <c r="AI18" s="148">
        <f>COUNTIFS('2026 Time Off Request'!$A:$A,'June 2026'!$D18,'2026 Time Off Request'!$L:$L,'June 2026'!AI$6)</f>
        <v>0</v>
      </c>
    </row>
    <row r="19" spans="1:35" ht="15.75">
      <c r="A19" s="2">
        <v>13</v>
      </c>
      <c r="B19" s="209" t="s">
        <v>36</v>
      </c>
      <c r="C19" s="210" t="s">
        <v>37</v>
      </c>
      <c r="D19" s="215" t="s">
        <v>44</v>
      </c>
      <c r="E19" s="212">
        <f t="shared" si="2"/>
        <v>0</v>
      </c>
      <c r="F19" s="223">
        <f>COUNTIFS('2026 Time Off Request'!$A:$A,'June 2026'!$D19,'2026 Time Off Request'!$L:$L,'June 2026'!F$6)</f>
        <v>0</v>
      </c>
      <c r="G19" s="148">
        <f>COUNTIFS('2026 Time Off Request'!$A:$A,'June 2026'!$D19,'2026 Time Off Request'!$L:$L,'June 2026'!G$6)</f>
        <v>0</v>
      </c>
      <c r="H19" s="148">
        <f>COUNTIFS('2026 Time Off Request'!$A:$A,'June 2026'!$D19,'2026 Time Off Request'!$L:$L,'June 2026'!H$6)</f>
        <v>0</v>
      </c>
      <c r="I19" s="148">
        <f>COUNTIFS('2026 Time Off Request'!$A:$A,'June 2026'!$D19,'2026 Time Off Request'!$L:$L,'June 2026'!I$6)</f>
        <v>0</v>
      </c>
      <c r="J19" s="148">
        <f>COUNTIFS('2026 Time Off Request'!$A:$A,'June 2026'!$D19,'2026 Time Off Request'!$L:$L,'June 2026'!J$6)</f>
        <v>0</v>
      </c>
      <c r="K19" s="147">
        <f>COUNTIFS('2026 Time Off Request'!$A:$A,'June 2026'!$D19,'2026 Time Off Request'!$L:$L,'June 2026'!K$6)</f>
        <v>0</v>
      </c>
      <c r="L19" s="147">
        <f>COUNTIFS('2026 Time Off Request'!$A:$A,'June 2026'!$D19,'2026 Time Off Request'!$L:$L,'June 2026'!L$6)</f>
        <v>0</v>
      </c>
      <c r="M19" s="148">
        <f>COUNTIFS('2026 Time Off Request'!$A:$A,'June 2026'!$D19,'2026 Time Off Request'!$L:$L,'June 2026'!M$6)</f>
        <v>0</v>
      </c>
      <c r="N19" s="148">
        <f>COUNTIFS('2026 Time Off Request'!$A:$A,'June 2026'!$D19,'2026 Time Off Request'!$L:$L,'June 2026'!N$6)</f>
        <v>0</v>
      </c>
      <c r="O19" s="148">
        <f>COUNTIFS('2026 Time Off Request'!$A:$A,'June 2026'!$D19,'2026 Time Off Request'!$L:$L,'June 2026'!O$6)</f>
        <v>0</v>
      </c>
      <c r="P19" s="148">
        <f>COUNTIFS('2026 Time Off Request'!$A:$A,'June 2026'!$D19,'2026 Time Off Request'!$L:$L,'June 2026'!P$6)</f>
        <v>0</v>
      </c>
      <c r="Q19" s="148">
        <f>COUNTIFS('2026 Time Off Request'!$A:$A,'June 2026'!$D19,'2026 Time Off Request'!$L:$L,'June 2026'!Q$6)</f>
        <v>0</v>
      </c>
      <c r="R19" s="147">
        <f>COUNTIFS('2026 Time Off Request'!$A:$A,'June 2026'!$D19,'2026 Time Off Request'!$L:$L,'June 2026'!R$6)</f>
        <v>0</v>
      </c>
      <c r="S19" s="147">
        <f>COUNTIFS('2026 Time Off Request'!$A:$A,'June 2026'!$D19,'2026 Time Off Request'!$L:$L,'June 2026'!S$6)</f>
        <v>0</v>
      </c>
      <c r="T19" s="148">
        <f>COUNTIFS('2026 Time Off Request'!$A:$A,'June 2026'!$D19,'2026 Time Off Request'!$L:$L,'June 2026'!T$6)</f>
        <v>0</v>
      </c>
      <c r="U19" s="148">
        <f>COUNTIFS('2026 Time Off Request'!$A:$A,'June 2026'!$D19,'2026 Time Off Request'!$L:$L,'June 2026'!U$6)</f>
        <v>0</v>
      </c>
      <c r="V19" s="148">
        <f>COUNTIFS('2026 Time Off Request'!$A:$A,'June 2026'!$D19,'2026 Time Off Request'!$L:$L,'June 2026'!V$6)</f>
        <v>0</v>
      </c>
      <c r="W19" s="148">
        <f>COUNTIFS('2026 Time Off Request'!$A:$A,'June 2026'!$D19,'2026 Time Off Request'!$L:$L,'June 2026'!W$6)</f>
        <v>0</v>
      </c>
      <c r="X19" s="148">
        <f>COUNTIFS('2026 Time Off Request'!$A:$A,'June 2026'!$D19,'2026 Time Off Request'!$L:$L,'June 2026'!X$6)</f>
        <v>0</v>
      </c>
      <c r="Y19" s="147">
        <f>COUNTIFS('2026 Time Off Request'!$A:$A,'June 2026'!$D19,'2026 Time Off Request'!$L:$L,'June 2026'!Y$6)</f>
        <v>0</v>
      </c>
      <c r="Z19" s="147">
        <f>COUNTIFS('2026 Time Off Request'!$A:$A,'June 2026'!$D19,'2026 Time Off Request'!$L:$L,'June 2026'!Z$6)</f>
        <v>0</v>
      </c>
      <c r="AA19" s="148">
        <f>COUNTIFS('2026 Time Off Request'!$A:$A,'June 2026'!$D19,'2026 Time Off Request'!$L:$L,'June 2026'!AA$6)</f>
        <v>0</v>
      </c>
      <c r="AB19" s="148">
        <f>COUNTIFS('2026 Time Off Request'!$A:$A,'June 2026'!$D19,'2026 Time Off Request'!$L:$L,'June 2026'!AB$6)</f>
        <v>0</v>
      </c>
      <c r="AC19" s="148">
        <f>COUNTIFS('2026 Time Off Request'!$A:$A,'June 2026'!$D19,'2026 Time Off Request'!$L:$L,'June 2026'!AC$6)</f>
        <v>0</v>
      </c>
      <c r="AD19" s="148">
        <f>COUNTIFS('2026 Time Off Request'!$A:$A,'June 2026'!$D19,'2026 Time Off Request'!$L:$L,'June 2026'!AD$6)</f>
        <v>0</v>
      </c>
      <c r="AE19" s="148">
        <f>COUNTIFS('2026 Time Off Request'!$A:$A,'June 2026'!$D19,'2026 Time Off Request'!$L:$L,'June 2026'!AE$6)</f>
        <v>0</v>
      </c>
      <c r="AF19" s="147">
        <f>COUNTIFS('2026 Time Off Request'!$A:$A,'June 2026'!$D19,'2026 Time Off Request'!$L:$L,'June 2026'!AF$6)</f>
        <v>0</v>
      </c>
      <c r="AG19" s="147">
        <f>COUNTIFS('2026 Time Off Request'!$A:$A,'June 2026'!$D19,'2026 Time Off Request'!$L:$L,'June 2026'!AG$6)</f>
        <v>0</v>
      </c>
      <c r="AH19" s="148">
        <f>COUNTIFS('2026 Time Off Request'!$A:$A,'June 2026'!$D19,'2026 Time Off Request'!$L:$L,'June 2026'!AH$6)</f>
        <v>0</v>
      </c>
      <c r="AI19" s="148">
        <f>COUNTIFS('2026 Time Off Request'!$A:$A,'June 2026'!$D19,'2026 Time Off Request'!$L:$L,'June 2026'!AI$6)</f>
        <v>0</v>
      </c>
    </row>
    <row r="20" spans="1:35" ht="15.75">
      <c r="A20" s="2">
        <v>14</v>
      </c>
      <c r="B20" s="209" t="s">
        <v>45</v>
      </c>
      <c r="C20" s="210" t="s">
        <v>37</v>
      </c>
      <c r="D20" s="215" t="s">
        <v>46</v>
      </c>
      <c r="E20" s="212">
        <f t="shared" si="2"/>
        <v>0</v>
      </c>
      <c r="F20" s="223">
        <f>COUNTIFS('2026 Time Off Request'!$A:$A,'June 2026'!$D20,'2026 Time Off Request'!$L:$L,'June 2026'!F$6)</f>
        <v>0</v>
      </c>
      <c r="G20" s="148">
        <f>COUNTIFS('2026 Time Off Request'!$A:$A,'June 2026'!$D20,'2026 Time Off Request'!$L:$L,'June 2026'!G$6)</f>
        <v>0</v>
      </c>
      <c r="H20" s="148">
        <f>COUNTIFS('2026 Time Off Request'!$A:$A,'June 2026'!$D20,'2026 Time Off Request'!$L:$L,'June 2026'!H$6)</f>
        <v>0</v>
      </c>
      <c r="I20" s="148">
        <f>COUNTIFS('2026 Time Off Request'!$A:$A,'June 2026'!$D20,'2026 Time Off Request'!$L:$L,'June 2026'!I$6)</f>
        <v>0</v>
      </c>
      <c r="J20" s="148">
        <f>COUNTIFS('2026 Time Off Request'!$A:$A,'June 2026'!$D20,'2026 Time Off Request'!$L:$L,'June 2026'!J$6)</f>
        <v>0</v>
      </c>
      <c r="K20" s="147">
        <f>COUNTIFS('2026 Time Off Request'!$A:$A,'June 2026'!$D20,'2026 Time Off Request'!$L:$L,'June 2026'!K$6)</f>
        <v>0</v>
      </c>
      <c r="L20" s="147">
        <f>COUNTIFS('2026 Time Off Request'!$A:$A,'June 2026'!$D20,'2026 Time Off Request'!$L:$L,'June 2026'!L$6)</f>
        <v>0</v>
      </c>
      <c r="M20" s="148">
        <f>COUNTIFS('2026 Time Off Request'!$A:$A,'June 2026'!$D20,'2026 Time Off Request'!$L:$L,'June 2026'!M$6)</f>
        <v>0</v>
      </c>
      <c r="N20" s="148">
        <f>COUNTIFS('2026 Time Off Request'!$A:$A,'June 2026'!$D20,'2026 Time Off Request'!$L:$L,'June 2026'!N$6)</f>
        <v>0</v>
      </c>
      <c r="O20" s="148">
        <f>COUNTIFS('2026 Time Off Request'!$A:$A,'June 2026'!$D20,'2026 Time Off Request'!$L:$L,'June 2026'!O$6)</f>
        <v>0</v>
      </c>
      <c r="P20" s="148">
        <f>COUNTIFS('2026 Time Off Request'!$A:$A,'June 2026'!$D20,'2026 Time Off Request'!$L:$L,'June 2026'!P$6)</f>
        <v>0</v>
      </c>
      <c r="Q20" s="148">
        <f>COUNTIFS('2026 Time Off Request'!$A:$A,'June 2026'!$D20,'2026 Time Off Request'!$L:$L,'June 2026'!Q$6)</f>
        <v>0</v>
      </c>
      <c r="R20" s="147">
        <f>COUNTIFS('2026 Time Off Request'!$A:$A,'June 2026'!$D20,'2026 Time Off Request'!$L:$L,'June 2026'!R$6)</f>
        <v>0</v>
      </c>
      <c r="S20" s="147">
        <f>COUNTIFS('2026 Time Off Request'!$A:$A,'June 2026'!$D20,'2026 Time Off Request'!$L:$L,'June 2026'!S$6)</f>
        <v>0</v>
      </c>
      <c r="T20" s="148">
        <f>COUNTIFS('2026 Time Off Request'!$A:$A,'June 2026'!$D20,'2026 Time Off Request'!$L:$L,'June 2026'!T$6)</f>
        <v>0</v>
      </c>
      <c r="U20" s="148">
        <f>COUNTIFS('2026 Time Off Request'!$A:$A,'June 2026'!$D20,'2026 Time Off Request'!$L:$L,'June 2026'!U$6)</f>
        <v>0</v>
      </c>
      <c r="V20" s="148">
        <f>COUNTIFS('2026 Time Off Request'!$A:$A,'June 2026'!$D20,'2026 Time Off Request'!$L:$L,'June 2026'!V$6)</f>
        <v>0</v>
      </c>
      <c r="W20" s="148">
        <f>COUNTIFS('2026 Time Off Request'!$A:$A,'June 2026'!$D20,'2026 Time Off Request'!$L:$L,'June 2026'!W$6)</f>
        <v>0</v>
      </c>
      <c r="X20" s="148">
        <f>COUNTIFS('2026 Time Off Request'!$A:$A,'June 2026'!$D20,'2026 Time Off Request'!$L:$L,'June 2026'!X$6)</f>
        <v>0</v>
      </c>
      <c r="Y20" s="147">
        <f>COUNTIFS('2026 Time Off Request'!$A:$A,'June 2026'!$D20,'2026 Time Off Request'!$L:$L,'June 2026'!Y$6)</f>
        <v>0</v>
      </c>
      <c r="Z20" s="147">
        <f>COUNTIFS('2026 Time Off Request'!$A:$A,'June 2026'!$D20,'2026 Time Off Request'!$L:$L,'June 2026'!Z$6)</f>
        <v>0</v>
      </c>
      <c r="AA20" s="148">
        <f>COUNTIFS('2026 Time Off Request'!$A:$A,'June 2026'!$D20,'2026 Time Off Request'!$L:$L,'June 2026'!AA$6)</f>
        <v>0</v>
      </c>
      <c r="AB20" s="148">
        <f>COUNTIFS('2026 Time Off Request'!$A:$A,'June 2026'!$D20,'2026 Time Off Request'!$L:$L,'June 2026'!AB$6)</f>
        <v>0</v>
      </c>
      <c r="AC20" s="148">
        <f>COUNTIFS('2026 Time Off Request'!$A:$A,'June 2026'!$D20,'2026 Time Off Request'!$L:$L,'June 2026'!AC$6)</f>
        <v>0</v>
      </c>
      <c r="AD20" s="148">
        <f>COUNTIFS('2026 Time Off Request'!$A:$A,'June 2026'!$D20,'2026 Time Off Request'!$L:$L,'June 2026'!AD$6)</f>
        <v>0</v>
      </c>
      <c r="AE20" s="148">
        <f>COUNTIFS('2026 Time Off Request'!$A:$A,'June 2026'!$D20,'2026 Time Off Request'!$L:$L,'June 2026'!AE$6)</f>
        <v>0</v>
      </c>
      <c r="AF20" s="147">
        <f>COUNTIFS('2026 Time Off Request'!$A:$A,'June 2026'!$D20,'2026 Time Off Request'!$L:$L,'June 2026'!AF$6)</f>
        <v>0</v>
      </c>
      <c r="AG20" s="147">
        <f>COUNTIFS('2026 Time Off Request'!$A:$A,'June 2026'!$D20,'2026 Time Off Request'!$L:$L,'June 2026'!AG$6)</f>
        <v>0</v>
      </c>
      <c r="AH20" s="148">
        <f>COUNTIFS('2026 Time Off Request'!$A:$A,'June 2026'!$D20,'2026 Time Off Request'!$L:$L,'June 2026'!AH$6)</f>
        <v>0</v>
      </c>
      <c r="AI20" s="148">
        <f>COUNTIFS('2026 Time Off Request'!$A:$A,'June 2026'!$D20,'2026 Time Off Request'!$L:$L,'June 2026'!AI$6)</f>
        <v>0</v>
      </c>
    </row>
    <row r="21" spans="1:35" ht="15.75">
      <c r="A21" s="2">
        <v>15</v>
      </c>
      <c r="B21" s="209" t="s">
        <v>45</v>
      </c>
      <c r="C21" s="210" t="s">
        <v>47</v>
      </c>
      <c r="D21" s="215" t="s">
        <v>48</v>
      </c>
      <c r="E21" s="212">
        <f t="shared" si="2"/>
        <v>0</v>
      </c>
      <c r="F21" s="223">
        <f>COUNTIFS('2026 Time Off Request'!$A:$A,'June 2026'!$D21,'2026 Time Off Request'!$L:$L,'June 2026'!F$6)</f>
        <v>0</v>
      </c>
      <c r="G21" s="148">
        <f>COUNTIFS('2026 Time Off Request'!$A:$A,'June 2026'!$D21,'2026 Time Off Request'!$L:$L,'June 2026'!G$6)</f>
        <v>0</v>
      </c>
      <c r="H21" s="148">
        <f>COUNTIFS('2026 Time Off Request'!$A:$A,'June 2026'!$D21,'2026 Time Off Request'!$L:$L,'June 2026'!H$6)</f>
        <v>0</v>
      </c>
      <c r="I21" s="148">
        <f>COUNTIFS('2026 Time Off Request'!$A:$A,'June 2026'!$D21,'2026 Time Off Request'!$L:$L,'June 2026'!I$6)</f>
        <v>0</v>
      </c>
      <c r="J21" s="148">
        <f>COUNTIFS('2026 Time Off Request'!$A:$A,'June 2026'!$D21,'2026 Time Off Request'!$L:$L,'June 2026'!J$6)</f>
        <v>0</v>
      </c>
      <c r="K21" s="147">
        <f>COUNTIFS('2026 Time Off Request'!$A:$A,'June 2026'!$D21,'2026 Time Off Request'!$L:$L,'June 2026'!K$6)</f>
        <v>0</v>
      </c>
      <c r="L21" s="147">
        <f>COUNTIFS('2026 Time Off Request'!$A:$A,'June 2026'!$D21,'2026 Time Off Request'!$L:$L,'June 2026'!L$6)</f>
        <v>0</v>
      </c>
      <c r="M21" s="148">
        <f>COUNTIFS('2026 Time Off Request'!$A:$A,'June 2026'!$D21,'2026 Time Off Request'!$L:$L,'June 2026'!M$6)</f>
        <v>0</v>
      </c>
      <c r="N21" s="148">
        <f>COUNTIFS('2026 Time Off Request'!$A:$A,'June 2026'!$D21,'2026 Time Off Request'!$L:$L,'June 2026'!N$6)</f>
        <v>0</v>
      </c>
      <c r="O21" s="148">
        <f>COUNTIFS('2026 Time Off Request'!$A:$A,'June 2026'!$D21,'2026 Time Off Request'!$L:$L,'June 2026'!O$6)</f>
        <v>0</v>
      </c>
      <c r="P21" s="148">
        <f>COUNTIFS('2026 Time Off Request'!$A:$A,'June 2026'!$D21,'2026 Time Off Request'!$L:$L,'June 2026'!P$6)</f>
        <v>0</v>
      </c>
      <c r="Q21" s="148">
        <f>COUNTIFS('2026 Time Off Request'!$A:$A,'June 2026'!$D21,'2026 Time Off Request'!$L:$L,'June 2026'!Q$6)</f>
        <v>0</v>
      </c>
      <c r="R21" s="147">
        <f>COUNTIFS('2026 Time Off Request'!$A:$A,'June 2026'!$D21,'2026 Time Off Request'!$L:$L,'June 2026'!R$6)</f>
        <v>0</v>
      </c>
      <c r="S21" s="147">
        <f>COUNTIFS('2026 Time Off Request'!$A:$A,'June 2026'!$D21,'2026 Time Off Request'!$L:$L,'June 2026'!S$6)</f>
        <v>0</v>
      </c>
      <c r="T21" s="148">
        <f>COUNTIFS('2026 Time Off Request'!$A:$A,'June 2026'!$D21,'2026 Time Off Request'!$L:$L,'June 2026'!T$6)</f>
        <v>0</v>
      </c>
      <c r="U21" s="148">
        <f>COUNTIFS('2026 Time Off Request'!$A:$A,'June 2026'!$D21,'2026 Time Off Request'!$L:$L,'June 2026'!U$6)</f>
        <v>0</v>
      </c>
      <c r="V21" s="148">
        <f>COUNTIFS('2026 Time Off Request'!$A:$A,'June 2026'!$D21,'2026 Time Off Request'!$L:$L,'June 2026'!V$6)</f>
        <v>0</v>
      </c>
      <c r="W21" s="148">
        <f>COUNTIFS('2026 Time Off Request'!$A:$A,'June 2026'!$D21,'2026 Time Off Request'!$L:$L,'June 2026'!W$6)</f>
        <v>0</v>
      </c>
      <c r="X21" s="148">
        <f>COUNTIFS('2026 Time Off Request'!$A:$A,'June 2026'!$D21,'2026 Time Off Request'!$L:$L,'June 2026'!X$6)</f>
        <v>0</v>
      </c>
      <c r="Y21" s="147">
        <f>COUNTIFS('2026 Time Off Request'!$A:$A,'June 2026'!$D21,'2026 Time Off Request'!$L:$L,'June 2026'!Y$6)</f>
        <v>0</v>
      </c>
      <c r="Z21" s="147">
        <f>COUNTIFS('2026 Time Off Request'!$A:$A,'June 2026'!$D21,'2026 Time Off Request'!$L:$L,'June 2026'!Z$6)</f>
        <v>0</v>
      </c>
      <c r="AA21" s="148">
        <f>COUNTIFS('2026 Time Off Request'!$A:$A,'June 2026'!$D21,'2026 Time Off Request'!$L:$L,'June 2026'!AA$6)</f>
        <v>0</v>
      </c>
      <c r="AB21" s="148">
        <f>COUNTIFS('2026 Time Off Request'!$A:$A,'June 2026'!$D21,'2026 Time Off Request'!$L:$L,'June 2026'!AB$6)</f>
        <v>0</v>
      </c>
      <c r="AC21" s="148">
        <f>COUNTIFS('2026 Time Off Request'!$A:$A,'June 2026'!$D21,'2026 Time Off Request'!$L:$L,'June 2026'!AC$6)</f>
        <v>0</v>
      </c>
      <c r="AD21" s="148">
        <f>COUNTIFS('2026 Time Off Request'!$A:$A,'June 2026'!$D21,'2026 Time Off Request'!$L:$L,'June 2026'!AD$6)</f>
        <v>0</v>
      </c>
      <c r="AE21" s="148">
        <f>COUNTIFS('2026 Time Off Request'!$A:$A,'June 2026'!$D21,'2026 Time Off Request'!$L:$L,'June 2026'!AE$6)</f>
        <v>0</v>
      </c>
      <c r="AF21" s="147">
        <f>COUNTIFS('2026 Time Off Request'!$A:$A,'June 2026'!$D21,'2026 Time Off Request'!$L:$L,'June 2026'!AF$6)</f>
        <v>0</v>
      </c>
      <c r="AG21" s="147">
        <f>COUNTIFS('2026 Time Off Request'!$A:$A,'June 2026'!$D21,'2026 Time Off Request'!$L:$L,'June 2026'!AG$6)</f>
        <v>0</v>
      </c>
      <c r="AH21" s="148">
        <f>COUNTIFS('2026 Time Off Request'!$A:$A,'June 2026'!$D21,'2026 Time Off Request'!$L:$L,'June 2026'!AH$6)</f>
        <v>0</v>
      </c>
      <c r="AI21" s="148">
        <f>COUNTIFS('2026 Time Off Request'!$A:$A,'June 2026'!$D21,'2026 Time Off Request'!$L:$L,'June 2026'!AI$6)</f>
        <v>0</v>
      </c>
    </row>
    <row r="22" spans="1:35" ht="15.75">
      <c r="A22" s="2">
        <v>16</v>
      </c>
      <c r="B22" s="209" t="s">
        <v>49</v>
      </c>
      <c r="C22" s="210" t="s">
        <v>50</v>
      </c>
      <c r="D22" s="215" t="s">
        <v>51</v>
      </c>
      <c r="E22" s="212">
        <f t="shared" si="2"/>
        <v>0</v>
      </c>
      <c r="F22" s="223">
        <f>COUNTIFS('2026 Time Off Request'!$A:$A,'June 2026'!$D22,'2026 Time Off Request'!$L:$L,'June 2026'!F$6)</f>
        <v>0</v>
      </c>
      <c r="G22" s="148">
        <f>COUNTIFS('2026 Time Off Request'!$A:$A,'June 2026'!$D22,'2026 Time Off Request'!$L:$L,'June 2026'!G$6)</f>
        <v>0</v>
      </c>
      <c r="H22" s="148">
        <f>COUNTIFS('2026 Time Off Request'!$A:$A,'June 2026'!$D22,'2026 Time Off Request'!$L:$L,'June 2026'!H$6)</f>
        <v>0</v>
      </c>
      <c r="I22" s="148">
        <f>COUNTIFS('2026 Time Off Request'!$A:$A,'June 2026'!$D22,'2026 Time Off Request'!$L:$L,'June 2026'!I$6)</f>
        <v>0</v>
      </c>
      <c r="J22" s="148">
        <f>COUNTIFS('2026 Time Off Request'!$A:$A,'June 2026'!$D22,'2026 Time Off Request'!$L:$L,'June 2026'!J$6)</f>
        <v>0</v>
      </c>
      <c r="K22" s="147">
        <f>COUNTIFS('2026 Time Off Request'!$A:$A,'June 2026'!$D22,'2026 Time Off Request'!$L:$L,'June 2026'!K$6)</f>
        <v>0</v>
      </c>
      <c r="L22" s="147">
        <f>COUNTIFS('2026 Time Off Request'!$A:$A,'June 2026'!$D22,'2026 Time Off Request'!$L:$L,'June 2026'!L$6)</f>
        <v>0</v>
      </c>
      <c r="M22" s="148">
        <f>COUNTIFS('2026 Time Off Request'!$A:$A,'June 2026'!$D22,'2026 Time Off Request'!$L:$L,'June 2026'!M$6)</f>
        <v>0</v>
      </c>
      <c r="N22" s="148">
        <f>COUNTIFS('2026 Time Off Request'!$A:$A,'June 2026'!$D22,'2026 Time Off Request'!$L:$L,'June 2026'!N$6)</f>
        <v>0</v>
      </c>
      <c r="O22" s="148">
        <f>COUNTIFS('2026 Time Off Request'!$A:$A,'June 2026'!$D22,'2026 Time Off Request'!$L:$L,'June 2026'!O$6)</f>
        <v>0</v>
      </c>
      <c r="P22" s="148">
        <f>COUNTIFS('2026 Time Off Request'!$A:$A,'June 2026'!$D22,'2026 Time Off Request'!$L:$L,'June 2026'!P$6)</f>
        <v>0</v>
      </c>
      <c r="Q22" s="148">
        <f>COUNTIFS('2026 Time Off Request'!$A:$A,'June 2026'!$D22,'2026 Time Off Request'!$L:$L,'June 2026'!Q$6)</f>
        <v>0</v>
      </c>
      <c r="R22" s="147">
        <f>COUNTIFS('2026 Time Off Request'!$A:$A,'June 2026'!$D22,'2026 Time Off Request'!$L:$L,'June 2026'!R$6)</f>
        <v>0</v>
      </c>
      <c r="S22" s="147">
        <f>COUNTIFS('2026 Time Off Request'!$A:$A,'June 2026'!$D22,'2026 Time Off Request'!$L:$L,'June 2026'!S$6)</f>
        <v>0</v>
      </c>
      <c r="T22" s="148">
        <f>COUNTIFS('2026 Time Off Request'!$A:$A,'June 2026'!$D22,'2026 Time Off Request'!$L:$L,'June 2026'!T$6)</f>
        <v>0</v>
      </c>
      <c r="U22" s="148">
        <f>COUNTIFS('2026 Time Off Request'!$A:$A,'June 2026'!$D22,'2026 Time Off Request'!$L:$L,'June 2026'!U$6)</f>
        <v>0</v>
      </c>
      <c r="V22" s="148">
        <f>COUNTIFS('2026 Time Off Request'!$A:$A,'June 2026'!$D22,'2026 Time Off Request'!$L:$L,'June 2026'!V$6)</f>
        <v>0</v>
      </c>
      <c r="W22" s="148">
        <f>COUNTIFS('2026 Time Off Request'!$A:$A,'June 2026'!$D22,'2026 Time Off Request'!$L:$L,'June 2026'!W$6)</f>
        <v>0</v>
      </c>
      <c r="X22" s="148">
        <f>COUNTIFS('2026 Time Off Request'!$A:$A,'June 2026'!$D22,'2026 Time Off Request'!$L:$L,'June 2026'!X$6)</f>
        <v>0</v>
      </c>
      <c r="Y22" s="147">
        <f>COUNTIFS('2026 Time Off Request'!$A:$A,'June 2026'!$D22,'2026 Time Off Request'!$L:$L,'June 2026'!Y$6)</f>
        <v>0</v>
      </c>
      <c r="Z22" s="147">
        <f>COUNTIFS('2026 Time Off Request'!$A:$A,'June 2026'!$D22,'2026 Time Off Request'!$L:$L,'June 2026'!Z$6)</f>
        <v>0</v>
      </c>
      <c r="AA22" s="148">
        <f>COUNTIFS('2026 Time Off Request'!$A:$A,'June 2026'!$D22,'2026 Time Off Request'!$L:$L,'June 2026'!AA$6)</f>
        <v>0</v>
      </c>
      <c r="AB22" s="148">
        <f>COUNTIFS('2026 Time Off Request'!$A:$A,'June 2026'!$D22,'2026 Time Off Request'!$L:$L,'June 2026'!AB$6)</f>
        <v>0</v>
      </c>
      <c r="AC22" s="148">
        <f>COUNTIFS('2026 Time Off Request'!$A:$A,'June 2026'!$D22,'2026 Time Off Request'!$L:$L,'June 2026'!AC$6)</f>
        <v>0</v>
      </c>
      <c r="AD22" s="148">
        <f>COUNTIFS('2026 Time Off Request'!$A:$A,'June 2026'!$D22,'2026 Time Off Request'!$L:$L,'June 2026'!AD$6)</f>
        <v>0</v>
      </c>
      <c r="AE22" s="148">
        <f>COUNTIFS('2026 Time Off Request'!$A:$A,'June 2026'!$D22,'2026 Time Off Request'!$L:$L,'June 2026'!AE$6)</f>
        <v>0</v>
      </c>
      <c r="AF22" s="147">
        <f>COUNTIFS('2026 Time Off Request'!$A:$A,'June 2026'!$D22,'2026 Time Off Request'!$L:$L,'June 2026'!AF$6)</f>
        <v>0</v>
      </c>
      <c r="AG22" s="147">
        <f>COUNTIFS('2026 Time Off Request'!$A:$A,'June 2026'!$D22,'2026 Time Off Request'!$L:$L,'June 2026'!AG$6)</f>
        <v>0</v>
      </c>
      <c r="AH22" s="148">
        <f>COUNTIFS('2026 Time Off Request'!$A:$A,'June 2026'!$D22,'2026 Time Off Request'!$L:$L,'June 2026'!AH$6)</f>
        <v>0</v>
      </c>
      <c r="AI22" s="148">
        <f>COUNTIFS('2026 Time Off Request'!$A:$A,'June 2026'!$D22,'2026 Time Off Request'!$L:$L,'June 2026'!AI$6)</f>
        <v>0</v>
      </c>
    </row>
    <row r="23" spans="1:35" ht="15.75">
      <c r="A23" s="2">
        <v>17</v>
      </c>
      <c r="B23" s="209" t="s">
        <v>45</v>
      </c>
      <c r="C23" s="210" t="s">
        <v>52</v>
      </c>
      <c r="D23" s="215" t="s">
        <v>53</v>
      </c>
      <c r="E23" s="212">
        <f t="shared" si="2"/>
        <v>0</v>
      </c>
      <c r="F23" s="223">
        <f>COUNTIFS('2026 Time Off Request'!$A:$A,'June 2026'!$D23,'2026 Time Off Request'!$L:$L,'June 2026'!F$6)</f>
        <v>0</v>
      </c>
      <c r="G23" s="148">
        <f>COUNTIFS('2026 Time Off Request'!$A:$A,'June 2026'!$D23,'2026 Time Off Request'!$L:$L,'June 2026'!G$6)</f>
        <v>0</v>
      </c>
      <c r="H23" s="148">
        <f>COUNTIFS('2026 Time Off Request'!$A:$A,'June 2026'!$D23,'2026 Time Off Request'!$L:$L,'June 2026'!H$6)</f>
        <v>0</v>
      </c>
      <c r="I23" s="148">
        <f>COUNTIFS('2026 Time Off Request'!$A:$A,'June 2026'!$D23,'2026 Time Off Request'!$L:$L,'June 2026'!I$6)</f>
        <v>0</v>
      </c>
      <c r="J23" s="148">
        <f>COUNTIFS('2026 Time Off Request'!$A:$A,'June 2026'!$D23,'2026 Time Off Request'!$L:$L,'June 2026'!J$6)</f>
        <v>0</v>
      </c>
      <c r="K23" s="147">
        <f>COUNTIFS('2026 Time Off Request'!$A:$A,'June 2026'!$D23,'2026 Time Off Request'!$L:$L,'June 2026'!K$6)</f>
        <v>0</v>
      </c>
      <c r="L23" s="147">
        <f>COUNTIFS('2026 Time Off Request'!$A:$A,'June 2026'!$D23,'2026 Time Off Request'!$L:$L,'June 2026'!L$6)</f>
        <v>0</v>
      </c>
      <c r="M23" s="148">
        <f>COUNTIFS('2026 Time Off Request'!$A:$A,'June 2026'!$D23,'2026 Time Off Request'!$L:$L,'June 2026'!M$6)</f>
        <v>0</v>
      </c>
      <c r="N23" s="148">
        <f>COUNTIFS('2026 Time Off Request'!$A:$A,'June 2026'!$D23,'2026 Time Off Request'!$L:$L,'June 2026'!N$6)</f>
        <v>0</v>
      </c>
      <c r="O23" s="148">
        <f>COUNTIFS('2026 Time Off Request'!$A:$A,'June 2026'!$D23,'2026 Time Off Request'!$L:$L,'June 2026'!O$6)</f>
        <v>0</v>
      </c>
      <c r="P23" s="148">
        <f>COUNTIFS('2026 Time Off Request'!$A:$A,'June 2026'!$D23,'2026 Time Off Request'!$L:$L,'June 2026'!P$6)</f>
        <v>0</v>
      </c>
      <c r="Q23" s="148">
        <f>COUNTIFS('2026 Time Off Request'!$A:$A,'June 2026'!$D23,'2026 Time Off Request'!$L:$L,'June 2026'!Q$6)</f>
        <v>0</v>
      </c>
      <c r="R23" s="147">
        <f>COUNTIFS('2026 Time Off Request'!$A:$A,'June 2026'!$D23,'2026 Time Off Request'!$L:$L,'June 2026'!R$6)</f>
        <v>0</v>
      </c>
      <c r="S23" s="147">
        <f>COUNTIFS('2026 Time Off Request'!$A:$A,'June 2026'!$D23,'2026 Time Off Request'!$L:$L,'June 2026'!S$6)</f>
        <v>0</v>
      </c>
      <c r="T23" s="148">
        <f>COUNTIFS('2026 Time Off Request'!$A:$A,'June 2026'!$D23,'2026 Time Off Request'!$L:$L,'June 2026'!T$6)</f>
        <v>0</v>
      </c>
      <c r="U23" s="148">
        <f>COUNTIFS('2026 Time Off Request'!$A:$A,'June 2026'!$D23,'2026 Time Off Request'!$L:$L,'June 2026'!U$6)</f>
        <v>0</v>
      </c>
      <c r="V23" s="148">
        <f>COUNTIFS('2026 Time Off Request'!$A:$A,'June 2026'!$D23,'2026 Time Off Request'!$L:$L,'June 2026'!V$6)</f>
        <v>0</v>
      </c>
      <c r="W23" s="148">
        <f>COUNTIFS('2026 Time Off Request'!$A:$A,'June 2026'!$D23,'2026 Time Off Request'!$L:$L,'June 2026'!W$6)</f>
        <v>0</v>
      </c>
      <c r="X23" s="148">
        <f>COUNTIFS('2026 Time Off Request'!$A:$A,'June 2026'!$D23,'2026 Time Off Request'!$L:$L,'June 2026'!X$6)</f>
        <v>0</v>
      </c>
      <c r="Y23" s="147">
        <f>COUNTIFS('2026 Time Off Request'!$A:$A,'June 2026'!$D23,'2026 Time Off Request'!$L:$L,'June 2026'!Y$6)</f>
        <v>0</v>
      </c>
      <c r="Z23" s="147">
        <f>COUNTIFS('2026 Time Off Request'!$A:$A,'June 2026'!$D23,'2026 Time Off Request'!$L:$L,'June 2026'!Z$6)</f>
        <v>0</v>
      </c>
      <c r="AA23" s="148">
        <f>COUNTIFS('2026 Time Off Request'!$A:$A,'June 2026'!$D23,'2026 Time Off Request'!$L:$L,'June 2026'!AA$6)</f>
        <v>0</v>
      </c>
      <c r="AB23" s="148">
        <f>COUNTIFS('2026 Time Off Request'!$A:$A,'June 2026'!$D23,'2026 Time Off Request'!$L:$L,'June 2026'!AB$6)</f>
        <v>0</v>
      </c>
      <c r="AC23" s="148">
        <f>COUNTIFS('2026 Time Off Request'!$A:$A,'June 2026'!$D23,'2026 Time Off Request'!$L:$L,'June 2026'!AC$6)</f>
        <v>0</v>
      </c>
      <c r="AD23" s="148">
        <f>COUNTIFS('2026 Time Off Request'!$A:$A,'June 2026'!$D23,'2026 Time Off Request'!$L:$L,'June 2026'!AD$6)</f>
        <v>0</v>
      </c>
      <c r="AE23" s="148">
        <f>COUNTIFS('2026 Time Off Request'!$A:$A,'June 2026'!$D23,'2026 Time Off Request'!$L:$L,'June 2026'!AE$6)</f>
        <v>0</v>
      </c>
      <c r="AF23" s="147">
        <f>COUNTIFS('2026 Time Off Request'!$A:$A,'June 2026'!$D23,'2026 Time Off Request'!$L:$L,'June 2026'!AF$6)</f>
        <v>0</v>
      </c>
      <c r="AG23" s="147">
        <f>COUNTIFS('2026 Time Off Request'!$A:$A,'June 2026'!$D23,'2026 Time Off Request'!$L:$L,'June 2026'!AG$6)</f>
        <v>0</v>
      </c>
      <c r="AH23" s="148">
        <f>COUNTIFS('2026 Time Off Request'!$A:$A,'June 2026'!$D23,'2026 Time Off Request'!$L:$L,'June 2026'!AH$6)</f>
        <v>0</v>
      </c>
      <c r="AI23" s="148">
        <f>COUNTIFS('2026 Time Off Request'!$A:$A,'June 2026'!$D23,'2026 Time Off Request'!$L:$L,'June 2026'!AI$6)</f>
        <v>0</v>
      </c>
    </row>
    <row r="24" spans="1:35" ht="15.75">
      <c r="A24" s="2"/>
      <c r="B24" s="209" t="s">
        <v>45</v>
      </c>
      <c r="C24" s="210" t="s">
        <v>52</v>
      </c>
      <c r="D24" s="215" t="s">
        <v>54</v>
      </c>
      <c r="E24" s="212">
        <f t="shared" ref="E24:E29" si="3">SUM(F24:AI24)</f>
        <v>0</v>
      </c>
      <c r="F24" s="223">
        <f>COUNTIFS('2026 Time Off Request'!$A:$A,'June 2026'!$D24,'2026 Time Off Request'!$L:$L,'June 2026'!F$6)</f>
        <v>0</v>
      </c>
      <c r="G24" s="148">
        <f>COUNTIFS('2026 Time Off Request'!$A:$A,'June 2026'!$D24,'2026 Time Off Request'!$L:$L,'June 2026'!G$6)</f>
        <v>0</v>
      </c>
      <c r="H24" s="148">
        <f>COUNTIFS('2026 Time Off Request'!$A:$A,'June 2026'!$D24,'2026 Time Off Request'!$L:$L,'June 2026'!H$6)</f>
        <v>0</v>
      </c>
      <c r="I24" s="148">
        <f>COUNTIFS('2026 Time Off Request'!$A:$A,'June 2026'!$D24,'2026 Time Off Request'!$L:$L,'June 2026'!I$6)</f>
        <v>0</v>
      </c>
      <c r="J24" s="148">
        <f>COUNTIFS('2026 Time Off Request'!$A:$A,'June 2026'!$D24,'2026 Time Off Request'!$L:$L,'June 2026'!J$6)</f>
        <v>0</v>
      </c>
      <c r="K24" s="147">
        <f>COUNTIFS('2026 Time Off Request'!$A:$A,'June 2026'!$D24,'2026 Time Off Request'!$L:$L,'June 2026'!K$6)</f>
        <v>0</v>
      </c>
      <c r="L24" s="147">
        <f>COUNTIFS('2026 Time Off Request'!$A:$A,'June 2026'!$D24,'2026 Time Off Request'!$L:$L,'June 2026'!L$6)</f>
        <v>0</v>
      </c>
      <c r="M24" s="148">
        <f>COUNTIFS('2026 Time Off Request'!$A:$A,'June 2026'!$D24,'2026 Time Off Request'!$L:$L,'June 2026'!M$6)</f>
        <v>0</v>
      </c>
      <c r="N24" s="148">
        <f>COUNTIFS('2026 Time Off Request'!$A:$A,'June 2026'!$D24,'2026 Time Off Request'!$L:$L,'June 2026'!N$6)</f>
        <v>0</v>
      </c>
      <c r="O24" s="148">
        <f>COUNTIFS('2026 Time Off Request'!$A:$A,'June 2026'!$D24,'2026 Time Off Request'!$L:$L,'June 2026'!O$6)</f>
        <v>0</v>
      </c>
      <c r="P24" s="148">
        <f>COUNTIFS('2026 Time Off Request'!$A:$A,'June 2026'!$D24,'2026 Time Off Request'!$L:$L,'June 2026'!P$6)</f>
        <v>0</v>
      </c>
      <c r="Q24" s="148">
        <f>COUNTIFS('2026 Time Off Request'!$A:$A,'June 2026'!$D24,'2026 Time Off Request'!$L:$L,'June 2026'!Q$6)</f>
        <v>0</v>
      </c>
      <c r="R24" s="147">
        <f>COUNTIFS('2026 Time Off Request'!$A:$A,'June 2026'!$D24,'2026 Time Off Request'!$L:$L,'June 2026'!R$6)</f>
        <v>0</v>
      </c>
      <c r="S24" s="147">
        <f>COUNTIFS('2026 Time Off Request'!$A:$A,'June 2026'!$D24,'2026 Time Off Request'!$L:$L,'June 2026'!S$6)</f>
        <v>0</v>
      </c>
      <c r="T24" s="148">
        <f>COUNTIFS('2026 Time Off Request'!$A:$A,'June 2026'!$D24,'2026 Time Off Request'!$L:$L,'June 2026'!T$6)</f>
        <v>0</v>
      </c>
      <c r="U24" s="148">
        <f>COUNTIFS('2026 Time Off Request'!$A:$A,'June 2026'!$D24,'2026 Time Off Request'!$L:$L,'June 2026'!U$6)</f>
        <v>0</v>
      </c>
      <c r="V24" s="148">
        <f>COUNTIFS('2026 Time Off Request'!$A:$A,'June 2026'!$D24,'2026 Time Off Request'!$L:$L,'June 2026'!V$6)</f>
        <v>0</v>
      </c>
      <c r="W24" s="148">
        <f>COUNTIFS('2026 Time Off Request'!$A:$A,'June 2026'!$D24,'2026 Time Off Request'!$L:$L,'June 2026'!W$6)</f>
        <v>0</v>
      </c>
      <c r="X24" s="148">
        <f>COUNTIFS('2026 Time Off Request'!$A:$A,'June 2026'!$D24,'2026 Time Off Request'!$L:$L,'June 2026'!X$6)</f>
        <v>0</v>
      </c>
      <c r="Y24" s="147">
        <f>COUNTIFS('2026 Time Off Request'!$A:$A,'June 2026'!$D24,'2026 Time Off Request'!$L:$L,'June 2026'!Y$6)</f>
        <v>0</v>
      </c>
      <c r="Z24" s="147">
        <f>COUNTIFS('2026 Time Off Request'!$A:$A,'June 2026'!$D24,'2026 Time Off Request'!$L:$L,'June 2026'!Z$6)</f>
        <v>0</v>
      </c>
      <c r="AA24" s="148">
        <f>COUNTIFS('2026 Time Off Request'!$A:$A,'June 2026'!$D24,'2026 Time Off Request'!$L:$L,'June 2026'!AA$6)</f>
        <v>0</v>
      </c>
      <c r="AB24" s="148">
        <f>COUNTIFS('2026 Time Off Request'!$A:$A,'June 2026'!$D24,'2026 Time Off Request'!$L:$L,'June 2026'!AB$6)</f>
        <v>0</v>
      </c>
      <c r="AC24" s="148">
        <f>COUNTIFS('2026 Time Off Request'!$A:$A,'June 2026'!$D24,'2026 Time Off Request'!$L:$L,'June 2026'!AC$6)</f>
        <v>0</v>
      </c>
      <c r="AD24" s="148">
        <f>COUNTIFS('2026 Time Off Request'!$A:$A,'June 2026'!$D24,'2026 Time Off Request'!$L:$L,'June 2026'!AD$6)</f>
        <v>0</v>
      </c>
      <c r="AE24" s="148">
        <f>COUNTIFS('2026 Time Off Request'!$A:$A,'June 2026'!$D24,'2026 Time Off Request'!$L:$L,'June 2026'!AE$6)</f>
        <v>0</v>
      </c>
      <c r="AF24" s="147">
        <f>COUNTIFS('2026 Time Off Request'!$A:$A,'June 2026'!$D24,'2026 Time Off Request'!$L:$L,'June 2026'!AF$6)</f>
        <v>0</v>
      </c>
      <c r="AG24" s="147">
        <f>COUNTIFS('2026 Time Off Request'!$A:$A,'June 2026'!$D24,'2026 Time Off Request'!$L:$L,'June 2026'!AG$6)</f>
        <v>0</v>
      </c>
      <c r="AH24" s="148">
        <f>COUNTIFS('2026 Time Off Request'!$A:$A,'June 2026'!$D24,'2026 Time Off Request'!$L:$L,'June 2026'!AH$6)</f>
        <v>0</v>
      </c>
      <c r="AI24" s="148">
        <f>COUNTIFS('2026 Time Off Request'!$A:$A,'June 2026'!$D24,'2026 Time Off Request'!$L:$L,'June 2026'!AI$6)</f>
        <v>0</v>
      </c>
    </row>
    <row r="25" spans="1:35" ht="15.75">
      <c r="A25" s="2">
        <v>18</v>
      </c>
      <c r="B25" s="209" t="s">
        <v>45</v>
      </c>
      <c r="C25" s="210" t="s">
        <v>55</v>
      </c>
      <c r="D25" s="215" t="s">
        <v>56</v>
      </c>
      <c r="E25" s="212">
        <f t="shared" si="3"/>
        <v>0</v>
      </c>
      <c r="F25" s="223">
        <f>COUNTIFS('2026 Time Off Request'!$A:$A,'June 2026'!$D25,'2026 Time Off Request'!$L:$L,'June 2026'!F$6)</f>
        <v>0</v>
      </c>
      <c r="G25" s="148">
        <f>COUNTIFS('2026 Time Off Request'!$A:$A,'June 2026'!$D25,'2026 Time Off Request'!$L:$L,'June 2026'!G$6)</f>
        <v>0</v>
      </c>
      <c r="H25" s="148">
        <f>COUNTIFS('2026 Time Off Request'!$A:$A,'June 2026'!$D25,'2026 Time Off Request'!$L:$L,'June 2026'!H$6)</f>
        <v>0</v>
      </c>
      <c r="I25" s="148">
        <f>COUNTIFS('2026 Time Off Request'!$A:$A,'June 2026'!$D25,'2026 Time Off Request'!$L:$L,'June 2026'!I$6)</f>
        <v>0</v>
      </c>
      <c r="J25" s="148">
        <f>COUNTIFS('2026 Time Off Request'!$A:$A,'June 2026'!$D25,'2026 Time Off Request'!$L:$L,'June 2026'!J$6)</f>
        <v>0</v>
      </c>
      <c r="K25" s="147">
        <f>COUNTIFS('2026 Time Off Request'!$A:$A,'June 2026'!$D25,'2026 Time Off Request'!$L:$L,'June 2026'!K$6)</f>
        <v>0</v>
      </c>
      <c r="L25" s="147">
        <f>COUNTIFS('2026 Time Off Request'!$A:$A,'June 2026'!$D25,'2026 Time Off Request'!$L:$L,'June 2026'!L$6)</f>
        <v>0</v>
      </c>
      <c r="M25" s="148">
        <f>COUNTIFS('2026 Time Off Request'!$A:$A,'June 2026'!$D25,'2026 Time Off Request'!$L:$L,'June 2026'!M$6)</f>
        <v>0</v>
      </c>
      <c r="N25" s="148">
        <f>COUNTIFS('2026 Time Off Request'!$A:$A,'June 2026'!$D25,'2026 Time Off Request'!$L:$L,'June 2026'!N$6)</f>
        <v>0</v>
      </c>
      <c r="O25" s="148">
        <f>COUNTIFS('2026 Time Off Request'!$A:$A,'June 2026'!$D25,'2026 Time Off Request'!$L:$L,'June 2026'!O$6)</f>
        <v>0</v>
      </c>
      <c r="P25" s="148">
        <f>COUNTIFS('2026 Time Off Request'!$A:$A,'June 2026'!$D25,'2026 Time Off Request'!$L:$L,'June 2026'!P$6)</f>
        <v>0</v>
      </c>
      <c r="Q25" s="148">
        <f>COUNTIFS('2026 Time Off Request'!$A:$A,'June 2026'!$D25,'2026 Time Off Request'!$L:$L,'June 2026'!Q$6)</f>
        <v>0</v>
      </c>
      <c r="R25" s="147">
        <f>COUNTIFS('2026 Time Off Request'!$A:$A,'June 2026'!$D25,'2026 Time Off Request'!$L:$L,'June 2026'!R$6)</f>
        <v>0</v>
      </c>
      <c r="S25" s="147">
        <f>COUNTIFS('2026 Time Off Request'!$A:$A,'June 2026'!$D25,'2026 Time Off Request'!$L:$L,'June 2026'!S$6)</f>
        <v>0</v>
      </c>
      <c r="T25" s="148">
        <f>COUNTIFS('2026 Time Off Request'!$A:$A,'June 2026'!$D25,'2026 Time Off Request'!$L:$L,'June 2026'!T$6)</f>
        <v>0</v>
      </c>
      <c r="U25" s="148">
        <f>COUNTIFS('2026 Time Off Request'!$A:$A,'June 2026'!$D25,'2026 Time Off Request'!$L:$L,'June 2026'!U$6)</f>
        <v>0</v>
      </c>
      <c r="V25" s="148">
        <f>COUNTIFS('2026 Time Off Request'!$A:$A,'June 2026'!$D25,'2026 Time Off Request'!$L:$L,'June 2026'!V$6)</f>
        <v>0</v>
      </c>
      <c r="W25" s="148">
        <f>COUNTIFS('2026 Time Off Request'!$A:$A,'June 2026'!$D25,'2026 Time Off Request'!$L:$L,'June 2026'!W$6)</f>
        <v>0</v>
      </c>
      <c r="X25" s="148">
        <f>COUNTIFS('2026 Time Off Request'!$A:$A,'June 2026'!$D25,'2026 Time Off Request'!$L:$L,'June 2026'!X$6)</f>
        <v>0</v>
      </c>
      <c r="Y25" s="147">
        <f>COUNTIFS('2026 Time Off Request'!$A:$A,'June 2026'!$D25,'2026 Time Off Request'!$L:$L,'June 2026'!Y$6)</f>
        <v>0</v>
      </c>
      <c r="Z25" s="147">
        <f>COUNTIFS('2026 Time Off Request'!$A:$A,'June 2026'!$D25,'2026 Time Off Request'!$L:$L,'June 2026'!Z$6)</f>
        <v>0</v>
      </c>
      <c r="AA25" s="148">
        <f>COUNTIFS('2026 Time Off Request'!$A:$A,'June 2026'!$D25,'2026 Time Off Request'!$L:$L,'June 2026'!AA$6)</f>
        <v>0</v>
      </c>
      <c r="AB25" s="148">
        <f>COUNTIFS('2026 Time Off Request'!$A:$A,'June 2026'!$D25,'2026 Time Off Request'!$L:$L,'June 2026'!AB$6)</f>
        <v>0</v>
      </c>
      <c r="AC25" s="148">
        <f>COUNTIFS('2026 Time Off Request'!$A:$A,'June 2026'!$D25,'2026 Time Off Request'!$L:$L,'June 2026'!AC$6)</f>
        <v>0</v>
      </c>
      <c r="AD25" s="148">
        <f>COUNTIFS('2026 Time Off Request'!$A:$A,'June 2026'!$D25,'2026 Time Off Request'!$L:$L,'June 2026'!AD$6)</f>
        <v>0</v>
      </c>
      <c r="AE25" s="148">
        <f>COUNTIFS('2026 Time Off Request'!$A:$A,'June 2026'!$D25,'2026 Time Off Request'!$L:$L,'June 2026'!AE$6)</f>
        <v>0</v>
      </c>
      <c r="AF25" s="147">
        <f>COUNTIFS('2026 Time Off Request'!$A:$A,'June 2026'!$D25,'2026 Time Off Request'!$L:$L,'June 2026'!AF$6)</f>
        <v>0</v>
      </c>
      <c r="AG25" s="147">
        <f>COUNTIFS('2026 Time Off Request'!$A:$A,'June 2026'!$D25,'2026 Time Off Request'!$L:$L,'June 2026'!AG$6)</f>
        <v>0</v>
      </c>
      <c r="AH25" s="148">
        <f>COUNTIFS('2026 Time Off Request'!$A:$A,'June 2026'!$D25,'2026 Time Off Request'!$L:$L,'June 2026'!AH$6)</f>
        <v>0</v>
      </c>
      <c r="AI25" s="148">
        <f>COUNTIFS('2026 Time Off Request'!$A:$A,'June 2026'!$D25,'2026 Time Off Request'!$L:$L,'June 2026'!AI$6)</f>
        <v>0</v>
      </c>
    </row>
    <row r="26" spans="1:35" ht="15.75">
      <c r="A26" s="2"/>
      <c r="B26" s="209" t="s">
        <v>45</v>
      </c>
      <c r="C26" s="210" t="s">
        <v>55</v>
      </c>
      <c r="D26" s="215" t="s">
        <v>57</v>
      </c>
      <c r="E26" s="212">
        <f t="shared" si="3"/>
        <v>0</v>
      </c>
      <c r="F26" s="223">
        <f>COUNTIFS('2026 Time Off Request'!$A:$A,'June 2026'!$D26,'2026 Time Off Request'!$L:$L,'June 2026'!F$6)</f>
        <v>0</v>
      </c>
      <c r="G26" s="148">
        <f>COUNTIFS('2026 Time Off Request'!$A:$A,'June 2026'!$D26,'2026 Time Off Request'!$L:$L,'June 2026'!G$6)</f>
        <v>0</v>
      </c>
      <c r="H26" s="148">
        <f>COUNTIFS('2026 Time Off Request'!$A:$A,'June 2026'!$D26,'2026 Time Off Request'!$L:$L,'June 2026'!H$6)</f>
        <v>0</v>
      </c>
      <c r="I26" s="148">
        <f>COUNTIFS('2026 Time Off Request'!$A:$A,'June 2026'!$D26,'2026 Time Off Request'!$L:$L,'June 2026'!I$6)</f>
        <v>0</v>
      </c>
      <c r="J26" s="148">
        <f>COUNTIFS('2026 Time Off Request'!$A:$A,'June 2026'!$D26,'2026 Time Off Request'!$L:$L,'June 2026'!J$6)</f>
        <v>0</v>
      </c>
      <c r="K26" s="147">
        <f>COUNTIFS('2026 Time Off Request'!$A:$A,'June 2026'!$D26,'2026 Time Off Request'!$L:$L,'June 2026'!K$6)</f>
        <v>0</v>
      </c>
      <c r="L26" s="147">
        <f>COUNTIFS('2026 Time Off Request'!$A:$A,'June 2026'!$D26,'2026 Time Off Request'!$L:$L,'June 2026'!L$6)</f>
        <v>0</v>
      </c>
      <c r="M26" s="148">
        <f>COUNTIFS('2026 Time Off Request'!$A:$A,'June 2026'!$D26,'2026 Time Off Request'!$L:$L,'June 2026'!M$6)</f>
        <v>0</v>
      </c>
      <c r="N26" s="148">
        <f>COUNTIFS('2026 Time Off Request'!$A:$A,'June 2026'!$D26,'2026 Time Off Request'!$L:$L,'June 2026'!N$6)</f>
        <v>0</v>
      </c>
      <c r="O26" s="148">
        <f>COUNTIFS('2026 Time Off Request'!$A:$A,'June 2026'!$D26,'2026 Time Off Request'!$L:$L,'June 2026'!O$6)</f>
        <v>0</v>
      </c>
      <c r="P26" s="148">
        <f>COUNTIFS('2026 Time Off Request'!$A:$A,'June 2026'!$D26,'2026 Time Off Request'!$L:$L,'June 2026'!P$6)</f>
        <v>0</v>
      </c>
      <c r="Q26" s="148">
        <f>COUNTIFS('2026 Time Off Request'!$A:$A,'June 2026'!$D26,'2026 Time Off Request'!$L:$L,'June 2026'!Q$6)</f>
        <v>0</v>
      </c>
      <c r="R26" s="147">
        <f>COUNTIFS('2026 Time Off Request'!$A:$A,'June 2026'!$D26,'2026 Time Off Request'!$L:$L,'June 2026'!R$6)</f>
        <v>0</v>
      </c>
      <c r="S26" s="147">
        <f>COUNTIFS('2026 Time Off Request'!$A:$A,'June 2026'!$D26,'2026 Time Off Request'!$L:$L,'June 2026'!S$6)</f>
        <v>0</v>
      </c>
      <c r="T26" s="148">
        <f>COUNTIFS('2026 Time Off Request'!$A:$A,'June 2026'!$D26,'2026 Time Off Request'!$L:$L,'June 2026'!T$6)</f>
        <v>0</v>
      </c>
      <c r="U26" s="148">
        <f>COUNTIFS('2026 Time Off Request'!$A:$A,'June 2026'!$D26,'2026 Time Off Request'!$L:$L,'June 2026'!U$6)</f>
        <v>0</v>
      </c>
      <c r="V26" s="148">
        <f>COUNTIFS('2026 Time Off Request'!$A:$A,'June 2026'!$D26,'2026 Time Off Request'!$L:$L,'June 2026'!V$6)</f>
        <v>0</v>
      </c>
      <c r="W26" s="148">
        <f>COUNTIFS('2026 Time Off Request'!$A:$A,'June 2026'!$D26,'2026 Time Off Request'!$L:$L,'June 2026'!W$6)</f>
        <v>0</v>
      </c>
      <c r="X26" s="148">
        <f>COUNTIFS('2026 Time Off Request'!$A:$A,'June 2026'!$D26,'2026 Time Off Request'!$L:$L,'June 2026'!X$6)</f>
        <v>0</v>
      </c>
      <c r="Y26" s="147">
        <f>COUNTIFS('2026 Time Off Request'!$A:$A,'June 2026'!$D26,'2026 Time Off Request'!$L:$L,'June 2026'!Y$6)</f>
        <v>0</v>
      </c>
      <c r="Z26" s="147">
        <f>COUNTIFS('2026 Time Off Request'!$A:$A,'June 2026'!$D26,'2026 Time Off Request'!$L:$L,'June 2026'!Z$6)</f>
        <v>0</v>
      </c>
      <c r="AA26" s="148">
        <f>COUNTIFS('2026 Time Off Request'!$A:$A,'June 2026'!$D26,'2026 Time Off Request'!$L:$L,'June 2026'!AA$6)</f>
        <v>0</v>
      </c>
      <c r="AB26" s="148">
        <f>COUNTIFS('2026 Time Off Request'!$A:$A,'June 2026'!$D26,'2026 Time Off Request'!$L:$L,'June 2026'!AB$6)</f>
        <v>0</v>
      </c>
      <c r="AC26" s="148">
        <f>COUNTIFS('2026 Time Off Request'!$A:$A,'June 2026'!$D26,'2026 Time Off Request'!$L:$L,'June 2026'!AC$6)</f>
        <v>0</v>
      </c>
      <c r="AD26" s="148">
        <f>COUNTIFS('2026 Time Off Request'!$A:$A,'June 2026'!$D26,'2026 Time Off Request'!$L:$L,'June 2026'!AD$6)</f>
        <v>0</v>
      </c>
      <c r="AE26" s="148">
        <f>COUNTIFS('2026 Time Off Request'!$A:$A,'June 2026'!$D26,'2026 Time Off Request'!$L:$L,'June 2026'!AE$6)</f>
        <v>0</v>
      </c>
      <c r="AF26" s="147">
        <f>COUNTIFS('2026 Time Off Request'!$A:$A,'June 2026'!$D26,'2026 Time Off Request'!$L:$L,'June 2026'!AF$6)</f>
        <v>0</v>
      </c>
      <c r="AG26" s="147">
        <f>COUNTIFS('2026 Time Off Request'!$A:$A,'June 2026'!$D26,'2026 Time Off Request'!$L:$L,'June 2026'!AG$6)</f>
        <v>0</v>
      </c>
      <c r="AH26" s="148">
        <f>COUNTIFS('2026 Time Off Request'!$A:$A,'June 2026'!$D26,'2026 Time Off Request'!$L:$L,'June 2026'!AH$6)</f>
        <v>0</v>
      </c>
      <c r="AI26" s="148">
        <f>COUNTIFS('2026 Time Off Request'!$A:$A,'June 2026'!$D26,'2026 Time Off Request'!$L:$L,'June 2026'!AI$6)</f>
        <v>0</v>
      </c>
    </row>
    <row r="27" spans="1:35" ht="15.75">
      <c r="A27" s="2">
        <v>19</v>
      </c>
      <c r="B27" s="209" t="s">
        <v>45</v>
      </c>
      <c r="C27" s="210" t="s">
        <v>58</v>
      </c>
      <c r="D27" s="215" t="s">
        <v>59</v>
      </c>
      <c r="E27" s="212">
        <f t="shared" si="3"/>
        <v>0</v>
      </c>
      <c r="F27" s="223">
        <f>COUNTIFS('2026 Time Off Request'!$A:$A,'June 2026'!$D27,'2026 Time Off Request'!$L:$L,'June 2026'!F$6)</f>
        <v>0</v>
      </c>
      <c r="G27" s="148">
        <f>COUNTIFS('2026 Time Off Request'!$A:$A,'June 2026'!$D27,'2026 Time Off Request'!$L:$L,'June 2026'!G$6)</f>
        <v>0</v>
      </c>
      <c r="H27" s="148">
        <f>COUNTIFS('2026 Time Off Request'!$A:$A,'June 2026'!$D27,'2026 Time Off Request'!$L:$L,'June 2026'!H$6)</f>
        <v>0</v>
      </c>
      <c r="I27" s="148">
        <f>COUNTIFS('2026 Time Off Request'!$A:$A,'June 2026'!$D27,'2026 Time Off Request'!$L:$L,'June 2026'!I$6)</f>
        <v>0</v>
      </c>
      <c r="J27" s="148">
        <f>COUNTIFS('2026 Time Off Request'!$A:$A,'June 2026'!$D27,'2026 Time Off Request'!$L:$L,'June 2026'!J$6)</f>
        <v>0</v>
      </c>
      <c r="K27" s="147">
        <f>COUNTIFS('2026 Time Off Request'!$A:$A,'June 2026'!$D27,'2026 Time Off Request'!$L:$L,'June 2026'!K$6)</f>
        <v>0</v>
      </c>
      <c r="L27" s="147">
        <f>COUNTIFS('2026 Time Off Request'!$A:$A,'June 2026'!$D27,'2026 Time Off Request'!$L:$L,'June 2026'!L$6)</f>
        <v>0</v>
      </c>
      <c r="M27" s="148">
        <f>COUNTIFS('2026 Time Off Request'!$A:$A,'June 2026'!$D27,'2026 Time Off Request'!$L:$L,'June 2026'!M$6)</f>
        <v>0</v>
      </c>
      <c r="N27" s="148">
        <f>COUNTIFS('2026 Time Off Request'!$A:$A,'June 2026'!$D27,'2026 Time Off Request'!$L:$L,'June 2026'!N$6)</f>
        <v>0</v>
      </c>
      <c r="O27" s="148">
        <f>COUNTIFS('2026 Time Off Request'!$A:$A,'June 2026'!$D27,'2026 Time Off Request'!$L:$L,'June 2026'!O$6)</f>
        <v>0</v>
      </c>
      <c r="P27" s="148">
        <f>COUNTIFS('2026 Time Off Request'!$A:$A,'June 2026'!$D27,'2026 Time Off Request'!$L:$L,'June 2026'!P$6)</f>
        <v>0</v>
      </c>
      <c r="Q27" s="148">
        <f>COUNTIFS('2026 Time Off Request'!$A:$A,'June 2026'!$D27,'2026 Time Off Request'!$L:$L,'June 2026'!Q$6)</f>
        <v>0</v>
      </c>
      <c r="R27" s="147">
        <f>COUNTIFS('2026 Time Off Request'!$A:$A,'June 2026'!$D27,'2026 Time Off Request'!$L:$L,'June 2026'!R$6)</f>
        <v>0</v>
      </c>
      <c r="S27" s="147">
        <f>COUNTIFS('2026 Time Off Request'!$A:$A,'June 2026'!$D27,'2026 Time Off Request'!$L:$L,'June 2026'!S$6)</f>
        <v>0</v>
      </c>
      <c r="T27" s="148">
        <f>COUNTIFS('2026 Time Off Request'!$A:$A,'June 2026'!$D27,'2026 Time Off Request'!$L:$L,'June 2026'!T$6)</f>
        <v>0</v>
      </c>
      <c r="U27" s="148">
        <f>COUNTIFS('2026 Time Off Request'!$A:$A,'June 2026'!$D27,'2026 Time Off Request'!$L:$L,'June 2026'!U$6)</f>
        <v>0</v>
      </c>
      <c r="V27" s="148">
        <f>COUNTIFS('2026 Time Off Request'!$A:$A,'June 2026'!$D27,'2026 Time Off Request'!$L:$L,'June 2026'!V$6)</f>
        <v>0</v>
      </c>
      <c r="W27" s="148">
        <f>COUNTIFS('2026 Time Off Request'!$A:$A,'June 2026'!$D27,'2026 Time Off Request'!$L:$L,'June 2026'!W$6)</f>
        <v>0</v>
      </c>
      <c r="X27" s="148">
        <f>COUNTIFS('2026 Time Off Request'!$A:$A,'June 2026'!$D27,'2026 Time Off Request'!$L:$L,'June 2026'!X$6)</f>
        <v>0</v>
      </c>
      <c r="Y27" s="147">
        <f>COUNTIFS('2026 Time Off Request'!$A:$A,'June 2026'!$D27,'2026 Time Off Request'!$L:$L,'June 2026'!Y$6)</f>
        <v>0</v>
      </c>
      <c r="Z27" s="147">
        <f>COUNTIFS('2026 Time Off Request'!$A:$A,'June 2026'!$D27,'2026 Time Off Request'!$L:$L,'June 2026'!Z$6)</f>
        <v>0</v>
      </c>
      <c r="AA27" s="148">
        <f>COUNTIFS('2026 Time Off Request'!$A:$A,'June 2026'!$D27,'2026 Time Off Request'!$L:$L,'June 2026'!AA$6)</f>
        <v>0</v>
      </c>
      <c r="AB27" s="148">
        <f>COUNTIFS('2026 Time Off Request'!$A:$A,'June 2026'!$D27,'2026 Time Off Request'!$L:$L,'June 2026'!AB$6)</f>
        <v>0</v>
      </c>
      <c r="AC27" s="148">
        <f>COUNTIFS('2026 Time Off Request'!$A:$A,'June 2026'!$D27,'2026 Time Off Request'!$L:$L,'June 2026'!AC$6)</f>
        <v>0</v>
      </c>
      <c r="AD27" s="148">
        <f>COUNTIFS('2026 Time Off Request'!$A:$A,'June 2026'!$D27,'2026 Time Off Request'!$L:$L,'June 2026'!AD$6)</f>
        <v>0</v>
      </c>
      <c r="AE27" s="148">
        <f>COUNTIFS('2026 Time Off Request'!$A:$A,'June 2026'!$D27,'2026 Time Off Request'!$L:$L,'June 2026'!AE$6)</f>
        <v>0</v>
      </c>
      <c r="AF27" s="147">
        <f>COUNTIFS('2026 Time Off Request'!$A:$A,'June 2026'!$D27,'2026 Time Off Request'!$L:$L,'June 2026'!AF$6)</f>
        <v>0</v>
      </c>
      <c r="AG27" s="147">
        <f>COUNTIFS('2026 Time Off Request'!$A:$A,'June 2026'!$D27,'2026 Time Off Request'!$L:$L,'June 2026'!AG$6)</f>
        <v>0</v>
      </c>
      <c r="AH27" s="148">
        <f>COUNTIFS('2026 Time Off Request'!$A:$A,'June 2026'!$D27,'2026 Time Off Request'!$L:$L,'June 2026'!AH$6)</f>
        <v>0</v>
      </c>
      <c r="AI27" s="148">
        <f>COUNTIFS('2026 Time Off Request'!$A:$A,'June 2026'!$D27,'2026 Time Off Request'!$L:$L,'June 2026'!AI$6)</f>
        <v>0</v>
      </c>
    </row>
    <row r="28" spans="1:35" ht="15.75">
      <c r="A28" s="2">
        <v>20</v>
      </c>
      <c r="B28" s="209" t="s">
        <v>45</v>
      </c>
      <c r="C28" s="210" t="s">
        <v>60</v>
      </c>
      <c r="D28" s="215" t="s">
        <v>61</v>
      </c>
      <c r="E28" s="212">
        <f t="shared" si="3"/>
        <v>0</v>
      </c>
      <c r="F28" s="223">
        <f>COUNTIFS('2026 Time Off Request'!$A:$A,'June 2026'!$D28,'2026 Time Off Request'!$L:$L,'June 2026'!F$6)</f>
        <v>0</v>
      </c>
      <c r="G28" s="148">
        <f>COUNTIFS('2026 Time Off Request'!$A:$A,'June 2026'!$D28,'2026 Time Off Request'!$L:$L,'June 2026'!G$6)</f>
        <v>0</v>
      </c>
      <c r="H28" s="148">
        <f>COUNTIFS('2026 Time Off Request'!$A:$A,'June 2026'!$D28,'2026 Time Off Request'!$L:$L,'June 2026'!H$6)</f>
        <v>0</v>
      </c>
      <c r="I28" s="148">
        <f>COUNTIFS('2026 Time Off Request'!$A:$A,'June 2026'!$D28,'2026 Time Off Request'!$L:$L,'June 2026'!I$6)</f>
        <v>0</v>
      </c>
      <c r="J28" s="148">
        <f>COUNTIFS('2026 Time Off Request'!$A:$A,'June 2026'!$D28,'2026 Time Off Request'!$L:$L,'June 2026'!J$6)</f>
        <v>0</v>
      </c>
      <c r="K28" s="147">
        <f>COUNTIFS('2026 Time Off Request'!$A:$A,'June 2026'!$D28,'2026 Time Off Request'!$L:$L,'June 2026'!K$6)</f>
        <v>0</v>
      </c>
      <c r="L28" s="147">
        <f>COUNTIFS('2026 Time Off Request'!$A:$A,'June 2026'!$D28,'2026 Time Off Request'!$L:$L,'June 2026'!L$6)</f>
        <v>0</v>
      </c>
      <c r="M28" s="148">
        <f>COUNTIFS('2026 Time Off Request'!$A:$A,'June 2026'!$D28,'2026 Time Off Request'!$L:$L,'June 2026'!M$6)</f>
        <v>0</v>
      </c>
      <c r="N28" s="148">
        <f>COUNTIFS('2026 Time Off Request'!$A:$A,'June 2026'!$D28,'2026 Time Off Request'!$L:$L,'June 2026'!N$6)</f>
        <v>0</v>
      </c>
      <c r="O28" s="148">
        <f>COUNTIFS('2026 Time Off Request'!$A:$A,'June 2026'!$D28,'2026 Time Off Request'!$L:$L,'June 2026'!O$6)</f>
        <v>0</v>
      </c>
      <c r="P28" s="148">
        <f>COUNTIFS('2026 Time Off Request'!$A:$A,'June 2026'!$D28,'2026 Time Off Request'!$L:$L,'June 2026'!P$6)</f>
        <v>0</v>
      </c>
      <c r="Q28" s="148">
        <f>COUNTIFS('2026 Time Off Request'!$A:$A,'June 2026'!$D28,'2026 Time Off Request'!$L:$L,'June 2026'!Q$6)</f>
        <v>0</v>
      </c>
      <c r="R28" s="147">
        <f>COUNTIFS('2026 Time Off Request'!$A:$A,'June 2026'!$D28,'2026 Time Off Request'!$L:$L,'June 2026'!R$6)</f>
        <v>0</v>
      </c>
      <c r="S28" s="147">
        <f>COUNTIFS('2026 Time Off Request'!$A:$A,'June 2026'!$D28,'2026 Time Off Request'!$L:$L,'June 2026'!S$6)</f>
        <v>0</v>
      </c>
      <c r="T28" s="148">
        <f>COUNTIFS('2026 Time Off Request'!$A:$A,'June 2026'!$D28,'2026 Time Off Request'!$L:$L,'June 2026'!T$6)</f>
        <v>0</v>
      </c>
      <c r="U28" s="148">
        <f>COUNTIFS('2026 Time Off Request'!$A:$A,'June 2026'!$D28,'2026 Time Off Request'!$L:$L,'June 2026'!U$6)</f>
        <v>0</v>
      </c>
      <c r="V28" s="148">
        <f>COUNTIFS('2026 Time Off Request'!$A:$A,'June 2026'!$D28,'2026 Time Off Request'!$L:$L,'June 2026'!V$6)</f>
        <v>0</v>
      </c>
      <c r="W28" s="148">
        <f>COUNTIFS('2026 Time Off Request'!$A:$A,'June 2026'!$D28,'2026 Time Off Request'!$L:$L,'June 2026'!W$6)</f>
        <v>0</v>
      </c>
      <c r="X28" s="148">
        <f>COUNTIFS('2026 Time Off Request'!$A:$A,'June 2026'!$D28,'2026 Time Off Request'!$L:$L,'June 2026'!X$6)</f>
        <v>0</v>
      </c>
      <c r="Y28" s="147">
        <f>COUNTIFS('2026 Time Off Request'!$A:$A,'June 2026'!$D28,'2026 Time Off Request'!$L:$L,'June 2026'!Y$6)</f>
        <v>0</v>
      </c>
      <c r="Z28" s="147">
        <f>COUNTIFS('2026 Time Off Request'!$A:$A,'June 2026'!$D28,'2026 Time Off Request'!$L:$L,'June 2026'!Z$6)</f>
        <v>0</v>
      </c>
      <c r="AA28" s="148">
        <f>COUNTIFS('2026 Time Off Request'!$A:$A,'June 2026'!$D28,'2026 Time Off Request'!$L:$L,'June 2026'!AA$6)</f>
        <v>0</v>
      </c>
      <c r="AB28" s="148">
        <f>COUNTIFS('2026 Time Off Request'!$A:$A,'June 2026'!$D28,'2026 Time Off Request'!$L:$L,'June 2026'!AB$6)</f>
        <v>0</v>
      </c>
      <c r="AC28" s="148">
        <f>COUNTIFS('2026 Time Off Request'!$A:$A,'June 2026'!$D28,'2026 Time Off Request'!$L:$L,'June 2026'!AC$6)</f>
        <v>0</v>
      </c>
      <c r="AD28" s="148">
        <f>COUNTIFS('2026 Time Off Request'!$A:$A,'June 2026'!$D28,'2026 Time Off Request'!$L:$L,'June 2026'!AD$6)</f>
        <v>0</v>
      </c>
      <c r="AE28" s="148">
        <f>COUNTIFS('2026 Time Off Request'!$A:$A,'June 2026'!$D28,'2026 Time Off Request'!$L:$L,'June 2026'!AE$6)</f>
        <v>0</v>
      </c>
      <c r="AF28" s="147">
        <f>COUNTIFS('2026 Time Off Request'!$A:$A,'June 2026'!$D28,'2026 Time Off Request'!$L:$L,'June 2026'!AF$6)</f>
        <v>0</v>
      </c>
      <c r="AG28" s="147">
        <f>COUNTIFS('2026 Time Off Request'!$A:$A,'June 2026'!$D28,'2026 Time Off Request'!$L:$L,'June 2026'!AG$6)</f>
        <v>0</v>
      </c>
      <c r="AH28" s="148">
        <f>COUNTIFS('2026 Time Off Request'!$A:$A,'June 2026'!$D28,'2026 Time Off Request'!$L:$L,'June 2026'!AH$6)</f>
        <v>0</v>
      </c>
      <c r="AI28" s="148">
        <f>COUNTIFS('2026 Time Off Request'!$A:$A,'June 2026'!$D28,'2026 Time Off Request'!$L:$L,'June 2026'!AI$6)</f>
        <v>0</v>
      </c>
    </row>
    <row r="29" spans="1:35" ht="15.75">
      <c r="A29" s="2"/>
      <c r="B29" s="209" t="s">
        <v>45</v>
      </c>
      <c r="C29" s="210" t="s">
        <v>62</v>
      </c>
      <c r="D29" s="215" t="s">
        <v>63</v>
      </c>
      <c r="E29" s="212">
        <f t="shared" si="3"/>
        <v>0</v>
      </c>
      <c r="F29" s="223">
        <f>COUNTIFS('2026 Time Off Request'!$A:$A,'June 2026'!$D29,'2026 Time Off Request'!$L:$L,'June 2026'!F$6)</f>
        <v>0</v>
      </c>
      <c r="G29" s="148">
        <f>COUNTIFS('2026 Time Off Request'!$A:$A,'June 2026'!$D29,'2026 Time Off Request'!$L:$L,'June 2026'!G$6)</f>
        <v>0</v>
      </c>
      <c r="H29" s="148">
        <f>COUNTIFS('2026 Time Off Request'!$A:$A,'June 2026'!$D29,'2026 Time Off Request'!$L:$L,'June 2026'!H$6)</f>
        <v>0</v>
      </c>
      <c r="I29" s="148">
        <f>COUNTIFS('2026 Time Off Request'!$A:$A,'June 2026'!$D29,'2026 Time Off Request'!$L:$L,'June 2026'!I$6)</f>
        <v>0</v>
      </c>
      <c r="J29" s="148">
        <f>COUNTIFS('2026 Time Off Request'!$A:$A,'June 2026'!$D29,'2026 Time Off Request'!$L:$L,'June 2026'!J$6)</f>
        <v>0</v>
      </c>
      <c r="K29" s="147">
        <f>COUNTIFS('2026 Time Off Request'!$A:$A,'June 2026'!$D29,'2026 Time Off Request'!$L:$L,'June 2026'!K$6)</f>
        <v>0</v>
      </c>
      <c r="L29" s="147">
        <f>COUNTIFS('2026 Time Off Request'!$A:$A,'June 2026'!$D29,'2026 Time Off Request'!$L:$L,'June 2026'!L$6)</f>
        <v>0</v>
      </c>
      <c r="M29" s="148">
        <f>COUNTIFS('2026 Time Off Request'!$A:$A,'June 2026'!$D29,'2026 Time Off Request'!$L:$L,'June 2026'!M$6)</f>
        <v>0</v>
      </c>
      <c r="N29" s="148">
        <f>COUNTIFS('2026 Time Off Request'!$A:$A,'June 2026'!$D29,'2026 Time Off Request'!$L:$L,'June 2026'!N$6)</f>
        <v>0</v>
      </c>
      <c r="O29" s="148">
        <f>COUNTIFS('2026 Time Off Request'!$A:$A,'June 2026'!$D29,'2026 Time Off Request'!$L:$L,'June 2026'!O$6)</f>
        <v>0</v>
      </c>
      <c r="P29" s="148">
        <f>COUNTIFS('2026 Time Off Request'!$A:$A,'June 2026'!$D29,'2026 Time Off Request'!$L:$L,'June 2026'!P$6)</f>
        <v>0</v>
      </c>
      <c r="Q29" s="148">
        <f>COUNTIFS('2026 Time Off Request'!$A:$A,'June 2026'!$D29,'2026 Time Off Request'!$L:$L,'June 2026'!Q$6)</f>
        <v>0</v>
      </c>
      <c r="R29" s="147">
        <f>COUNTIFS('2026 Time Off Request'!$A:$A,'June 2026'!$D29,'2026 Time Off Request'!$L:$L,'June 2026'!R$6)</f>
        <v>0</v>
      </c>
      <c r="S29" s="147">
        <f>COUNTIFS('2026 Time Off Request'!$A:$A,'June 2026'!$D29,'2026 Time Off Request'!$L:$L,'June 2026'!S$6)</f>
        <v>0</v>
      </c>
      <c r="T29" s="148">
        <f>COUNTIFS('2026 Time Off Request'!$A:$A,'June 2026'!$D29,'2026 Time Off Request'!$L:$L,'June 2026'!T$6)</f>
        <v>0</v>
      </c>
      <c r="U29" s="148">
        <f>COUNTIFS('2026 Time Off Request'!$A:$A,'June 2026'!$D29,'2026 Time Off Request'!$L:$L,'June 2026'!U$6)</f>
        <v>0</v>
      </c>
      <c r="V29" s="148">
        <f>COUNTIFS('2026 Time Off Request'!$A:$A,'June 2026'!$D29,'2026 Time Off Request'!$L:$L,'June 2026'!V$6)</f>
        <v>0</v>
      </c>
      <c r="W29" s="148">
        <f>COUNTIFS('2026 Time Off Request'!$A:$A,'June 2026'!$D29,'2026 Time Off Request'!$L:$L,'June 2026'!W$6)</f>
        <v>0</v>
      </c>
      <c r="X29" s="148">
        <f>COUNTIFS('2026 Time Off Request'!$A:$A,'June 2026'!$D29,'2026 Time Off Request'!$L:$L,'June 2026'!X$6)</f>
        <v>0</v>
      </c>
      <c r="Y29" s="147">
        <f>COUNTIFS('2026 Time Off Request'!$A:$A,'June 2026'!$D29,'2026 Time Off Request'!$L:$L,'June 2026'!Y$6)</f>
        <v>0</v>
      </c>
      <c r="Z29" s="147">
        <f>COUNTIFS('2026 Time Off Request'!$A:$A,'June 2026'!$D29,'2026 Time Off Request'!$L:$L,'June 2026'!Z$6)</f>
        <v>0</v>
      </c>
      <c r="AA29" s="148">
        <f>COUNTIFS('2026 Time Off Request'!$A:$A,'June 2026'!$D29,'2026 Time Off Request'!$L:$L,'June 2026'!AA$6)</f>
        <v>0</v>
      </c>
      <c r="AB29" s="148">
        <f>COUNTIFS('2026 Time Off Request'!$A:$A,'June 2026'!$D29,'2026 Time Off Request'!$L:$L,'June 2026'!AB$6)</f>
        <v>0</v>
      </c>
      <c r="AC29" s="148">
        <f>COUNTIFS('2026 Time Off Request'!$A:$A,'June 2026'!$D29,'2026 Time Off Request'!$L:$L,'June 2026'!AC$6)</f>
        <v>0</v>
      </c>
      <c r="AD29" s="148">
        <f>COUNTIFS('2026 Time Off Request'!$A:$A,'June 2026'!$D29,'2026 Time Off Request'!$L:$L,'June 2026'!AD$6)</f>
        <v>0</v>
      </c>
      <c r="AE29" s="148">
        <f>COUNTIFS('2026 Time Off Request'!$A:$A,'June 2026'!$D29,'2026 Time Off Request'!$L:$L,'June 2026'!AE$6)</f>
        <v>0</v>
      </c>
      <c r="AF29" s="147">
        <f>COUNTIFS('2026 Time Off Request'!$A:$A,'June 2026'!$D29,'2026 Time Off Request'!$L:$L,'June 2026'!AF$6)</f>
        <v>0</v>
      </c>
      <c r="AG29" s="147">
        <f>COUNTIFS('2026 Time Off Request'!$A:$A,'June 2026'!$D29,'2026 Time Off Request'!$L:$L,'June 2026'!AG$6)</f>
        <v>0</v>
      </c>
      <c r="AH29" s="148">
        <f>COUNTIFS('2026 Time Off Request'!$A:$A,'June 2026'!$D29,'2026 Time Off Request'!$L:$L,'June 2026'!AH$6)</f>
        <v>0</v>
      </c>
      <c r="AI29" s="148">
        <f>COUNTIFS('2026 Time Off Request'!$A:$A,'June 2026'!$D29,'2026 Time Off Request'!$L:$L,'June 2026'!AI$6)</f>
        <v>0</v>
      </c>
    </row>
    <row r="30" spans="1:35" ht="15.75">
      <c r="A30" s="2">
        <v>21</v>
      </c>
      <c r="B30" s="209" t="s">
        <v>49</v>
      </c>
      <c r="C30" s="210" t="s">
        <v>64</v>
      </c>
      <c r="D30" s="215" t="s">
        <v>65</v>
      </c>
      <c r="E30" s="212">
        <f t="shared" si="2"/>
        <v>0</v>
      </c>
      <c r="F30" s="223">
        <f>COUNTIFS('2026 Time Off Request'!$A:$A,'June 2026'!$D30,'2026 Time Off Request'!$L:$L,'June 2026'!F$6)</f>
        <v>0</v>
      </c>
      <c r="G30" s="148">
        <f>COUNTIFS('2026 Time Off Request'!$A:$A,'June 2026'!$D30,'2026 Time Off Request'!$L:$L,'June 2026'!G$6)</f>
        <v>0</v>
      </c>
      <c r="H30" s="148">
        <f>COUNTIFS('2026 Time Off Request'!$A:$A,'June 2026'!$D30,'2026 Time Off Request'!$L:$L,'June 2026'!H$6)</f>
        <v>0</v>
      </c>
      <c r="I30" s="148">
        <f>COUNTIFS('2026 Time Off Request'!$A:$A,'June 2026'!$D30,'2026 Time Off Request'!$L:$L,'June 2026'!I$6)</f>
        <v>0</v>
      </c>
      <c r="J30" s="148">
        <f>COUNTIFS('2026 Time Off Request'!$A:$A,'June 2026'!$D30,'2026 Time Off Request'!$L:$L,'June 2026'!J$6)</f>
        <v>0</v>
      </c>
      <c r="K30" s="147">
        <f>COUNTIFS('2026 Time Off Request'!$A:$A,'June 2026'!$D30,'2026 Time Off Request'!$L:$L,'June 2026'!K$6)</f>
        <v>0</v>
      </c>
      <c r="L30" s="147">
        <f>COUNTIFS('2026 Time Off Request'!$A:$A,'June 2026'!$D30,'2026 Time Off Request'!$L:$L,'June 2026'!L$6)</f>
        <v>0</v>
      </c>
      <c r="M30" s="148">
        <f>COUNTIFS('2026 Time Off Request'!$A:$A,'June 2026'!$D30,'2026 Time Off Request'!$L:$L,'June 2026'!M$6)</f>
        <v>0</v>
      </c>
      <c r="N30" s="148">
        <f>COUNTIFS('2026 Time Off Request'!$A:$A,'June 2026'!$D30,'2026 Time Off Request'!$L:$L,'June 2026'!N$6)</f>
        <v>0</v>
      </c>
      <c r="O30" s="148">
        <f>COUNTIFS('2026 Time Off Request'!$A:$A,'June 2026'!$D30,'2026 Time Off Request'!$L:$L,'June 2026'!O$6)</f>
        <v>0</v>
      </c>
      <c r="P30" s="148">
        <f>COUNTIFS('2026 Time Off Request'!$A:$A,'June 2026'!$D30,'2026 Time Off Request'!$L:$L,'June 2026'!P$6)</f>
        <v>0</v>
      </c>
      <c r="Q30" s="148">
        <f>COUNTIFS('2026 Time Off Request'!$A:$A,'June 2026'!$D30,'2026 Time Off Request'!$L:$L,'June 2026'!Q$6)</f>
        <v>0</v>
      </c>
      <c r="R30" s="147">
        <f>COUNTIFS('2026 Time Off Request'!$A:$A,'June 2026'!$D30,'2026 Time Off Request'!$L:$L,'June 2026'!R$6)</f>
        <v>0</v>
      </c>
      <c r="S30" s="147">
        <f>COUNTIFS('2026 Time Off Request'!$A:$A,'June 2026'!$D30,'2026 Time Off Request'!$L:$L,'June 2026'!S$6)</f>
        <v>0</v>
      </c>
      <c r="T30" s="148">
        <f>COUNTIFS('2026 Time Off Request'!$A:$A,'June 2026'!$D30,'2026 Time Off Request'!$L:$L,'June 2026'!T$6)</f>
        <v>0</v>
      </c>
      <c r="U30" s="148">
        <f>COUNTIFS('2026 Time Off Request'!$A:$A,'June 2026'!$D30,'2026 Time Off Request'!$L:$L,'June 2026'!U$6)</f>
        <v>0</v>
      </c>
      <c r="V30" s="148">
        <f>COUNTIFS('2026 Time Off Request'!$A:$A,'June 2026'!$D30,'2026 Time Off Request'!$L:$L,'June 2026'!V$6)</f>
        <v>0</v>
      </c>
      <c r="W30" s="148">
        <f>COUNTIFS('2026 Time Off Request'!$A:$A,'June 2026'!$D30,'2026 Time Off Request'!$L:$L,'June 2026'!W$6)</f>
        <v>0</v>
      </c>
      <c r="X30" s="148">
        <f>COUNTIFS('2026 Time Off Request'!$A:$A,'June 2026'!$D30,'2026 Time Off Request'!$L:$L,'June 2026'!X$6)</f>
        <v>0</v>
      </c>
      <c r="Y30" s="147">
        <f>COUNTIFS('2026 Time Off Request'!$A:$A,'June 2026'!$D30,'2026 Time Off Request'!$L:$L,'June 2026'!Y$6)</f>
        <v>0</v>
      </c>
      <c r="Z30" s="147">
        <f>COUNTIFS('2026 Time Off Request'!$A:$A,'June 2026'!$D30,'2026 Time Off Request'!$L:$L,'June 2026'!Z$6)</f>
        <v>0</v>
      </c>
      <c r="AA30" s="148">
        <f>COUNTIFS('2026 Time Off Request'!$A:$A,'June 2026'!$D30,'2026 Time Off Request'!$L:$L,'June 2026'!AA$6)</f>
        <v>0</v>
      </c>
      <c r="AB30" s="148">
        <f>COUNTIFS('2026 Time Off Request'!$A:$A,'June 2026'!$D30,'2026 Time Off Request'!$L:$L,'June 2026'!AB$6)</f>
        <v>0</v>
      </c>
      <c r="AC30" s="148">
        <f>COUNTIFS('2026 Time Off Request'!$A:$A,'June 2026'!$D30,'2026 Time Off Request'!$L:$L,'June 2026'!AC$6)</f>
        <v>0</v>
      </c>
      <c r="AD30" s="148">
        <f>COUNTIFS('2026 Time Off Request'!$A:$A,'June 2026'!$D30,'2026 Time Off Request'!$L:$L,'June 2026'!AD$6)</f>
        <v>0</v>
      </c>
      <c r="AE30" s="148">
        <f>COUNTIFS('2026 Time Off Request'!$A:$A,'June 2026'!$D30,'2026 Time Off Request'!$L:$L,'June 2026'!AE$6)</f>
        <v>0</v>
      </c>
      <c r="AF30" s="147">
        <f>COUNTIFS('2026 Time Off Request'!$A:$A,'June 2026'!$D30,'2026 Time Off Request'!$L:$L,'June 2026'!AF$6)</f>
        <v>0</v>
      </c>
      <c r="AG30" s="147">
        <f>COUNTIFS('2026 Time Off Request'!$A:$A,'June 2026'!$D30,'2026 Time Off Request'!$L:$L,'June 2026'!AG$6)</f>
        <v>0</v>
      </c>
      <c r="AH30" s="148">
        <f>COUNTIFS('2026 Time Off Request'!$A:$A,'June 2026'!$D30,'2026 Time Off Request'!$L:$L,'June 2026'!AH$6)</f>
        <v>0</v>
      </c>
      <c r="AI30" s="148">
        <f>COUNTIFS('2026 Time Off Request'!$A:$A,'June 2026'!$D30,'2026 Time Off Request'!$L:$L,'June 2026'!AI$6)</f>
        <v>0</v>
      </c>
    </row>
    <row r="31" spans="1:35" ht="15.75">
      <c r="A31" s="2">
        <v>22</v>
      </c>
      <c r="B31" s="209" t="s">
        <v>49</v>
      </c>
      <c r="C31" s="210" t="s">
        <v>66</v>
      </c>
      <c r="D31" s="215" t="s">
        <v>67</v>
      </c>
      <c r="E31" s="212">
        <f t="shared" si="2"/>
        <v>0</v>
      </c>
      <c r="F31" s="223">
        <f>COUNTIFS('2026 Time Off Request'!$A:$A,'June 2026'!$D31,'2026 Time Off Request'!$L:$L,'June 2026'!F$6)</f>
        <v>0</v>
      </c>
      <c r="G31" s="148">
        <f>COUNTIFS('2026 Time Off Request'!$A:$A,'June 2026'!$D31,'2026 Time Off Request'!$L:$L,'June 2026'!G$6)</f>
        <v>0</v>
      </c>
      <c r="H31" s="148">
        <f>COUNTIFS('2026 Time Off Request'!$A:$A,'June 2026'!$D31,'2026 Time Off Request'!$L:$L,'June 2026'!H$6)</f>
        <v>0</v>
      </c>
      <c r="I31" s="148">
        <f>COUNTIFS('2026 Time Off Request'!$A:$A,'June 2026'!$D31,'2026 Time Off Request'!$L:$L,'June 2026'!I$6)</f>
        <v>0</v>
      </c>
      <c r="J31" s="148">
        <f>COUNTIFS('2026 Time Off Request'!$A:$A,'June 2026'!$D31,'2026 Time Off Request'!$L:$L,'June 2026'!J$6)</f>
        <v>0</v>
      </c>
      <c r="K31" s="147">
        <f>COUNTIFS('2026 Time Off Request'!$A:$A,'June 2026'!$D31,'2026 Time Off Request'!$L:$L,'June 2026'!K$6)</f>
        <v>0</v>
      </c>
      <c r="L31" s="147">
        <f>COUNTIFS('2026 Time Off Request'!$A:$A,'June 2026'!$D31,'2026 Time Off Request'!$L:$L,'June 2026'!L$6)</f>
        <v>0</v>
      </c>
      <c r="M31" s="148">
        <f>COUNTIFS('2026 Time Off Request'!$A:$A,'June 2026'!$D31,'2026 Time Off Request'!$L:$L,'June 2026'!M$6)</f>
        <v>0</v>
      </c>
      <c r="N31" s="148">
        <f>COUNTIFS('2026 Time Off Request'!$A:$A,'June 2026'!$D31,'2026 Time Off Request'!$L:$L,'June 2026'!N$6)</f>
        <v>0</v>
      </c>
      <c r="O31" s="148">
        <f>COUNTIFS('2026 Time Off Request'!$A:$A,'June 2026'!$D31,'2026 Time Off Request'!$L:$L,'June 2026'!O$6)</f>
        <v>0</v>
      </c>
      <c r="P31" s="148">
        <f>COUNTIFS('2026 Time Off Request'!$A:$A,'June 2026'!$D31,'2026 Time Off Request'!$L:$L,'June 2026'!P$6)</f>
        <v>0</v>
      </c>
      <c r="Q31" s="148">
        <f>COUNTIFS('2026 Time Off Request'!$A:$A,'June 2026'!$D31,'2026 Time Off Request'!$L:$L,'June 2026'!Q$6)</f>
        <v>0</v>
      </c>
      <c r="R31" s="147">
        <f>COUNTIFS('2026 Time Off Request'!$A:$A,'June 2026'!$D31,'2026 Time Off Request'!$L:$L,'June 2026'!R$6)</f>
        <v>0</v>
      </c>
      <c r="S31" s="147">
        <f>COUNTIFS('2026 Time Off Request'!$A:$A,'June 2026'!$D31,'2026 Time Off Request'!$L:$L,'June 2026'!S$6)</f>
        <v>0</v>
      </c>
      <c r="T31" s="148">
        <f>COUNTIFS('2026 Time Off Request'!$A:$A,'June 2026'!$D31,'2026 Time Off Request'!$L:$L,'June 2026'!T$6)</f>
        <v>0</v>
      </c>
      <c r="U31" s="148">
        <f>COUNTIFS('2026 Time Off Request'!$A:$A,'June 2026'!$D31,'2026 Time Off Request'!$L:$L,'June 2026'!U$6)</f>
        <v>0</v>
      </c>
      <c r="V31" s="148">
        <f>COUNTIFS('2026 Time Off Request'!$A:$A,'June 2026'!$D31,'2026 Time Off Request'!$L:$L,'June 2026'!V$6)</f>
        <v>0</v>
      </c>
      <c r="W31" s="148">
        <f>COUNTIFS('2026 Time Off Request'!$A:$A,'June 2026'!$D31,'2026 Time Off Request'!$L:$L,'June 2026'!W$6)</f>
        <v>0</v>
      </c>
      <c r="X31" s="148">
        <f>COUNTIFS('2026 Time Off Request'!$A:$A,'June 2026'!$D31,'2026 Time Off Request'!$L:$L,'June 2026'!X$6)</f>
        <v>0</v>
      </c>
      <c r="Y31" s="147">
        <f>COUNTIFS('2026 Time Off Request'!$A:$A,'June 2026'!$D31,'2026 Time Off Request'!$L:$L,'June 2026'!Y$6)</f>
        <v>0</v>
      </c>
      <c r="Z31" s="147">
        <f>COUNTIFS('2026 Time Off Request'!$A:$A,'June 2026'!$D31,'2026 Time Off Request'!$L:$L,'June 2026'!Z$6)</f>
        <v>0</v>
      </c>
      <c r="AA31" s="148">
        <f>COUNTIFS('2026 Time Off Request'!$A:$A,'June 2026'!$D31,'2026 Time Off Request'!$L:$L,'June 2026'!AA$6)</f>
        <v>0</v>
      </c>
      <c r="AB31" s="148">
        <f>COUNTIFS('2026 Time Off Request'!$A:$A,'June 2026'!$D31,'2026 Time Off Request'!$L:$L,'June 2026'!AB$6)</f>
        <v>0</v>
      </c>
      <c r="AC31" s="148">
        <f>COUNTIFS('2026 Time Off Request'!$A:$A,'June 2026'!$D31,'2026 Time Off Request'!$L:$L,'June 2026'!AC$6)</f>
        <v>0</v>
      </c>
      <c r="AD31" s="148">
        <f>COUNTIFS('2026 Time Off Request'!$A:$A,'June 2026'!$D31,'2026 Time Off Request'!$L:$L,'June 2026'!AD$6)</f>
        <v>0</v>
      </c>
      <c r="AE31" s="148">
        <f>COUNTIFS('2026 Time Off Request'!$A:$A,'June 2026'!$D31,'2026 Time Off Request'!$L:$L,'June 2026'!AE$6)</f>
        <v>0</v>
      </c>
      <c r="AF31" s="147">
        <f>COUNTIFS('2026 Time Off Request'!$A:$A,'June 2026'!$D31,'2026 Time Off Request'!$L:$L,'June 2026'!AF$6)</f>
        <v>0</v>
      </c>
      <c r="AG31" s="147">
        <f>COUNTIFS('2026 Time Off Request'!$A:$A,'June 2026'!$D31,'2026 Time Off Request'!$L:$L,'June 2026'!AG$6)</f>
        <v>0</v>
      </c>
      <c r="AH31" s="148">
        <f>COUNTIFS('2026 Time Off Request'!$A:$A,'June 2026'!$D31,'2026 Time Off Request'!$L:$L,'June 2026'!AH$6)</f>
        <v>0</v>
      </c>
      <c r="AI31" s="148">
        <f>COUNTIFS('2026 Time Off Request'!$A:$A,'June 2026'!$D31,'2026 Time Off Request'!$L:$L,'June 2026'!AI$6)</f>
        <v>0</v>
      </c>
    </row>
    <row r="32" spans="1:35" ht="15.75">
      <c r="A32" s="2">
        <v>23</v>
      </c>
      <c r="B32" s="209" t="s">
        <v>45</v>
      </c>
      <c r="C32" s="210" t="s">
        <v>68</v>
      </c>
      <c r="D32" s="215" t="s">
        <v>69</v>
      </c>
      <c r="E32" s="212">
        <f t="shared" si="2"/>
        <v>0</v>
      </c>
      <c r="F32" s="223">
        <f>COUNTIFS('2026 Time Off Request'!$A:$A,'June 2026'!$D32,'2026 Time Off Request'!$L:$L,'June 2026'!F$6)</f>
        <v>0</v>
      </c>
      <c r="G32" s="148">
        <f>COUNTIFS('2026 Time Off Request'!$A:$A,'June 2026'!$D32,'2026 Time Off Request'!$L:$L,'June 2026'!G$6)</f>
        <v>0</v>
      </c>
      <c r="H32" s="148">
        <f>COUNTIFS('2026 Time Off Request'!$A:$A,'June 2026'!$D32,'2026 Time Off Request'!$L:$L,'June 2026'!H$6)</f>
        <v>0</v>
      </c>
      <c r="I32" s="148">
        <f>COUNTIFS('2026 Time Off Request'!$A:$A,'June 2026'!$D32,'2026 Time Off Request'!$L:$L,'June 2026'!I$6)</f>
        <v>0</v>
      </c>
      <c r="J32" s="148">
        <f>COUNTIFS('2026 Time Off Request'!$A:$A,'June 2026'!$D32,'2026 Time Off Request'!$L:$L,'June 2026'!J$6)</f>
        <v>0</v>
      </c>
      <c r="K32" s="147">
        <f>COUNTIFS('2026 Time Off Request'!$A:$A,'June 2026'!$D32,'2026 Time Off Request'!$L:$L,'June 2026'!K$6)</f>
        <v>0</v>
      </c>
      <c r="L32" s="147">
        <f>COUNTIFS('2026 Time Off Request'!$A:$A,'June 2026'!$D32,'2026 Time Off Request'!$L:$L,'June 2026'!L$6)</f>
        <v>0</v>
      </c>
      <c r="M32" s="148">
        <f>COUNTIFS('2026 Time Off Request'!$A:$A,'June 2026'!$D32,'2026 Time Off Request'!$L:$L,'June 2026'!M$6)</f>
        <v>0</v>
      </c>
      <c r="N32" s="148">
        <f>COUNTIFS('2026 Time Off Request'!$A:$A,'June 2026'!$D32,'2026 Time Off Request'!$L:$L,'June 2026'!N$6)</f>
        <v>0</v>
      </c>
      <c r="O32" s="148">
        <f>COUNTIFS('2026 Time Off Request'!$A:$A,'June 2026'!$D32,'2026 Time Off Request'!$L:$L,'June 2026'!O$6)</f>
        <v>0</v>
      </c>
      <c r="P32" s="148">
        <f>COUNTIFS('2026 Time Off Request'!$A:$A,'June 2026'!$D32,'2026 Time Off Request'!$L:$L,'June 2026'!P$6)</f>
        <v>0</v>
      </c>
      <c r="Q32" s="148">
        <f>COUNTIFS('2026 Time Off Request'!$A:$A,'June 2026'!$D32,'2026 Time Off Request'!$L:$L,'June 2026'!Q$6)</f>
        <v>0</v>
      </c>
      <c r="R32" s="147">
        <f>COUNTIFS('2026 Time Off Request'!$A:$A,'June 2026'!$D32,'2026 Time Off Request'!$L:$L,'June 2026'!R$6)</f>
        <v>0</v>
      </c>
      <c r="S32" s="147">
        <f>COUNTIFS('2026 Time Off Request'!$A:$A,'June 2026'!$D32,'2026 Time Off Request'!$L:$L,'June 2026'!S$6)</f>
        <v>0</v>
      </c>
      <c r="T32" s="148">
        <f>COUNTIFS('2026 Time Off Request'!$A:$A,'June 2026'!$D32,'2026 Time Off Request'!$L:$L,'June 2026'!T$6)</f>
        <v>0</v>
      </c>
      <c r="U32" s="148">
        <f>COUNTIFS('2026 Time Off Request'!$A:$A,'June 2026'!$D32,'2026 Time Off Request'!$L:$L,'June 2026'!U$6)</f>
        <v>0</v>
      </c>
      <c r="V32" s="148">
        <f>COUNTIFS('2026 Time Off Request'!$A:$A,'June 2026'!$D32,'2026 Time Off Request'!$L:$L,'June 2026'!V$6)</f>
        <v>0</v>
      </c>
      <c r="W32" s="148">
        <f>COUNTIFS('2026 Time Off Request'!$A:$A,'June 2026'!$D32,'2026 Time Off Request'!$L:$L,'June 2026'!W$6)</f>
        <v>0</v>
      </c>
      <c r="X32" s="148">
        <f>COUNTIFS('2026 Time Off Request'!$A:$A,'June 2026'!$D32,'2026 Time Off Request'!$L:$L,'June 2026'!X$6)</f>
        <v>0</v>
      </c>
      <c r="Y32" s="147">
        <f>COUNTIFS('2026 Time Off Request'!$A:$A,'June 2026'!$D32,'2026 Time Off Request'!$L:$L,'June 2026'!Y$6)</f>
        <v>0</v>
      </c>
      <c r="Z32" s="147">
        <f>COUNTIFS('2026 Time Off Request'!$A:$A,'June 2026'!$D32,'2026 Time Off Request'!$L:$L,'June 2026'!Z$6)</f>
        <v>0</v>
      </c>
      <c r="AA32" s="148">
        <f>COUNTIFS('2026 Time Off Request'!$A:$A,'June 2026'!$D32,'2026 Time Off Request'!$L:$L,'June 2026'!AA$6)</f>
        <v>0</v>
      </c>
      <c r="AB32" s="148">
        <f>COUNTIFS('2026 Time Off Request'!$A:$A,'June 2026'!$D32,'2026 Time Off Request'!$L:$L,'June 2026'!AB$6)</f>
        <v>0</v>
      </c>
      <c r="AC32" s="148">
        <f>COUNTIFS('2026 Time Off Request'!$A:$A,'June 2026'!$D32,'2026 Time Off Request'!$L:$L,'June 2026'!AC$6)</f>
        <v>0</v>
      </c>
      <c r="AD32" s="148">
        <f>COUNTIFS('2026 Time Off Request'!$A:$A,'June 2026'!$D32,'2026 Time Off Request'!$L:$L,'June 2026'!AD$6)</f>
        <v>0</v>
      </c>
      <c r="AE32" s="148">
        <f>COUNTIFS('2026 Time Off Request'!$A:$A,'June 2026'!$D32,'2026 Time Off Request'!$L:$L,'June 2026'!AE$6)</f>
        <v>0</v>
      </c>
      <c r="AF32" s="147">
        <f>COUNTIFS('2026 Time Off Request'!$A:$A,'June 2026'!$D32,'2026 Time Off Request'!$L:$L,'June 2026'!AF$6)</f>
        <v>0</v>
      </c>
      <c r="AG32" s="147">
        <f>COUNTIFS('2026 Time Off Request'!$A:$A,'June 2026'!$D32,'2026 Time Off Request'!$L:$L,'June 2026'!AG$6)</f>
        <v>0</v>
      </c>
      <c r="AH32" s="148">
        <f>COUNTIFS('2026 Time Off Request'!$A:$A,'June 2026'!$D32,'2026 Time Off Request'!$L:$L,'June 2026'!AH$6)</f>
        <v>0</v>
      </c>
      <c r="AI32" s="148">
        <f>COUNTIFS('2026 Time Off Request'!$A:$A,'June 2026'!$D32,'2026 Time Off Request'!$L:$L,'June 2026'!AI$6)</f>
        <v>0</v>
      </c>
    </row>
    <row r="33" spans="1:35" ht="15.75">
      <c r="A33" s="2">
        <v>24</v>
      </c>
      <c r="B33" s="209" t="s">
        <v>45</v>
      </c>
      <c r="C33" s="210" t="s">
        <v>70</v>
      </c>
      <c r="D33" s="215" t="s">
        <v>71</v>
      </c>
      <c r="E33" s="212">
        <f t="shared" si="2"/>
        <v>0</v>
      </c>
      <c r="F33" s="223">
        <f>COUNTIFS('2026 Time Off Request'!$A:$A,'June 2026'!$D33,'2026 Time Off Request'!$L:$L,'June 2026'!F$6)</f>
        <v>0</v>
      </c>
      <c r="G33" s="148">
        <f>COUNTIFS('2026 Time Off Request'!$A:$A,'June 2026'!$D33,'2026 Time Off Request'!$L:$L,'June 2026'!G$6)</f>
        <v>0</v>
      </c>
      <c r="H33" s="148">
        <f>COUNTIFS('2026 Time Off Request'!$A:$A,'June 2026'!$D33,'2026 Time Off Request'!$L:$L,'June 2026'!H$6)</f>
        <v>0</v>
      </c>
      <c r="I33" s="148">
        <f>COUNTIFS('2026 Time Off Request'!$A:$A,'June 2026'!$D33,'2026 Time Off Request'!$L:$L,'June 2026'!I$6)</f>
        <v>0</v>
      </c>
      <c r="J33" s="148">
        <f>COUNTIFS('2026 Time Off Request'!$A:$A,'June 2026'!$D33,'2026 Time Off Request'!$L:$L,'June 2026'!J$6)</f>
        <v>0</v>
      </c>
      <c r="K33" s="147">
        <f>COUNTIFS('2026 Time Off Request'!$A:$A,'June 2026'!$D33,'2026 Time Off Request'!$L:$L,'June 2026'!K$6)</f>
        <v>0</v>
      </c>
      <c r="L33" s="147">
        <f>COUNTIFS('2026 Time Off Request'!$A:$A,'June 2026'!$D33,'2026 Time Off Request'!$L:$L,'June 2026'!L$6)</f>
        <v>0</v>
      </c>
      <c r="M33" s="148">
        <f>COUNTIFS('2026 Time Off Request'!$A:$A,'June 2026'!$D33,'2026 Time Off Request'!$L:$L,'June 2026'!M$6)</f>
        <v>0</v>
      </c>
      <c r="N33" s="148">
        <f>COUNTIFS('2026 Time Off Request'!$A:$A,'June 2026'!$D33,'2026 Time Off Request'!$L:$L,'June 2026'!N$6)</f>
        <v>0</v>
      </c>
      <c r="O33" s="148">
        <f>COUNTIFS('2026 Time Off Request'!$A:$A,'June 2026'!$D33,'2026 Time Off Request'!$L:$L,'June 2026'!O$6)</f>
        <v>0</v>
      </c>
      <c r="P33" s="148">
        <f>COUNTIFS('2026 Time Off Request'!$A:$A,'June 2026'!$D33,'2026 Time Off Request'!$L:$L,'June 2026'!P$6)</f>
        <v>0</v>
      </c>
      <c r="Q33" s="148">
        <f>COUNTIFS('2026 Time Off Request'!$A:$A,'June 2026'!$D33,'2026 Time Off Request'!$L:$L,'June 2026'!Q$6)</f>
        <v>0</v>
      </c>
      <c r="R33" s="147">
        <f>COUNTIFS('2026 Time Off Request'!$A:$A,'June 2026'!$D33,'2026 Time Off Request'!$L:$L,'June 2026'!R$6)</f>
        <v>0</v>
      </c>
      <c r="S33" s="147">
        <f>COUNTIFS('2026 Time Off Request'!$A:$A,'June 2026'!$D33,'2026 Time Off Request'!$L:$L,'June 2026'!S$6)</f>
        <v>0</v>
      </c>
      <c r="T33" s="148">
        <f>COUNTIFS('2026 Time Off Request'!$A:$A,'June 2026'!$D33,'2026 Time Off Request'!$L:$L,'June 2026'!T$6)</f>
        <v>0</v>
      </c>
      <c r="U33" s="148">
        <f>COUNTIFS('2026 Time Off Request'!$A:$A,'June 2026'!$D33,'2026 Time Off Request'!$L:$L,'June 2026'!U$6)</f>
        <v>0</v>
      </c>
      <c r="V33" s="148">
        <f>COUNTIFS('2026 Time Off Request'!$A:$A,'June 2026'!$D33,'2026 Time Off Request'!$L:$L,'June 2026'!V$6)</f>
        <v>0</v>
      </c>
      <c r="W33" s="148">
        <f>COUNTIFS('2026 Time Off Request'!$A:$A,'June 2026'!$D33,'2026 Time Off Request'!$L:$L,'June 2026'!W$6)</f>
        <v>0</v>
      </c>
      <c r="X33" s="148">
        <f>COUNTIFS('2026 Time Off Request'!$A:$A,'June 2026'!$D33,'2026 Time Off Request'!$L:$L,'June 2026'!X$6)</f>
        <v>0</v>
      </c>
      <c r="Y33" s="147">
        <f>COUNTIFS('2026 Time Off Request'!$A:$A,'June 2026'!$D33,'2026 Time Off Request'!$L:$L,'June 2026'!Y$6)</f>
        <v>0</v>
      </c>
      <c r="Z33" s="147">
        <f>COUNTIFS('2026 Time Off Request'!$A:$A,'June 2026'!$D33,'2026 Time Off Request'!$L:$L,'June 2026'!Z$6)</f>
        <v>0</v>
      </c>
      <c r="AA33" s="148">
        <f>COUNTIFS('2026 Time Off Request'!$A:$A,'June 2026'!$D33,'2026 Time Off Request'!$L:$L,'June 2026'!AA$6)</f>
        <v>0</v>
      </c>
      <c r="AB33" s="148">
        <f>COUNTIFS('2026 Time Off Request'!$A:$A,'June 2026'!$D33,'2026 Time Off Request'!$L:$L,'June 2026'!AB$6)</f>
        <v>0</v>
      </c>
      <c r="AC33" s="148">
        <f>COUNTIFS('2026 Time Off Request'!$A:$A,'June 2026'!$D33,'2026 Time Off Request'!$L:$L,'June 2026'!AC$6)</f>
        <v>0</v>
      </c>
      <c r="AD33" s="148">
        <f>COUNTIFS('2026 Time Off Request'!$A:$A,'June 2026'!$D33,'2026 Time Off Request'!$L:$L,'June 2026'!AD$6)</f>
        <v>0</v>
      </c>
      <c r="AE33" s="148">
        <f>COUNTIFS('2026 Time Off Request'!$A:$A,'June 2026'!$D33,'2026 Time Off Request'!$L:$L,'June 2026'!AE$6)</f>
        <v>0</v>
      </c>
      <c r="AF33" s="147">
        <f>COUNTIFS('2026 Time Off Request'!$A:$A,'June 2026'!$D33,'2026 Time Off Request'!$L:$L,'June 2026'!AF$6)</f>
        <v>0</v>
      </c>
      <c r="AG33" s="147">
        <f>COUNTIFS('2026 Time Off Request'!$A:$A,'June 2026'!$D33,'2026 Time Off Request'!$L:$L,'June 2026'!AG$6)</f>
        <v>0</v>
      </c>
      <c r="AH33" s="148">
        <f>COUNTIFS('2026 Time Off Request'!$A:$A,'June 2026'!$D33,'2026 Time Off Request'!$L:$L,'June 2026'!AH$6)</f>
        <v>0</v>
      </c>
      <c r="AI33" s="148">
        <f>COUNTIFS('2026 Time Off Request'!$A:$A,'June 2026'!$D33,'2026 Time Off Request'!$L:$L,'June 2026'!AI$6)</f>
        <v>0</v>
      </c>
    </row>
    <row r="34" spans="1:35" ht="15.75">
      <c r="A34" s="2">
        <v>25</v>
      </c>
      <c r="B34" s="209" t="s">
        <v>45</v>
      </c>
      <c r="C34" s="210" t="s">
        <v>70</v>
      </c>
      <c r="D34" s="215" t="s">
        <v>72</v>
      </c>
      <c r="E34" s="212">
        <f t="shared" si="2"/>
        <v>0</v>
      </c>
      <c r="F34" s="223">
        <f>COUNTIFS('2026 Time Off Request'!$A:$A,'June 2026'!$D34,'2026 Time Off Request'!$L:$L,'June 2026'!F$6)</f>
        <v>0</v>
      </c>
      <c r="G34" s="148">
        <f>COUNTIFS('2026 Time Off Request'!$A:$A,'June 2026'!$D34,'2026 Time Off Request'!$L:$L,'June 2026'!G$6)</f>
        <v>0</v>
      </c>
      <c r="H34" s="148">
        <f>COUNTIFS('2026 Time Off Request'!$A:$A,'June 2026'!$D34,'2026 Time Off Request'!$L:$L,'June 2026'!H$6)</f>
        <v>0</v>
      </c>
      <c r="I34" s="148">
        <f>COUNTIFS('2026 Time Off Request'!$A:$A,'June 2026'!$D34,'2026 Time Off Request'!$L:$L,'June 2026'!I$6)</f>
        <v>0</v>
      </c>
      <c r="J34" s="148">
        <f>COUNTIFS('2026 Time Off Request'!$A:$A,'June 2026'!$D34,'2026 Time Off Request'!$L:$L,'June 2026'!J$6)</f>
        <v>0</v>
      </c>
      <c r="K34" s="147">
        <f>COUNTIFS('2026 Time Off Request'!$A:$A,'June 2026'!$D34,'2026 Time Off Request'!$L:$L,'June 2026'!K$6)</f>
        <v>0</v>
      </c>
      <c r="L34" s="147">
        <f>COUNTIFS('2026 Time Off Request'!$A:$A,'June 2026'!$D34,'2026 Time Off Request'!$L:$L,'June 2026'!L$6)</f>
        <v>0</v>
      </c>
      <c r="M34" s="148">
        <f>COUNTIFS('2026 Time Off Request'!$A:$A,'June 2026'!$D34,'2026 Time Off Request'!$L:$L,'June 2026'!M$6)</f>
        <v>0</v>
      </c>
      <c r="N34" s="148">
        <f>COUNTIFS('2026 Time Off Request'!$A:$A,'June 2026'!$D34,'2026 Time Off Request'!$L:$L,'June 2026'!N$6)</f>
        <v>0</v>
      </c>
      <c r="O34" s="148">
        <f>COUNTIFS('2026 Time Off Request'!$A:$A,'June 2026'!$D34,'2026 Time Off Request'!$L:$L,'June 2026'!O$6)</f>
        <v>0</v>
      </c>
      <c r="P34" s="148">
        <f>COUNTIFS('2026 Time Off Request'!$A:$A,'June 2026'!$D34,'2026 Time Off Request'!$L:$L,'June 2026'!P$6)</f>
        <v>0</v>
      </c>
      <c r="Q34" s="148">
        <f>COUNTIFS('2026 Time Off Request'!$A:$A,'June 2026'!$D34,'2026 Time Off Request'!$L:$L,'June 2026'!Q$6)</f>
        <v>0</v>
      </c>
      <c r="R34" s="147">
        <f>COUNTIFS('2026 Time Off Request'!$A:$A,'June 2026'!$D34,'2026 Time Off Request'!$L:$L,'June 2026'!R$6)</f>
        <v>0</v>
      </c>
      <c r="S34" s="147">
        <f>COUNTIFS('2026 Time Off Request'!$A:$A,'June 2026'!$D34,'2026 Time Off Request'!$L:$L,'June 2026'!S$6)</f>
        <v>0</v>
      </c>
      <c r="T34" s="148">
        <f>COUNTIFS('2026 Time Off Request'!$A:$A,'June 2026'!$D34,'2026 Time Off Request'!$L:$L,'June 2026'!T$6)</f>
        <v>0</v>
      </c>
      <c r="U34" s="148">
        <f>COUNTIFS('2026 Time Off Request'!$A:$A,'June 2026'!$D34,'2026 Time Off Request'!$L:$L,'June 2026'!U$6)</f>
        <v>0</v>
      </c>
      <c r="V34" s="148">
        <f>COUNTIFS('2026 Time Off Request'!$A:$A,'June 2026'!$D34,'2026 Time Off Request'!$L:$L,'June 2026'!V$6)</f>
        <v>0</v>
      </c>
      <c r="W34" s="148">
        <f>COUNTIFS('2026 Time Off Request'!$A:$A,'June 2026'!$D34,'2026 Time Off Request'!$L:$L,'June 2026'!W$6)</f>
        <v>0</v>
      </c>
      <c r="X34" s="148">
        <f>COUNTIFS('2026 Time Off Request'!$A:$A,'June 2026'!$D34,'2026 Time Off Request'!$L:$L,'June 2026'!X$6)</f>
        <v>0</v>
      </c>
      <c r="Y34" s="147">
        <f>COUNTIFS('2026 Time Off Request'!$A:$A,'June 2026'!$D34,'2026 Time Off Request'!$L:$L,'June 2026'!Y$6)</f>
        <v>0</v>
      </c>
      <c r="Z34" s="147">
        <f>COUNTIFS('2026 Time Off Request'!$A:$A,'June 2026'!$D34,'2026 Time Off Request'!$L:$L,'June 2026'!Z$6)</f>
        <v>0</v>
      </c>
      <c r="AA34" s="148">
        <f>COUNTIFS('2026 Time Off Request'!$A:$A,'June 2026'!$D34,'2026 Time Off Request'!$L:$L,'June 2026'!AA$6)</f>
        <v>0</v>
      </c>
      <c r="AB34" s="148">
        <f>COUNTIFS('2026 Time Off Request'!$A:$A,'June 2026'!$D34,'2026 Time Off Request'!$L:$L,'June 2026'!AB$6)</f>
        <v>0</v>
      </c>
      <c r="AC34" s="148">
        <f>COUNTIFS('2026 Time Off Request'!$A:$A,'June 2026'!$D34,'2026 Time Off Request'!$L:$L,'June 2026'!AC$6)</f>
        <v>0</v>
      </c>
      <c r="AD34" s="148">
        <f>COUNTIFS('2026 Time Off Request'!$A:$A,'June 2026'!$D34,'2026 Time Off Request'!$L:$L,'June 2026'!AD$6)</f>
        <v>0</v>
      </c>
      <c r="AE34" s="148">
        <f>COUNTIFS('2026 Time Off Request'!$A:$A,'June 2026'!$D34,'2026 Time Off Request'!$L:$L,'June 2026'!AE$6)</f>
        <v>0</v>
      </c>
      <c r="AF34" s="147">
        <f>COUNTIFS('2026 Time Off Request'!$A:$A,'June 2026'!$D34,'2026 Time Off Request'!$L:$L,'June 2026'!AF$6)</f>
        <v>0</v>
      </c>
      <c r="AG34" s="147">
        <f>COUNTIFS('2026 Time Off Request'!$A:$A,'June 2026'!$D34,'2026 Time Off Request'!$L:$L,'June 2026'!AG$6)</f>
        <v>0</v>
      </c>
      <c r="AH34" s="148">
        <f>COUNTIFS('2026 Time Off Request'!$A:$A,'June 2026'!$D34,'2026 Time Off Request'!$L:$L,'June 2026'!AH$6)</f>
        <v>0</v>
      </c>
      <c r="AI34" s="148">
        <f>COUNTIFS('2026 Time Off Request'!$A:$A,'June 2026'!$D34,'2026 Time Off Request'!$L:$L,'June 2026'!AI$6)</f>
        <v>0</v>
      </c>
    </row>
    <row r="35" spans="1:35" ht="15.75">
      <c r="A35" s="2">
        <v>26</v>
      </c>
      <c r="B35" s="209" t="s">
        <v>45</v>
      </c>
      <c r="C35" s="210" t="s">
        <v>73</v>
      </c>
      <c r="D35" s="215" t="s">
        <v>74</v>
      </c>
      <c r="E35" s="212">
        <f t="shared" ref="E35" si="4">SUM(F35:AI35)</f>
        <v>0</v>
      </c>
      <c r="F35" s="223">
        <f>COUNTIFS('2026 Time Off Request'!$A:$A,'June 2026'!$D35,'2026 Time Off Request'!$L:$L,'June 2026'!F$6)</f>
        <v>0</v>
      </c>
      <c r="G35" s="148">
        <f>COUNTIFS('2026 Time Off Request'!$A:$A,'June 2026'!$D35,'2026 Time Off Request'!$L:$L,'June 2026'!G$6)</f>
        <v>0</v>
      </c>
      <c r="H35" s="148">
        <f>COUNTIFS('2026 Time Off Request'!$A:$A,'June 2026'!$D35,'2026 Time Off Request'!$L:$L,'June 2026'!H$6)</f>
        <v>0</v>
      </c>
      <c r="I35" s="148">
        <f>COUNTIFS('2026 Time Off Request'!$A:$A,'June 2026'!$D35,'2026 Time Off Request'!$L:$L,'June 2026'!I$6)</f>
        <v>0</v>
      </c>
      <c r="J35" s="148">
        <f>COUNTIFS('2026 Time Off Request'!$A:$A,'June 2026'!$D35,'2026 Time Off Request'!$L:$L,'June 2026'!J$6)</f>
        <v>0</v>
      </c>
      <c r="K35" s="147">
        <f>COUNTIFS('2026 Time Off Request'!$A:$A,'June 2026'!$D35,'2026 Time Off Request'!$L:$L,'June 2026'!K$6)</f>
        <v>0</v>
      </c>
      <c r="L35" s="147">
        <f>COUNTIFS('2026 Time Off Request'!$A:$A,'June 2026'!$D35,'2026 Time Off Request'!$L:$L,'June 2026'!L$6)</f>
        <v>0</v>
      </c>
      <c r="M35" s="148">
        <f>COUNTIFS('2026 Time Off Request'!$A:$A,'June 2026'!$D35,'2026 Time Off Request'!$L:$L,'June 2026'!M$6)</f>
        <v>0</v>
      </c>
      <c r="N35" s="148">
        <f>COUNTIFS('2026 Time Off Request'!$A:$A,'June 2026'!$D35,'2026 Time Off Request'!$L:$L,'June 2026'!N$6)</f>
        <v>0</v>
      </c>
      <c r="O35" s="148">
        <f>COUNTIFS('2026 Time Off Request'!$A:$A,'June 2026'!$D35,'2026 Time Off Request'!$L:$L,'June 2026'!O$6)</f>
        <v>0</v>
      </c>
      <c r="P35" s="148">
        <f>COUNTIFS('2026 Time Off Request'!$A:$A,'June 2026'!$D35,'2026 Time Off Request'!$L:$L,'June 2026'!P$6)</f>
        <v>0</v>
      </c>
      <c r="Q35" s="148">
        <f>COUNTIFS('2026 Time Off Request'!$A:$A,'June 2026'!$D35,'2026 Time Off Request'!$L:$L,'June 2026'!Q$6)</f>
        <v>0</v>
      </c>
      <c r="R35" s="147">
        <f>COUNTIFS('2026 Time Off Request'!$A:$A,'June 2026'!$D35,'2026 Time Off Request'!$L:$L,'June 2026'!R$6)</f>
        <v>0</v>
      </c>
      <c r="S35" s="147">
        <f>COUNTIFS('2026 Time Off Request'!$A:$A,'June 2026'!$D35,'2026 Time Off Request'!$L:$L,'June 2026'!S$6)</f>
        <v>0</v>
      </c>
      <c r="T35" s="148">
        <f>COUNTIFS('2026 Time Off Request'!$A:$A,'June 2026'!$D35,'2026 Time Off Request'!$L:$L,'June 2026'!T$6)</f>
        <v>0</v>
      </c>
      <c r="U35" s="148">
        <f>COUNTIFS('2026 Time Off Request'!$A:$A,'June 2026'!$D35,'2026 Time Off Request'!$L:$L,'June 2026'!U$6)</f>
        <v>0</v>
      </c>
      <c r="V35" s="148">
        <f>COUNTIFS('2026 Time Off Request'!$A:$A,'June 2026'!$D35,'2026 Time Off Request'!$L:$L,'June 2026'!V$6)</f>
        <v>0</v>
      </c>
      <c r="W35" s="148">
        <f>COUNTIFS('2026 Time Off Request'!$A:$A,'June 2026'!$D35,'2026 Time Off Request'!$L:$L,'June 2026'!W$6)</f>
        <v>0</v>
      </c>
      <c r="X35" s="148">
        <f>COUNTIFS('2026 Time Off Request'!$A:$A,'June 2026'!$D35,'2026 Time Off Request'!$L:$L,'June 2026'!X$6)</f>
        <v>0</v>
      </c>
      <c r="Y35" s="147">
        <f>COUNTIFS('2026 Time Off Request'!$A:$A,'June 2026'!$D35,'2026 Time Off Request'!$L:$L,'June 2026'!Y$6)</f>
        <v>0</v>
      </c>
      <c r="Z35" s="147">
        <f>COUNTIFS('2026 Time Off Request'!$A:$A,'June 2026'!$D35,'2026 Time Off Request'!$L:$L,'June 2026'!Z$6)</f>
        <v>0</v>
      </c>
      <c r="AA35" s="148">
        <f>COUNTIFS('2026 Time Off Request'!$A:$A,'June 2026'!$D35,'2026 Time Off Request'!$L:$L,'June 2026'!AA$6)</f>
        <v>0</v>
      </c>
      <c r="AB35" s="148">
        <f>COUNTIFS('2026 Time Off Request'!$A:$A,'June 2026'!$D35,'2026 Time Off Request'!$L:$L,'June 2026'!AB$6)</f>
        <v>0</v>
      </c>
      <c r="AC35" s="148">
        <f>COUNTIFS('2026 Time Off Request'!$A:$A,'June 2026'!$D35,'2026 Time Off Request'!$L:$L,'June 2026'!AC$6)</f>
        <v>0</v>
      </c>
      <c r="AD35" s="148">
        <f>COUNTIFS('2026 Time Off Request'!$A:$A,'June 2026'!$D35,'2026 Time Off Request'!$L:$L,'June 2026'!AD$6)</f>
        <v>0</v>
      </c>
      <c r="AE35" s="148">
        <f>COUNTIFS('2026 Time Off Request'!$A:$A,'June 2026'!$D35,'2026 Time Off Request'!$L:$L,'June 2026'!AE$6)</f>
        <v>0</v>
      </c>
      <c r="AF35" s="147">
        <f>COUNTIFS('2026 Time Off Request'!$A:$A,'June 2026'!$D35,'2026 Time Off Request'!$L:$L,'June 2026'!AF$6)</f>
        <v>0</v>
      </c>
      <c r="AG35" s="147">
        <f>COUNTIFS('2026 Time Off Request'!$A:$A,'June 2026'!$D35,'2026 Time Off Request'!$L:$L,'June 2026'!AG$6)</f>
        <v>0</v>
      </c>
      <c r="AH35" s="148">
        <f>COUNTIFS('2026 Time Off Request'!$A:$A,'June 2026'!$D35,'2026 Time Off Request'!$L:$L,'June 2026'!AH$6)</f>
        <v>0</v>
      </c>
      <c r="AI35" s="148">
        <f>COUNTIFS('2026 Time Off Request'!$A:$A,'June 2026'!$D35,'2026 Time Off Request'!$L:$L,'June 2026'!AI$6)</f>
        <v>0</v>
      </c>
    </row>
    <row r="36" spans="1:35" ht="15.75">
      <c r="A36" s="2">
        <v>27</v>
      </c>
      <c r="B36" s="209" t="s">
        <v>49</v>
      </c>
      <c r="C36" s="210" t="s">
        <v>75</v>
      </c>
      <c r="D36" s="215" t="s">
        <v>76</v>
      </c>
      <c r="E36" s="212">
        <f t="shared" si="2"/>
        <v>0</v>
      </c>
      <c r="F36" s="223">
        <f>COUNTIFS('2026 Time Off Request'!$A:$A,'June 2026'!$D36,'2026 Time Off Request'!$L:$L,'June 2026'!F$6)</f>
        <v>0</v>
      </c>
      <c r="G36" s="148">
        <f>COUNTIFS('2026 Time Off Request'!$A:$A,'June 2026'!$D36,'2026 Time Off Request'!$L:$L,'June 2026'!G$6)</f>
        <v>0</v>
      </c>
      <c r="H36" s="148">
        <f>COUNTIFS('2026 Time Off Request'!$A:$A,'June 2026'!$D36,'2026 Time Off Request'!$L:$L,'June 2026'!H$6)</f>
        <v>0</v>
      </c>
      <c r="I36" s="148">
        <f>COUNTIFS('2026 Time Off Request'!$A:$A,'June 2026'!$D36,'2026 Time Off Request'!$L:$L,'June 2026'!I$6)</f>
        <v>0</v>
      </c>
      <c r="J36" s="148">
        <f>COUNTIFS('2026 Time Off Request'!$A:$A,'June 2026'!$D36,'2026 Time Off Request'!$L:$L,'June 2026'!J$6)</f>
        <v>0</v>
      </c>
      <c r="K36" s="147">
        <f>COUNTIFS('2026 Time Off Request'!$A:$A,'June 2026'!$D36,'2026 Time Off Request'!$L:$L,'June 2026'!K$6)</f>
        <v>0</v>
      </c>
      <c r="L36" s="147">
        <f>COUNTIFS('2026 Time Off Request'!$A:$A,'June 2026'!$D36,'2026 Time Off Request'!$L:$L,'June 2026'!L$6)</f>
        <v>0</v>
      </c>
      <c r="M36" s="148">
        <f>COUNTIFS('2026 Time Off Request'!$A:$A,'June 2026'!$D36,'2026 Time Off Request'!$L:$L,'June 2026'!M$6)</f>
        <v>0</v>
      </c>
      <c r="N36" s="148">
        <f>COUNTIFS('2026 Time Off Request'!$A:$A,'June 2026'!$D36,'2026 Time Off Request'!$L:$L,'June 2026'!N$6)</f>
        <v>0</v>
      </c>
      <c r="O36" s="148">
        <f>COUNTIFS('2026 Time Off Request'!$A:$A,'June 2026'!$D36,'2026 Time Off Request'!$L:$L,'June 2026'!O$6)</f>
        <v>0</v>
      </c>
      <c r="P36" s="148">
        <f>COUNTIFS('2026 Time Off Request'!$A:$A,'June 2026'!$D36,'2026 Time Off Request'!$L:$L,'June 2026'!P$6)</f>
        <v>0</v>
      </c>
      <c r="Q36" s="148">
        <f>COUNTIFS('2026 Time Off Request'!$A:$A,'June 2026'!$D36,'2026 Time Off Request'!$L:$L,'June 2026'!Q$6)</f>
        <v>0</v>
      </c>
      <c r="R36" s="147">
        <f>COUNTIFS('2026 Time Off Request'!$A:$A,'June 2026'!$D36,'2026 Time Off Request'!$L:$L,'June 2026'!R$6)</f>
        <v>0</v>
      </c>
      <c r="S36" s="147">
        <f>COUNTIFS('2026 Time Off Request'!$A:$A,'June 2026'!$D36,'2026 Time Off Request'!$L:$L,'June 2026'!S$6)</f>
        <v>0</v>
      </c>
      <c r="T36" s="148">
        <f>COUNTIFS('2026 Time Off Request'!$A:$A,'June 2026'!$D36,'2026 Time Off Request'!$L:$L,'June 2026'!T$6)</f>
        <v>0</v>
      </c>
      <c r="U36" s="148">
        <f>COUNTIFS('2026 Time Off Request'!$A:$A,'June 2026'!$D36,'2026 Time Off Request'!$L:$L,'June 2026'!U$6)</f>
        <v>0</v>
      </c>
      <c r="V36" s="148">
        <f>COUNTIFS('2026 Time Off Request'!$A:$A,'June 2026'!$D36,'2026 Time Off Request'!$L:$L,'June 2026'!V$6)</f>
        <v>0</v>
      </c>
      <c r="W36" s="148">
        <f>COUNTIFS('2026 Time Off Request'!$A:$A,'June 2026'!$D36,'2026 Time Off Request'!$L:$L,'June 2026'!W$6)</f>
        <v>0</v>
      </c>
      <c r="X36" s="148">
        <f>COUNTIFS('2026 Time Off Request'!$A:$A,'June 2026'!$D36,'2026 Time Off Request'!$L:$L,'June 2026'!X$6)</f>
        <v>0</v>
      </c>
      <c r="Y36" s="147">
        <f>COUNTIFS('2026 Time Off Request'!$A:$A,'June 2026'!$D36,'2026 Time Off Request'!$L:$L,'June 2026'!Y$6)</f>
        <v>0</v>
      </c>
      <c r="Z36" s="147">
        <f>COUNTIFS('2026 Time Off Request'!$A:$A,'June 2026'!$D36,'2026 Time Off Request'!$L:$L,'June 2026'!Z$6)</f>
        <v>0</v>
      </c>
      <c r="AA36" s="148">
        <f>COUNTIFS('2026 Time Off Request'!$A:$A,'June 2026'!$D36,'2026 Time Off Request'!$L:$L,'June 2026'!AA$6)</f>
        <v>0</v>
      </c>
      <c r="AB36" s="148">
        <f>COUNTIFS('2026 Time Off Request'!$A:$A,'June 2026'!$D36,'2026 Time Off Request'!$L:$L,'June 2026'!AB$6)</f>
        <v>0</v>
      </c>
      <c r="AC36" s="148">
        <f>COUNTIFS('2026 Time Off Request'!$A:$A,'June 2026'!$D36,'2026 Time Off Request'!$L:$L,'June 2026'!AC$6)</f>
        <v>0</v>
      </c>
      <c r="AD36" s="148">
        <f>COUNTIFS('2026 Time Off Request'!$A:$A,'June 2026'!$D36,'2026 Time Off Request'!$L:$L,'June 2026'!AD$6)</f>
        <v>0</v>
      </c>
      <c r="AE36" s="148">
        <f>COUNTIFS('2026 Time Off Request'!$A:$A,'June 2026'!$D36,'2026 Time Off Request'!$L:$L,'June 2026'!AE$6)</f>
        <v>0</v>
      </c>
      <c r="AF36" s="147">
        <f>COUNTIFS('2026 Time Off Request'!$A:$A,'June 2026'!$D36,'2026 Time Off Request'!$L:$L,'June 2026'!AF$6)</f>
        <v>0</v>
      </c>
      <c r="AG36" s="147">
        <f>COUNTIFS('2026 Time Off Request'!$A:$A,'June 2026'!$D36,'2026 Time Off Request'!$L:$L,'June 2026'!AG$6)</f>
        <v>0</v>
      </c>
      <c r="AH36" s="148">
        <f>COUNTIFS('2026 Time Off Request'!$A:$A,'June 2026'!$D36,'2026 Time Off Request'!$L:$L,'June 2026'!AH$6)</f>
        <v>0</v>
      </c>
      <c r="AI36" s="148">
        <f>COUNTIFS('2026 Time Off Request'!$A:$A,'June 2026'!$D36,'2026 Time Off Request'!$L:$L,'June 2026'!AI$6)</f>
        <v>0</v>
      </c>
    </row>
    <row r="37" spans="1:35" ht="15.75">
      <c r="A37" s="2">
        <v>28</v>
      </c>
      <c r="B37" s="209" t="s">
        <v>45</v>
      </c>
      <c r="C37" s="210" t="s">
        <v>77</v>
      </c>
      <c r="D37" s="215" t="s">
        <v>78</v>
      </c>
      <c r="E37" s="212">
        <f t="shared" si="2"/>
        <v>5</v>
      </c>
      <c r="F37" s="223">
        <f>COUNTIFS('2026 Time Off Request'!$A:$A,'June 2026'!$D37,'2026 Time Off Request'!$L:$L,'June 2026'!F$6)</f>
        <v>0</v>
      </c>
      <c r="G37" s="148">
        <f>COUNTIFS('2026 Time Off Request'!$A:$A,'June 2026'!$D37,'2026 Time Off Request'!$L:$L,'June 2026'!G$6)</f>
        <v>0</v>
      </c>
      <c r="H37" s="148">
        <f>COUNTIFS('2026 Time Off Request'!$A:$A,'June 2026'!$D37,'2026 Time Off Request'!$L:$L,'June 2026'!H$6)</f>
        <v>0</v>
      </c>
      <c r="I37" s="148">
        <f>COUNTIFS('2026 Time Off Request'!$A:$A,'June 2026'!$D37,'2026 Time Off Request'!$L:$L,'June 2026'!I$6)</f>
        <v>0</v>
      </c>
      <c r="J37" s="148">
        <f>COUNTIFS('2026 Time Off Request'!$A:$A,'June 2026'!$D37,'2026 Time Off Request'!$L:$L,'June 2026'!J$6)</f>
        <v>0</v>
      </c>
      <c r="K37" s="147">
        <f>COUNTIFS('2026 Time Off Request'!$A:$A,'June 2026'!$D37,'2026 Time Off Request'!$L:$L,'June 2026'!K$6)</f>
        <v>0</v>
      </c>
      <c r="L37" s="147">
        <f>COUNTIFS('2026 Time Off Request'!$A:$A,'June 2026'!$D37,'2026 Time Off Request'!$L:$L,'June 2026'!L$6)</f>
        <v>0</v>
      </c>
      <c r="M37" s="148">
        <f>COUNTIFS('2026 Time Off Request'!$A:$A,'June 2026'!$D37,'2026 Time Off Request'!$L:$L,'June 2026'!M$6)</f>
        <v>1</v>
      </c>
      <c r="N37" s="148">
        <f>COUNTIFS('2026 Time Off Request'!$A:$A,'June 2026'!$D37,'2026 Time Off Request'!$L:$L,'June 2026'!N$6)</f>
        <v>1</v>
      </c>
      <c r="O37" s="148">
        <f>COUNTIFS('2026 Time Off Request'!$A:$A,'June 2026'!$D37,'2026 Time Off Request'!$L:$L,'June 2026'!O$6)</f>
        <v>1</v>
      </c>
      <c r="P37" s="148">
        <f>COUNTIFS('2026 Time Off Request'!$A:$A,'June 2026'!$D37,'2026 Time Off Request'!$L:$L,'June 2026'!P$6)</f>
        <v>1</v>
      </c>
      <c r="Q37" s="148">
        <f>COUNTIFS('2026 Time Off Request'!$A:$A,'June 2026'!$D37,'2026 Time Off Request'!$L:$L,'June 2026'!Q$6)</f>
        <v>1</v>
      </c>
      <c r="R37" s="147">
        <f>COUNTIFS('2026 Time Off Request'!$A:$A,'June 2026'!$D37,'2026 Time Off Request'!$L:$L,'June 2026'!R$6)</f>
        <v>0</v>
      </c>
      <c r="S37" s="147">
        <f>COUNTIFS('2026 Time Off Request'!$A:$A,'June 2026'!$D37,'2026 Time Off Request'!$L:$L,'June 2026'!S$6)</f>
        <v>0</v>
      </c>
      <c r="T37" s="148">
        <f>COUNTIFS('2026 Time Off Request'!$A:$A,'June 2026'!$D37,'2026 Time Off Request'!$L:$L,'June 2026'!T$6)</f>
        <v>0</v>
      </c>
      <c r="U37" s="148">
        <f>COUNTIFS('2026 Time Off Request'!$A:$A,'June 2026'!$D37,'2026 Time Off Request'!$L:$L,'June 2026'!U$6)</f>
        <v>0</v>
      </c>
      <c r="V37" s="148">
        <f>COUNTIFS('2026 Time Off Request'!$A:$A,'June 2026'!$D37,'2026 Time Off Request'!$L:$L,'June 2026'!V$6)</f>
        <v>0</v>
      </c>
      <c r="W37" s="148">
        <f>COUNTIFS('2026 Time Off Request'!$A:$A,'June 2026'!$D37,'2026 Time Off Request'!$L:$L,'June 2026'!W$6)</f>
        <v>0</v>
      </c>
      <c r="X37" s="148">
        <f>COUNTIFS('2026 Time Off Request'!$A:$A,'June 2026'!$D37,'2026 Time Off Request'!$L:$L,'June 2026'!X$6)</f>
        <v>0</v>
      </c>
      <c r="Y37" s="147">
        <f>COUNTIFS('2026 Time Off Request'!$A:$A,'June 2026'!$D37,'2026 Time Off Request'!$L:$L,'June 2026'!Y$6)</f>
        <v>0</v>
      </c>
      <c r="Z37" s="147">
        <f>COUNTIFS('2026 Time Off Request'!$A:$A,'June 2026'!$D37,'2026 Time Off Request'!$L:$L,'June 2026'!Z$6)</f>
        <v>0</v>
      </c>
      <c r="AA37" s="148">
        <f>COUNTIFS('2026 Time Off Request'!$A:$A,'June 2026'!$D37,'2026 Time Off Request'!$L:$L,'June 2026'!AA$6)</f>
        <v>0</v>
      </c>
      <c r="AB37" s="148">
        <f>COUNTIFS('2026 Time Off Request'!$A:$A,'June 2026'!$D37,'2026 Time Off Request'!$L:$L,'June 2026'!AB$6)</f>
        <v>0</v>
      </c>
      <c r="AC37" s="148">
        <f>COUNTIFS('2026 Time Off Request'!$A:$A,'June 2026'!$D37,'2026 Time Off Request'!$L:$L,'June 2026'!AC$6)</f>
        <v>0</v>
      </c>
      <c r="AD37" s="148">
        <f>COUNTIFS('2026 Time Off Request'!$A:$A,'June 2026'!$D37,'2026 Time Off Request'!$L:$L,'June 2026'!AD$6)</f>
        <v>0</v>
      </c>
      <c r="AE37" s="148">
        <f>COUNTIFS('2026 Time Off Request'!$A:$A,'June 2026'!$D37,'2026 Time Off Request'!$L:$L,'June 2026'!AE$6)</f>
        <v>0</v>
      </c>
      <c r="AF37" s="147">
        <f>COUNTIFS('2026 Time Off Request'!$A:$A,'June 2026'!$D37,'2026 Time Off Request'!$L:$L,'June 2026'!AF$6)</f>
        <v>0</v>
      </c>
      <c r="AG37" s="147">
        <f>COUNTIFS('2026 Time Off Request'!$A:$A,'June 2026'!$D37,'2026 Time Off Request'!$L:$L,'June 2026'!AG$6)</f>
        <v>0</v>
      </c>
      <c r="AH37" s="148">
        <f>COUNTIFS('2026 Time Off Request'!$A:$A,'June 2026'!$D37,'2026 Time Off Request'!$L:$L,'June 2026'!AH$6)</f>
        <v>0</v>
      </c>
      <c r="AI37" s="148">
        <f>COUNTIFS('2026 Time Off Request'!$A:$A,'June 2026'!$D37,'2026 Time Off Request'!$L:$L,'June 2026'!AI$6)</f>
        <v>0</v>
      </c>
    </row>
    <row r="38" spans="1:35" ht="15.75">
      <c r="A38" s="2">
        <v>29</v>
      </c>
      <c r="B38" s="209" t="s">
        <v>45</v>
      </c>
      <c r="C38" s="210" t="s">
        <v>77</v>
      </c>
      <c r="D38" s="215" t="s">
        <v>79</v>
      </c>
      <c r="E38" s="212">
        <f t="shared" si="2"/>
        <v>0</v>
      </c>
      <c r="F38" s="223">
        <f>COUNTIFS('2026 Time Off Request'!$A:$A,'June 2026'!$D38,'2026 Time Off Request'!$L:$L,'June 2026'!F$6)</f>
        <v>0</v>
      </c>
      <c r="G38" s="148">
        <f>COUNTIFS('2026 Time Off Request'!$A:$A,'June 2026'!$D38,'2026 Time Off Request'!$L:$L,'June 2026'!G$6)</f>
        <v>0</v>
      </c>
      <c r="H38" s="148">
        <f>COUNTIFS('2026 Time Off Request'!$A:$A,'June 2026'!$D38,'2026 Time Off Request'!$L:$L,'June 2026'!H$6)</f>
        <v>0</v>
      </c>
      <c r="I38" s="148">
        <f>COUNTIFS('2026 Time Off Request'!$A:$A,'June 2026'!$D38,'2026 Time Off Request'!$L:$L,'June 2026'!I$6)</f>
        <v>0</v>
      </c>
      <c r="J38" s="148">
        <f>COUNTIFS('2026 Time Off Request'!$A:$A,'June 2026'!$D38,'2026 Time Off Request'!$L:$L,'June 2026'!J$6)</f>
        <v>0</v>
      </c>
      <c r="K38" s="147">
        <f>COUNTIFS('2026 Time Off Request'!$A:$A,'June 2026'!$D38,'2026 Time Off Request'!$L:$L,'June 2026'!K$6)</f>
        <v>0</v>
      </c>
      <c r="L38" s="147">
        <f>COUNTIFS('2026 Time Off Request'!$A:$A,'June 2026'!$D38,'2026 Time Off Request'!$L:$L,'June 2026'!L$6)</f>
        <v>0</v>
      </c>
      <c r="M38" s="148">
        <f>COUNTIFS('2026 Time Off Request'!$A:$A,'June 2026'!$D38,'2026 Time Off Request'!$L:$L,'June 2026'!M$6)</f>
        <v>0</v>
      </c>
      <c r="N38" s="148">
        <f>COUNTIFS('2026 Time Off Request'!$A:$A,'June 2026'!$D38,'2026 Time Off Request'!$L:$L,'June 2026'!N$6)</f>
        <v>0</v>
      </c>
      <c r="O38" s="148">
        <f>COUNTIFS('2026 Time Off Request'!$A:$A,'June 2026'!$D38,'2026 Time Off Request'!$L:$L,'June 2026'!O$6)</f>
        <v>0</v>
      </c>
      <c r="P38" s="148">
        <f>COUNTIFS('2026 Time Off Request'!$A:$A,'June 2026'!$D38,'2026 Time Off Request'!$L:$L,'June 2026'!P$6)</f>
        <v>0</v>
      </c>
      <c r="Q38" s="148">
        <f>COUNTIFS('2026 Time Off Request'!$A:$A,'June 2026'!$D38,'2026 Time Off Request'!$L:$L,'June 2026'!Q$6)</f>
        <v>0</v>
      </c>
      <c r="R38" s="147">
        <f>COUNTIFS('2026 Time Off Request'!$A:$A,'June 2026'!$D38,'2026 Time Off Request'!$L:$L,'June 2026'!R$6)</f>
        <v>0</v>
      </c>
      <c r="S38" s="147">
        <f>COUNTIFS('2026 Time Off Request'!$A:$A,'June 2026'!$D38,'2026 Time Off Request'!$L:$L,'June 2026'!S$6)</f>
        <v>0</v>
      </c>
      <c r="T38" s="148">
        <f>COUNTIFS('2026 Time Off Request'!$A:$A,'June 2026'!$D38,'2026 Time Off Request'!$L:$L,'June 2026'!T$6)</f>
        <v>0</v>
      </c>
      <c r="U38" s="148">
        <f>COUNTIFS('2026 Time Off Request'!$A:$A,'June 2026'!$D38,'2026 Time Off Request'!$L:$L,'June 2026'!U$6)</f>
        <v>0</v>
      </c>
      <c r="V38" s="148">
        <f>COUNTIFS('2026 Time Off Request'!$A:$A,'June 2026'!$D38,'2026 Time Off Request'!$L:$L,'June 2026'!V$6)</f>
        <v>0</v>
      </c>
      <c r="W38" s="148">
        <f>COUNTIFS('2026 Time Off Request'!$A:$A,'June 2026'!$D38,'2026 Time Off Request'!$L:$L,'June 2026'!W$6)</f>
        <v>0</v>
      </c>
      <c r="X38" s="148">
        <f>COUNTIFS('2026 Time Off Request'!$A:$A,'June 2026'!$D38,'2026 Time Off Request'!$L:$L,'June 2026'!X$6)</f>
        <v>0</v>
      </c>
      <c r="Y38" s="147">
        <f>COUNTIFS('2026 Time Off Request'!$A:$A,'June 2026'!$D38,'2026 Time Off Request'!$L:$L,'June 2026'!Y$6)</f>
        <v>0</v>
      </c>
      <c r="Z38" s="147">
        <f>COUNTIFS('2026 Time Off Request'!$A:$A,'June 2026'!$D38,'2026 Time Off Request'!$L:$L,'June 2026'!Z$6)</f>
        <v>0</v>
      </c>
      <c r="AA38" s="148">
        <f>COUNTIFS('2026 Time Off Request'!$A:$A,'June 2026'!$D38,'2026 Time Off Request'!$L:$L,'June 2026'!AA$6)</f>
        <v>0</v>
      </c>
      <c r="AB38" s="148">
        <f>COUNTIFS('2026 Time Off Request'!$A:$A,'June 2026'!$D38,'2026 Time Off Request'!$L:$L,'June 2026'!AB$6)</f>
        <v>0</v>
      </c>
      <c r="AC38" s="148">
        <f>COUNTIFS('2026 Time Off Request'!$A:$A,'June 2026'!$D38,'2026 Time Off Request'!$L:$L,'June 2026'!AC$6)</f>
        <v>0</v>
      </c>
      <c r="AD38" s="148">
        <f>COUNTIFS('2026 Time Off Request'!$A:$A,'June 2026'!$D38,'2026 Time Off Request'!$L:$L,'June 2026'!AD$6)</f>
        <v>0</v>
      </c>
      <c r="AE38" s="148">
        <f>COUNTIFS('2026 Time Off Request'!$A:$A,'June 2026'!$D38,'2026 Time Off Request'!$L:$L,'June 2026'!AE$6)</f>
        <v>0</v>
      </c>
      <c r="AF38" s="147">
        <f>COUNTIFS('2026 Time Off Request'!$A:$A,'June 2026'!$D38,'2026 Time Off Request'!$L:$L,'June 2026'!AF$6)</f>
        <v>0</v>
      </c>
      <c r="AG38" s="147">
        <f>COUNTIFS('2026 Time Off Request'!$A:$A,'June 2026'!$D38,'2026 Time Off Request'!$L:$L,'June 2026'!AG$6)</f>
        <v>0</v>
      </c>
      <c r="AH38" s="148">
        <f>COUNTIFS('2026 Time Off Request'!$A:$A,'June 2026'!$D38,'2026 Time Off Request'!$L:$L,'June 2026'!AH$6)</f>
        <v>0</v>
      </c>
      <c r="AI38" s="148">
        <f>COUNTIFS('2026 Time Off Request'!$A:$A,'June 2026'!$D38,'2026 Time Off Request'!$L:$L,'June 2026'!AI$6)</f>
        <v>0</v>
      </c>
    </row>
    <row r="39" spans="1:35" ht="15.75">
      <c r="A39" s="2">
        <v>30</v>
      </c>
      <c r="B39" s="209" t="s">
        <v>45</v>
      </c>
      <c r="C39" s="210" t="s">
        <v>77</v>
      </c>
      <c r="D39" s="215" t="s">
        <v>80</v>
      </c>
      <c r="E39" s="212">
        <f t="shared" si="2"/>
        <v>0</v>
      </c>
      <c r="F39" s="223">
        <f>COUNTIFS('2026 Time Off Request'!$A:$A,'June 2026'!$D39,'2026 Time Off Request'!$L:$L,'June 2026'!F$6)</f>
        <v>0</v>
      </c>
      <c r="G39" s="148">
        <f>COUNTIFS('2026 Time Off Request'!$A:$A,'June 2026'!$D39,'2026 Time Off Request'!$L:$L,'June 2026'!G$6)</f>
        <v>0</v>
      </c>
      <c r="H39" s="148">
        <f>COUNTIFS('2026 Time Off Request'!$A:$A,'June 2026'!$D39,'2026 Time Off Request'!$L:$L,'June 2026'!H$6)</f>
        <v>0</v>
      </c>
      <c r="I39" s="148">
        <f>COUNTIFS('2026 Time Off Request'!$A:$A,'June 2026'!$D39,'2026 Time Off Request'!$L:$L,'June 2026'!I$6)</f>
        <v>0</v>
      </c>
      <c r="J39" s="148">
        <f>COUNTIFS('2026 Time Off Request'!$A:$A,'June 2026'!$D39,'2026 Time Off Request'!$L:$L,'June 2026'!J$6)</f>
        <v>0</v>
      </c>
      <c r="K39" s="147">
        <f>COUNTIFS('2026 Time Off Request'!$A:$A,'June 2026'!$D39,'2026 Time Off Request'!$L:$L,'June 2026'!K$6)</f>
        <v>0</v>
      </c>
      <c r="L39" s="147">
        <f>COUNTIFS('2026 Time Off Request'!$A:$A,'June 2026'!$D39,'2026 Time Off Request'!$L:$L,'June 2026'!L$6)</f>
        <v>0</v>
      </c>
      <c r="M39" s="148">
        <f>COUNTIFS('2026 Time Off Request'!$A:$A,'June 2026'!$D39,'2026 Time Off Request'!$L:$L,'June 2026'!M$6)</f>
        <v>0</v>
      </c>
      <c r="N39" s="148">
        <f>COUNTIFS('2026 Time Off Request'!$A:$A,'June 2026'!$D39,'2026 Time Off Request'!$L:$L,'June 2026'!N$6)</f>
        <v>0</v>
      </c>
      <c r="O39" s="148">
        <f>COUNTIFS('2026 Time Off Request'!$A:$A,'June 2026'!$D39,'2026 Time Off Request'!$L:$L,'June 2026'!O$6)</f>
        <v>0</v>
      </c>
      <c r="P39" s="148">
        <f>COUNTIFS('2026 Time Off Request'!$A:$A,'June 2026'!$D39,'2026 Time Off Request'!$L:$L,'June 2026'!P$6)</f>
        <v>0</v>
      </c>
      <c r="Q39" s="148">
        <f>COUNTIFS('2026 Time Off Request'!$A:$A,'June 2026'!$D39,'2026 Time Off Request'!$L:$L,'June 2026'!Q$6)</f>
        <v>0</v>
      </c>
      <c r="R39" s="147">
        <f>COUNTIFS('2026 Time Off Request'!$A:$A,'June 2026'!$D39,'2026 Time Off Request'!$L:$L,'June 2026'!R$6)</f>
        <v>0</v>
      </c>
      <c r="S39" s="147">
        <f>COUNTIFS('2026 Time Off Request'!$A:$A,'June 2026'!$D39,'2026 Time Off Request'!$L:$L,'June 2026'!S$6)</f>
        <v>0</v>
      </c>
      <c r="T39" s="148">
        <f>COUNTIFS('2026 Time Off Request'!$A:$A,'June 2026'!$D39,'2026 Time Off Request'!$L:$L,'June 2026'!T$6)</f>
        <v>0</v>
      </c>
      <c r="U39" s="148">
        <f>COUNTIFS('2026 Time Off Request'!$A:$A,'June 2026'!$D39,'2026 Time Off Request'!$L:$L,'June 2026'!U$6)</f>
        <v>0</v>
      </c>
      <c r="V39" s="148">
        <f>COUNTIFS('2026 Time Off Request'!$A:$A,'June 2026'!$D39,'2026 Time Off Request'!$L:$L,'June 2026'!V$6)</f>
        <v>0</v>
      </c>
      <c r="W39" s="148">
        <f>COUNTIFS('2026 Time Off Request'!$A:$A,'June 2026'!$D39,'2026 Time Off Request'!$L:$L,'June 2026'!W$6)</f>
        <v>0</v>
      </c>
      <c r="X39" s="148">
        <f>COUNTIFS('2026 Time Off Request'!$A:$A,'June 2026'!$D39,'2026 Time Off Request'!$L:$L,'June 2026'!X$6)</f>
        <v>0</v>
      </c>
      <c r="Y39" s="147">
        <f>COUNTIFS('2026 Time Off Request'!$A:$A,'June 2026'!$D39,'2026 Time Off Request'!$L:$L,'June 2026'!Y$6)</f>
        <v>0</v>
      </c>
      <c r="Z39" s="147">
        <f>COUNTIFS('2026 Time Off Request'!$A:$A,'June 2026'!$D39,'2026 Time Off Request'!$L:$L,'June 2026'!Z$6)</f>
        <v>0</v>
      </c>
      <c r="AA39" s="148">
        <f>COUNTIFS('2026 Time Off Request'!$A:$A,'June 2026'!$D39,'2026 Time Off Request'!$L:$L,'June 2026'!AA$6)</f>
        <v>0</v>
      </c>
      <c r="AB39" s="148">
        <f>COUNTIFS('2026 Time Off Request'!$A:$A,'June 2026'!$D39,'2026 Time Off Request'!$L:$L,'June 2026'!AB$6)</f>
        <v>0</v>
      </c>
      <c r="AC39" s="148">
        <f>COUNTIFS('2026 Time Off Request'!$A:$A,'June 2026'!$D39,'2026 Time Off Request'!$L:$L,'June 2026'!AC$6)</f>
        <v>0</v>
      </c>
      <c r="AD39" s="148">
        <f>COUNTIFS('2026 Time Off Request'!$A:$A,'June 2026'!$D39,'2026 Time Off Request'!$L:$L,'June 2026'!AD$6)</f>
        <v>0</v>
      </c>
      <c r="AE39" s="148">
        <f>COUNTIFS('2026 Time Off Request'!$A:$A,'June 2026'!$D39,'2026 Time Off Request'!$L:$L,'June 2026'!AE$6)</f>
        <v>0</v>
      </c>
      <c r="AF39" s="147">
        <f>COUNTIFS('2026 Time Off Request'!$A:$A,'June 2026'!$D39,'2026 Time Off Request'!$L:$L,'June 2026'!AF$6)</f>
        <v>0</v>
      </c>
      <c r="AG39" s="147">
        <f>COUNTIFS('2026 Time Off Request'!$A:$A,'June 2026'!$D39,'2026 Time Off Request'!$L:$L,'June 2026'!AG$6)</f>
        <v>0</v>
      </c>
      <c r="AH39" s="148">
        <f>COUNTIFS('2026 Time Off Request'!$A:$A,'June 2026'!$D39,'2026 Time Off Request'!$L:$L,'June 2026'!AH$6)</f>
        <v>0</v>
      </c>
      <c r="AI39" s="148">
        <f>COUNTIFS('2026 Time Off Request'!$A:$A,'June 2026'!$D39,'2026 Time Off Request'!$L:$L,'June 2026'!AI$6)</f>
        <v>0</v>
      </c>
    </row>
    <row r="40" spans="1:35" ht="15.75">
      <c r="A40" s="2">
        <v>31</v>
      </c>
      <c r="B40" s="209" t="s">
        <v>49</v>
      </c>
      <c r="C40" s="210" t="s">
        <v>81</v>
      </c>
      <c r="D40" s="215" t="s">
        <v>82</v>
      </c>
      <c r="E40" s="212">
        <f t="shared" si="2"/>
        <v>0</v>
      </c>
      <c r="F40" s="223">
        <f>COUNTIFS('2026 Time Off Request'!$A:$A,'June 2026'!$D40,'2026 Time Off Request'!$L:$L,'June 2026'!F$6)</f>
        <v>0</v>
      </c>
      <c r="G40" s="148">
        <f>COUNTIFS('2026 Time Off Request'!$A:$A,'June 2026'!$D40,'2026 Time Off Request'!$L:$L,'June 2026'!G$6)</f>
        <v>0</v>
      </c>
      <c r="H40" s="148">
        <f>COUNTIFS('2026 Time Off Request'!$A:$A,'June 2026'!$D40,'2026 Time Off Request'!$L:$L,'June 2026'!H$6)</f>
        <v>0</v>
      </c>
      <c r="I40" s="148">
        <f>COUNTIFS('2026 Time Off Request'!$A:$A,'June 2026'!$D40,'2026 Time Off Request'!$L:$L,'June 2026'!I$6)</f>
        <v>0</v>
      </c>
      <c r="J40" s="148">
        <f>COUNTIFS('2026 Time Off Request'!$A:$A,'June 2026'!$D40,'2026 Time Off Request'!$L:$L,'June 2026'!J$6)</f>
        <v>0</v>
      </c>
      <c r="K40" s="147">
        <f>COUNTIFS('2026 Time Off Request'!$A:$A,'June 2026'!$D40,'2026 Time Off Request'!$L:$L,'June 2026'!K$6)</f>
        <v>0</v>
      </c>
      <c r="L40" s="147">
        <f>COUNTIFS('2026 Time Off Request'!$A:$A,'June 2026'!$D40,'2026 Time Off Request'!$L:$L,'June 2026'!L$6)</f>
        <v>0</v>
      </c>
      <c r="M40" s="148">
        <f>COUNTIFS('2026 Time Off Request'!$A:$A,'June 2026'!$D40,'2026 Time Off Request'!$L:$L,'June 2026'!M$6)</f>
        <v>0</v>
      </c>
      <c r="N40" s="148">
        <f>COUNTIFS('2026 Time Off Request'!$A:$A,'June 2026'!$D40,'2026 Time Off Request'!$L:$L,'June 2026'!N$6)</f>
        <v>0</v>
      </c>
      <c r="O40" s="148">
        <f>COUNTIFS('2026 Time Off Request'!$A:$A,'June 2026'!$D40,'2026 Time Off Request'!$L:$L,'June 2026'!O$6)</f>
        <v>0</v>
      </c>
      <c r="P40" s="148">
        <f>COUNTIFS('2026 Time Off Request'!$A:$A,'June 2026'!$D40,'2026 Time Off Request'!$L:$L,'June 2026'!P$6)</f>
        <v>0</v>
      </c>
      <c r="Q40" s="148">
        <f>COUNTIFS('2026 Time Off Request'!$A:$A,'June 2026'!$D40,'2026 Time Off Request'!$L:$L,'June 2026'!Q$6)</f>
        <v>0</v>
      </c>
      <c r="R40" s="147">
        <f>COUNTIFS('2026 Time Off Request'!$A:$A,'June 2026'!$D40,'2026 Time Off Request'!$L:$L,'June 2026'!R$6)</f>
        <v>0</v>
      </c>
      <c r="S40" s="147">
        <f>COUNTIFS('2026 Time Off Request'!$A:$A,'June 2026'!$D40,'2026 Time Off Request'!$L:$L,'June 2026'!S$6)</f>
        <v>0</v>
      </c>
      <c r="T40" s="148">
        <f>COUNTIFS('2026 Time Off Request'!$A:$A,'June 2026'!$D40,'2026 Time Off Request'!$L:$L,'June 2026'!T$6)</f>
        <v>0</v>
      </c>
      <c r="U40" s="148">
        <f>COUNTIFS('2026 Time Off Request'!$A:$A,'June 2026'!$D40,'2026 Time Off Request'!$L:$L,'June 2026'!U$6)</f>
        <v>0</v>
      </c>
      <c r="V40" s="148">
        <f>COUNTIFS('2026 Time Off Request'!$A:$A,'June 2026'!$D40,'2026 Time Off Request'!$L:$L,'June 2026'!V$6)</f>
        <v>0</v>
      </c>
      <c r="W40" s="148">
        <f>COUNTIFS('2026 Time Off Request'!$A:$A,'June 2026'!$D40,'2026 Time Off Request'!$L:$L,'June 2026'!W$6)</f>
        <v>0</v>
      </c>
      <c r="X40" s="148">
        <f>COUNTIFS('2026 Time Off Request'!$A:$A,'June 2026'!$D40,'2026 Time Off Request'!$L:$L,'June 2026'!X$6)</f>
        <v>0</v>
      </c>
      <c r="Y40" s="147">
        <f>COUNTIFS('2026 Time Off Request'!$A:$A,'June 2026'!$D40,'2026 Time Off Request'!$L:$L,'June 2026'!Y$6)</f>
        <v>0</v>
      </c>
      <c r="Z40" s="147">
        <f>COUNTIFS('2026 Time Off Request'!$A:$A,'June 2026'!$D40,'2026 Time Off Request'!$L:$L,'June 2026'!Z$6)</f>
        <v>0</v>
      </c>
      <c r="AA40" s="148">
        <f>COUNTIFS('2026 Time Off Request'!$A:$A,'June 2026'!$D40,'2026 Time Off Request'!$L:$L,'June 2026'!AA$6)</f>
        <v>0</v>
      </c>
      <c r="AB40" s="148">
        <f>COUNTIFS('2026 Time Off Request'!$A:$A,'June 2026'!$D40,'2026 Time Off Request'!$L:$L,'June 2026'!AB$6)</f>
        <v>0</v>
      </c>
      <c r="AC40" s="148">
        <f>COUNTIFS('2026 Time Off Request'!$A:$A,'June 2026'!$D40,'2026 Time Off Request'!$L:$L,'June 2026'!AC$6)</f>
        <v>0</v>
      </c>
      <c r="AD40" s="148">
        <f>COUNTIFS('2026 Time Off Request'!$A:$A,'June 2026'!$D40,'2026 Time Off Request'!$L:$L,'June 2026'!AD$6)</f>
        <v>0</v>
      </c>
      <c r="AE40" s="148">
        <f>COUNTIFS('2026 Time Off Request'!$A:$A,'June 2026'!$D40,'2026 Time Off Request'!$L:$L,'June 2026'!AE$6)</f>
        <v>0</v>
      </c>
      <c r="AF40" s="147">
        <f>COUNTIFS('2026 Time Off Request'!$A:$A,'June 2026'!$D40,'2026 Time Off Request'!$L:$L,'June 2026'!AF$6)</f>
        <v>0</v>
      </c>
      <c r="AG40" s="147">
        <f>COUNTIFS('2026 Time Off Request'!$A:$A,'June 2026'!$D40,'2026 Time Off Request'!$L:$L,'June 2026'!AG$6)</f>
        <v>0</v>
      </c>
      <c r="AH40" s="148">
        <f>COUNTIFS('2026 Time Off Request'!$A:$A,'June 2026'!$D40,'2026 Time Off Request'!$L:$L,'June 2026'!AH$6)</f>
        <v>0</v>
      </c>
      <c r="AI40" s="148">
        <f>COUNTIFS('2026 Time Off Request'!$A:$A,'June 2026'!$D40,'2026 Time Off Request'!$L:$L,'June 2026'!AI$6)</f>
        <v>0</v>
      </c>
    </row>
    <row r="41" spans="1:35" ht="15.75">
      <c r="A41" s="2">
        <v>32</v>
      </c>
      <c r="B41" s="209" t="s">
        <v>45</v>
      </c>
      <c r="C41" s="210" t="s">
        <v>83</v>
      </c>
      <c r="D41" s="215" t="s">
        <v>84</v>
      </c>
      <c r="E41" s="212">
        <f t="shared" si="2"/>
        <v>0</v>
      </c>
      <c r="F41" s="223">
        <f>COUNTIFS('2026 Time Off Request'!$A:$A,'June 2026'!$D41,'2026 Time Off Request'!$L:$L,'June 2026'!F$6)</f>
        <v>0</v>
      </c>
      <c r="G41" s="148">
        <f>COUNTIFS('2026 Time Off Request'!$A:$A,'June 2026'!$D41,'2026 Time Off Request'!$L:$L,'June 2026'!G$6)</f>
        <v>0</v>
      </c>
      <c r="H41" s="148">
        <f>COUNTIFS('2026 Time Off Request'!$A:$A,'June 2026'!$D41,'2026 Time Off Request'!$L:$L,'June 2026'!H$6)</f>
        <v>0</v>
      </c>
      <c r="I41" s="148">
        <f>COUNTIFS('2026 Time Off Request'!$A:$A,'June 2026'!$D41,'2026 Time Off Request'!$L:$L,'June 2026'!I$6)</f>
        <v>0</v>
      </c>
      <c r="J41" s="148">
        <f>COUNTIFS('2026 Time Off Request'!$A:$A,'June 2026'!$D41,'2026 Time Off Request'!$L:$L,'June 2026'!J$6)</f>
        <v>0</v>
      </c>
      <c r="K41" s="147">
        <f>COUNTIFS('2026 Time Off Request'!$A:$A,'June 2026'!$D41,'2026 Time Off Request'!$L:$L,'June 2026'!K$6)</f>
        <v>0</v>
      </c>
      <c r="L41" s="147">
        <f>COUNTIFS('2026 Time Off Request'!$A:$A,'June 2026'!$D41,'2026 Time Off Request'!$L:$L,'June 2026'!L$6)</f>
        <v>0</v>
      </c>
      <c r="M41" s="148">
        <f>COUNTIFS('2026 Time Off Request'!$A:$A,'June 2026'!$D41,'2026 Time Off Request'!$L:$L,'June 2026'!M$6)</f>
        <v>0</v>
      </c>
      <c r="N41" s="148">
        <f>COUNTIFS('2026 Time Off Request'!$A:$A,'June 2026'!$D41,'2026 Time Off Request'!$L:$L,'June 2026'!N$6)</f>
        <v>0</v>
      </c>
      <c r="O41" s="148">
        <f>COUNTIFS('2026 Time Off Request'!$A:$A,'June 2026'!$D41,'2026 Time Off Request'!$L:$L,'June 2026'!O$6)</f>
        <v>0</v>
      </c>
      <c r="P41" s="148">
        <f>COUNTIFS('2026 Time Off Request'!$A:$A,'June 2026'!$D41,'2026 Time Off Request'!$L:$L,'June 2026'!P$6)</f>
        <v>0</v>
      </c>
      <c r="Q41" s="148">
        <f>COUNTIFS('2026 Time Off Request'!$A:$A,'June 2026'!$D41,'2026 Time Off Request'!$L:$L,'June 2026'!Q$6)</f>
        <v>0</v>
      </c>
      <c r="R41" s="147">
        <f>COUNTIFS('2026 Time Off Request'!$A:$A,'June 2026'!$D41,'2026 Time Off Request'!$L:$L,'June 2026'!R$6)</f>
        <v>0</v>
      </c>
      <c r="S41" s="147">
        <f>COUNTIFS('2026 Time Off Request'!$A:$A,'June 2026'!$D41,'2026 Time Off Request'!$L:$L,'June 2026'!S$6)</f>
        <v>0</v>
      </c>
      <c r="T41" s="148">
        <f>COUNTIFS('2026 Time Off Request'!$A:$A,'June 2026'!$D41,'2026 Time Off Request'!$L:$L,'June 2026'!T$6)</f>
        <v>0</v>
      </c>
      <c r="U41" s="148">
        <f>COUNTIFS('2026 Time Off Request'!$A:$A,'June 2026'!$D41,'2026 Time Off Request'!$L:$L,'June 2026'!U$6)</f>
        <v>0</v>
      </c>
      <c r="V41" s="148">
        <f>COUNTIFS('2026 Time Off Request'!$A:$A,'June 2026'!$D41,'2026 Time Off Request'!$L:$L,'June 2026'!V$6)</f>
        <v>0</v>
      </c>
      <c r="W41" s="148">
        <f>COUNTIFS('2026 Time Off Request'!$A:$A,'June 2026'!$D41,'2026 Time Off Request'!$L:$L,'June 2026'!W$6)</f>
        <v>0</v>
      </c>
      <c r="X41" s="148">
        <f>COUNTIFS('2026 Time Off Request'!$A:$A,'June 2026'!$D41,'2026 Time Off Request'!$L:$L,'June 2026'!X$6)</f>
        <v>0</v>
      </c>
      <c r="Y41" s="147">
        <f>COUNTIFS('2026 Time Off Request'!$A:$A,'June 2026'!$D41,'2026 Time Off Request'!$L:$L,'June 2026'!Y$6)</f>
        <v>0</v>
      </c>
      <c r="Z41" s="147">
        <f>COUNTIFS('2026 Time Off Request'!$A:$A,'June 2026'!$D41,'2026 Time Off Request'!$L:$L,'June 2026'!Z$6)</f>
        <v>0</v>
      </c>
      <c r="AA41" s="148">
        <f>COUNTIFS('2026 Time Off Request'!$A:$A,'June 2026'!$D41,'2026 Time Off Request'!$L:$L,'June 2026'!AA$6)</f>
        <v>0</v>
      </c>
      <c r="AB41" s="148">
        <f>COUNTIFS('2026 Time Off Request'!$A:$A,'June 2026'!$D41,'2026 Time Off Request'!$L:$L,'June 2026'!AB$6)</f>
        <v>0</v>
      </c>
      <c r="AC41" s="148">
        <f>COUNTIFS('2026 Time Off Request'!$A:$A,'June 2026'!$D41,'2026 Time Off Request'!$L:$L,'June 2026'!AC$6)</f>
        <v>0</v>
      </c>
      <c r="AD41" s="148">
        <f>COUNTIFS('2026 Time Off Request'!$A:$A,'June 2026'!$D41,'2026 Time Off Request'!$L:$L,'June 2026'!AD$6)</f>
        <v>0</v>
      </c>
      <c r="AE41" s="148">
        <f>COUNTIFS('2026 Time Off Request'!$A:$A,'June 2026'!$D41,'2026 Time Off Request'!$L:$L,'June 2026'!AE$6)</f>
        <v>0</v>
      </c>
      <c r="AF41" s="147">
        <f>COUNTIFS('2026 Time Off Request'!$A:$A,'June 2026'!$D41,'2026 Time Off Request'!$L:$L,'June 2026'!AF$6)</f>
        <v>0</v>
      </c>
      <c r="AG41" s="147">
        <f>COUNTIFS('2026 Time Off Request'!$A:$A,'June 2026'!$D41,'2026 Time Off Request'!$L:$L,'June 2026'!AG$6)</f>
        <v>0</v>
      </c>
      <c r="AH41" s="148">
        <f>COUNTIFS('2026 Time Off Request'!$A:$A,'June 2026'!$D41,'2026 Time Off Request'!$L:$L,'June 2026'!AH$6)</f>
        <v>0</v>
      </c>
      <c r="AI41" s="148">
        <f>COUNTIFS('2026 Time Off Request'!$A:$A,'June 2026'!$D41,'2026 Time Off Request'!$L:$L,'June 2026'!AI$6)</f>
        <v>0</v>
      </c>
    </row>
    <row r="42" spans="1:35" ht="15.75">
      <c r="A42" s="2">
        <v>33</v>
      </c>
      <c r="B42" s="209" t="s">
        <v>45</v>
      </c>
      <c r="C42" s="210" t="s">
        <v>85</v>
      </c>
      <c r="D42" s="215" t="s">
        <v>86</v>
      </c>
      <c r="E42" s="212">
        <f t="shared" si="2"/>
        <v>0</v>
      </c>
      <c r="F42" s="223">
        <f>COUNTIFS('2026 Time Off Request'!$A:$A,'June 2026'!$D42,'2026 Time Off Request'!$L:$L,'June 2026'!F$6)</f>
        <v>0</v>
      </c>
      <c r="G42" s="148">
        <f>COUNTIFS('2026 Time Off Request'!$A:$A,'June 2026'!$D42,'2026 Time Off Request'!$L:$L,'June 2026'!G$6)</f>
        <v>0</v>
      </c>
      <c r="H42" s="148">
        <f>COUNTIFS('2026 Time Off Request'!$A:$A,'June 2026'!$D42,'2026 Time Off Request'!$L:$L,'June 2026'!H$6)</f>
        <v>0</v>
      </c>
      <c r="I42" s="148">
        <f>COUNTIFS('2026 Time Off Request'!$A:$A,'June 2026'!$D42,'2026 Time Off Request'!$L:$L,'June 2026'!I$6)</f>
        <v>0</v>
      </c>
      <c r="J42" s="148">
        <f>COUNTIFS('2026 Time Off Request'!$A:$A,'June 2026'!$D42,'2026 Time Off Request'!$L:$L,'June 2026'!J$6)</f>
        <v>0</v>
      </c>
      <c r="K42" s="147">
        <f>COUNTIFS('2026 Time Off Request'!$A:$A,'June 2026'!$D42,'2026 Time Off Request'!$L:$L,'June 2026'!K$6)</f>
        <v>0</v>
      </c>
      <c r="L42" s="147">
        <f>COUNTIFS('2026 Time Off Request'!$A:$A,'June 2026'!$D42,'2026 Time Off Request'!$L:$L,'June 2026'!L$6)</f>
        <v>0</v>
      </c>
      <c r="M42" s="148">
        <f>COUNTIFS('2026 Time Off Request'!$A:$A,'June 2026'!$D42,'2026 Time Off Request'!$L:$L,'June 2026'!M$6)</f>
        <v>0</v>
      </c>
      <c r="N42" s="148">
        <f>COUNTIFS('2026 Time Off Request'!$A:$A,'June 2026'!$D42,'2026 Time Off Request'!$L:$L,'June 2026'!N$6)</f>
        <v>0</v>
      </c>
      <c r="O42" s="148">
        <f>COUNTIFS('2026 Time Off Request'!$A:$A,'June 2026'!$D42,'2026 Time Off Request'!$L:$L,'June 2026'!O$6)</f>
        <v>0</v>
      </c>
      <c r="P42" s="148">
        <f>COUNTIFS('2026 Time Off Request'!$A:$A,'June 2026'!$D42,'2026 Time Off Request'!$L:$L,'June 2026'!P$6)</f>
        <v>0</v>
      </c>
      <c r="Q42" s="148">
        <f>COUNTIFS('2026 Time Off Request'!$A:$A,'June 2026'!$D42,'2026 Time Off Request'!$L:$L,'June 2026'!Q$6)</f>
        <v>0</v>
      </c>
      <c r="R42" s="147">
        <f>COUNTIFS('2026 Time Off Request'!$A:$A,'June 2026'!$D42,'2026 Time Off Request'!$L:$L,'June 2026'!R$6)</f>
        <v>0</v>
      </c>
      <c r="S42" s="147">
        <f>COUNTIFS('2026 Time Off Request'!$A:$A,'June 2026'!$D42,'2026 Time Off Request'!$L:$L,'June 2026'!S$6)</f>
        <v>0</v>
      </c>
      <c r="T42" s="148">
        <f>COUNTIFS('2026 Time Off Request'!$A:$A,'June 2026'!$D42,'2026 Time Off Request'!$L:$L,'June 2026'!T$6)</f>
        <v>0</v>
      </c>
      <c r="U42" s="148">
        <f>COUNTIFS('2026 Time Off Request'!$A:$A,'June 2026'!$D42,'2026 Time Off Request'!$L:$L,'June 2026'!U$6)</f>
        <v>0</v>
      </c>
      <c r="V42" s="148">
        <f>COUNTIFS('2026 Time Off Request'!$A:$A,'June 2026'!$D42,'2026 Time Off Request'!$L:$L,'June 2026'!V$6)</f>
        <v>0</v>
      </c>
      <c r="W42" s="148">
        <f>COUNTIFS('2026 Time Off Request'!$A:$A,'June 2026'!$D42,'2026 Time Off Request'!$L:$L,'June 2026'!W$6)</f>
        <v>0</v>
      </c>
      <c r="X42" s="148">
        <f>COUNTIFS('2026 Time Off Request'!$A:$A,'June 2026'!$D42,'2026 Time Off Request'!$L:$L,'June 2026'!X$6)</f>
        <v>0</v>
      </c>
      <c r="Y42" s="147">
        <f>COUNTIFS('2026 Time Off Request'!$A:$A,'June 2026'!$D42,'2026 Time Off Request'!$L:$L,'June 2026'!Y$6)</f>
        <v>0</v>
      </c>
      <c r="Z42" s="147">
        <f>COUNTIFS('2026 Time Off Request'!$A:$A,'June 2026'!$D42,'2026 Time Off Request'!$L:$L,'June 2026'!Z$6)</f>
        <v>0</v>
      </c>
      <c r="AA42" s="148">
        <f>COUNTIFS('2026 Time Off Request'!$A:$A,'June 2026'!$D42,'2026 Time Off Request'!$L:$L,'June 2026'!AA$6)</f>
        <v>0</v>
      </c>
      <c r="AB42" s="148">
        <f>COUNTIFS('2026 Time Off Request'!$A:$A,'June 2026'!$D42,'2026 Time Off Request'!$L:$L,'June 2026'!AB$6)</f>
        <v>0</v>
      </c>
      <c r="AC42" s="148">
        <f>COUNTIFS('2026 Time Off Request'!$A:$A,'June 2026'!$D42,'2026 Time Off Request'!$L:$L,'June 2026'!AC$6)</f>
        <v>0</v>
      </c>
      <c r="AD42" s="148">
        <f>COUNTIFS('2026 Time Off Request'!$A:$A,'June 2026'!$D42,'2026 Time Off Request'!$L:$L,'June 2026'!AD$6)</f>
        <v>0</v>
      </c>
      <c r="AE42" s="148">
        <f>COUNTIFS('2026 Time Off Request'!$A:$A,'June 2026'!$D42,'2026 Time Off Request'!$L:$L,'June 2026'!AE$6)</f>
        <v>0</v>
      </c>
      <c r="AF42" s="147">
        <f>COUNTIFS('2026 Time Off Request'!$A:$A,'June 2026'!$D42,'2026 Time Off Request'!$L:$L,'June 2026'!AF$6)</f>
        <v>0</v>
      </c>
      <c r="AG42" s="147">
        <f>COUNTIFS('2026 Time Off Request'!$A:$A,'June 2026'!$D42,'2026 Time Off Request'!$L:$L,'June 2026'!AG$6)</f>
        <v>0</v>
      </c>
      <c r="AH42" s="148">
        <f>COUNTIFS('2026 Time Off Request'!$A:$A,'June 2026'!$D42,'2026 Time Off Request'!$L:$L,'June 2026'!AH$6)</f>
        <v>0</v>
      </c>
      <c r="AI42" s="148">
        <f>COUNTIFS('2026 Time Off Request'!$A:$A,'June 2026'!$D42,'2026 Time Off Request'!$L:$L,'June 2026'!AI$6)</f>
        <v>0</v>
      </c>
    </row>
    <row r="43" spans="1:35" ht="15.75">
      <c r="A43" s="2">
        <v>34</v>
      </c>
      <c r="B43" s="209" t="s">
        <v>45</v>
      </c>
      <c r="C43" s="210" t="s">
        <v>87</v>
      </c>
      <c r="D43" s="215" t="s">
        <v>88</v>
      </c>
      <c r="E43" s="212">
        <f t="shared" si="2"/>
        <v>0</v>
      </c>
      <c r="F43" s="223">
        <f>COUNTIFS('2026 Time Off Request'!$A:$A,'June 2026'!$D43,'2026 Time Off Request'!$L:$L,'June 2026'!F$6)</f>
        <v>0</v>
      </c>
      <c r="G43" s="148">
        <f>COUNTIFS('2026 Time Off Request'!$A:$A,'June 2026'!$D43,'2026 Time Off Request'!$L:$L,'June 2026'!G$6)</f>
        <v>0</v>
      </c>
      <c r="H43" s="148">
        <f>COUNTIFS('2026 Time Off Request'!$A:$A,'June 2026'!$D43,'2026 Time Off Request'!$L:$L,'June 2026'!H$6)</f>
        <v>0</v>
      </c>
      <c r="I43" s="148">
        <f>COUNTIFS('2026 Time Off Request'!$A:$A,'June 2026'!$D43,'2026 Time Off Request'!$L:$L,'June 2026'!I$6)</f>
        <v>0</v>
      </c>
      <c r="J43" s="148">
        <f>COUNTIFS('2026 Time Off Request'!$A:$A,'June 2026'!$D43,'2026 Time Off Request'!$L:$L,'June 2026'!J$6)</f>
        <v>0</v>
      </c>
      <c r="K43" s="147">
        <f>COUNTIFS('2026 Time Off Request'!$A:$A,'June 2026'!$D43,'2026 Time Off Request'!$L:$L,'June 2026'!K$6)</f>
        <v>0</v>
      </c>
      <c r="L43" s="147">
        <f>COUNTIFS('2026 Time Off Request'!$A:$A,'June 2026'!$D43,'2026 Time Off Request'!$L:$L,'June 2026'!L$6)</f>
        <v>0</v>
      </c>
      <c r="M43" s="148">
        <f>COUNTIFS('2026 Time Off Request'!$A:$A,'June 2026'!$D43,'2026 Time Off Request'!$L:$L,'June 2026'!M$6)</f>
        <v>0</v>
      </c>
      <c r="N43" s="148">
        <f>COUNTIFS('2026 Time Off Request'!$A:$A,'June 2026'!$D43,'2026 Time Off Request'!$L:$L,'June 2026'!N$6)</f>
        <v>0</v>
      </c>
      <c r="O43" s="148">
        <f>COUNTIFS('2026 Time Off Request'!$A:$A,'June 2026'!$D43,'2026 Time Off Request'!$L:$L,'June 2026'!O$6)</f>
        <v>0</v>
      </c>
      <c r="P43" s="148">
        <f>COUNTIFS('2026 Time Off Request'!$A:$A,'June 2026'!$D43,'2026 Time Off Request'!$L:$L,'June 2026'!P$6)</f>
        <v>0</v>
      </c>
      <c r="Q43" s="148">
        <f>COUNTIFS('2026 Time Off Request'!$A:$A,'June 2026'!$D43,'2026 Time Off Request'!$L:$L,'June 2026'!Q$6)</f>
        <v>0</v>
      </c>
      <c r="R43" s="147">
        <f>COUNTIFS('2026 Time Off Request'!$A:$A,'June 2026'!$D43,'2026 Time Off Request'!$L:$L,'June 2026'!R$6)</f>
        <v>0</v>
      </c>
      <c r="S43" s="147">
        <f>COUNTIFS('2026 Time Off Request'!$A:$A,'June 2026'!$D43,'2026 Time Off Request'!$L:$L,'June 2026'!S$6)</f>
        <v>0</v>
      </c>
      <c r="T43" s="148">
        <f>COUNTIFS('2026 Time Off Request'!$A:$A,'June 2026'!$D43,'2026 Time Off Request'!$L:$L,'June 2026'!T$6)</f>
        <v>0</v>
      </c>
      <c r="U43" s="148">
        <f>COUNTIFS('2026 Time Off Request'!$A:$A,'June 2026'!$D43,'2026 Time Off Request'!$L:$L,'June 2026'!U$6)</f>
        <v>0</v>
      </c>
      <c r="V43" s="148">
        <f>COUNTIFS('2026 Time Off Request'!$A:$A,'June 2026'!$D43,'2026 Time Off Request'!$L:$L,'June 2026'!V$6)</f>
        <v>0</v>
      </c>
      <c r="W43" s="148">
        <f>COUNTIFS('2026 Time Off Request'!$A:$A,'June 2026'!$D43,'2026 Time Off Request'!$L:$L,'June 2026'!W$6)</f>
        <v>0</v>
      </c>
      <c r="X43" s="148">
        <f>COUNTIFS('2026 Time Off Request'!$A:$A,'June 2026'!$D43,'2026 Time Off Request'!$L:$L,'June 2026'!X$6)</f>
        <v>0</v>
      </c>
      <c r="Y43" s="147">
        <f>COUNTIFS('2026 Time Off Request'!$A:$A,'June 2026'!$D43,'2026 Time Off Request'!$L:$L,'June 2026'!Y$6)</f>
        <v>0</v>
      </c>
      <c r="Z43" s="147">
        <f>COUNTIFS('2026 Time Off Request'!$A:$A,'June 2026'!$D43,'2026 Time Off Request'!$L:$L,'June 2026'!Z$6)</f>
        <v>0</v>
      </c>
      <c r="AA43" s="148">
        <f>COUNTIFS('2026 Time Off Request'!$A:$A,'June 2026'!$D43,'2026 Time Off Request'!$L:$L,'June 2026'!AA$6)</f>
        <v>0</v>
      </c>
      <c r="AB43" s="148">
        <f>COUNTIFS('2026 Time Off Request'!$A:$A,'June 2026'!$D43,'2026 Time Off Request'!$L:$L,'June 2026'!AB$6)</f>
        <v>0</v>
      </c>
      <c r="AC43" s="148">
        <f>COUNTIFS('2026 Time Off Request'!$A:$A,'June 2026'!$D43,'2026 Time Off Request'!$L:$L,'June 2026'!AC$6)</f>
        <v>0</v>
      </c>
      <c r="AD43" s="148">
        <f>COUNTIFS('2026 Time Off Request'!$A:$A,'June 2026'!$D43,'2026 Time Off Request'!$L:$L,'June 2026'!AD$6)</f>
        <v>0</v>
      </c>
      <c r="AE43" s="148">
        <f>COUNTIFS('2026 Time Off Request'!$A:$A,'June 2026'!$D43,'2026 Time Off Request'!$L:$L,'June 2026'!AE$6)</f>
        <v>0</v>
      </c>
      <c r="AF43" s="147">
        <f>COUNTIFS('2026 Time Off Request'!$A:$A,'June 2026'!$D43,'2026 Time Off Request'!$L:$L,'June 2026'!AF$6)</f>
        <v>0</v>
      </c>
      <c r="AG43" s="147">
        <f>COUNTIFS('2026 Time Off Request'!$A:$A,'June 2026'!$D43,'2026 Time Off Request'!$L:$L,'June 2026'!AG$6)</f>
        <v>0</v>
      </c>
      <c r="AH43" s="148">
        <f>COUNTIFS('2026 Time Off Request'!$A:$A,'June 2026'!$D43,'2026 Time Off Request'!$L:$L,'June 2026'!AH$6)</f>
        <v>0</v>
      </c>
      <c r="AI43" s="148">
        <f>COUNTIFS('2026 Time Off Request'!$A:$A,'June 2026'!$D43,'2026 Time Off Request'!$L:$L,'June 2026'!AI$6)</f>
        <v>0</v>
      </c>
    </row>
    <row r="44" spans="1:35" ht="15.75">
      <c r="A44" s="2">
        <v>35</v>
      </c>
      <c r="B44" s="209" t="s">
        <v>45</v>
      </c>
      <c r="C44" s="210" t="s">
        <v>89</v>
      </c>
      <c r="D44" s="215" t="s">
        <v>90</v>
      </c>
      <c r="E44" s="212">
        <f t="shared" si="2"/>
        <v>0</v>
      </c>
      <c r="F44" s="223">
        <f>COUNTIFS('2026 Time Off Request'!$A:$A,'June 2026'!$D44,'2026 Time Off Request'!$L:$L,'June 2026'!F$6)</f>
        <v>0</v>
      </c>
      <c r="G44" s="148">
        <f>COUNTIFS('2026 Time Off Request'!$A:$A,'June 2026'!$D44,'2026 Time Off Request'!$L:$L,'June 2026'!G$6)</f>
        <v>0</v>
      </c>
      <c r="H44" s="148">
        <f>COUNTIFS('2026 Time Off Request'!$A:$A,'June 2026'!$D44,'2026 Time Off Request'!$L:$L,'June 2026'!H$6)</f>
        <v>0</v>
      </c>
      <c r="I44" s="148">
        <f>COUNTIFS('2026 Time Off Request'!$A:$A,'June 2026'!$D44,'2026 Time Off Request'!$L:$L,'June 2026'!I$6)</f>
        <v>0</v>
      </c>
      <c r="J44" s="148">
        <f>COUNTIFS('2026 Time Off Request'!$A:$A,'June 2026'!$D44,'2026 Time Off Request'!$L:$L,'June 2026'!J$6)</f>
        <v>0</v>
      </c>
      <c r="K44" s="147">
        <f>COUNTIFS('2026 Time Off Request'!$A:$A,'June 2026'!$D44,'2026 Time Off Request'!$L:$L,'June 2026'!K$6)</f>
        <v>0</v>
      </c>
      <c r="L44" s="147">
        <f>COUNTIFS('2026 Time Off Request'!$A:$A,'June 2026'!$D44,'2026 Time Off Request'!$L:$L,'June 2026'!L$6)</f>
        <v>0</v>
      </c>
      <c r="M44" s="148">
        <f>COUNTIFS('2026 Time Off Request'!$A:$A,'June 2026'!$D44,'2026 Time Off Request'!$L:$L,'June 2026'!M$6)</f>
        <v>0</v>
      </c>
      <c r="N44" s="148">
        <f>COUNTIFS('2026 Time Off Request'!$A:$A,'June 2026'!$D44,'2026 Time Off Request'!$L:$L,'June 2026'!N$6)</f>
        <v>0</v>
      </c>
      <c r="O44" s="148">
        <f>COUNTIFS('2026 Time Off Request'!$A:$A,'June 2026'!$D44,'2026 Time Off Request'!$L:$L,'June 2026'!O$6)</f>
        <v>0</v>
      </c>
      <c r="P44" s="148">
        <f>COUNTIFS('2026 Time Off Request'!$A:$A,'June 2026'!$D44,'2026 Time Off Request'!$L:$L,'June 2026'!P$6)</f>
        <v>0</v>
      </c>
      <c r="Q44" s="148">
        <f>COUNTIFS('2026 Time Off Request'!$A:$A,'June 2026'!$D44,'2026 Time Off Request'!$L:$L,'June 2026'!Q$6)</f>
        <v>0</v>
      </c>
      <c r="R44" s="147">
        <f>COUNTIFS('2026 Time Off Request'!$A:$A,'June 2026'!$D44,'2026 Time Off Request'!$L:$L,'June 2026'!R$6)</f>
        <v>0</v>
      </c>
      <c r="S44" s="147">
        <f>COUNTIFS('2026 Time Off Request'!$A:$A,'June 2026'!$D44,'2026 Time Off Request'!$L:$L,'June 2026'!S$6)</f>
        <v>0</v>
      </c>
      <c r="T44" s="148">
        <f>COUNTIFS('2026 Time Off Request'!$A:$A,'June 2026'!$D44,'2026 Time Off Request'!$L:$L,'June 2026'!T$6)</f>
        <v>0</v>
      </c>
      <c r="U44" s="148">
        <f>COUNTIFS('2026 Time Off Request'!$A:$A,'June 2026'!$D44,'2026 Time Off Request'!$L:$L,'June 2026'!U$6)</f>
        <v>0</v>
      </c>
      <c r="V44" s="148">
        <f>COUNTIFS('2026 Time Off Request'!$A:$A,'June 2026'!$D44,'2026 Time Off Request'!$L:$L,'June 2026'!V$6)</f>
        <v>0</v>
      </c>
      <c r="W44" s="148">
        <f>COUNTIFS('2026 Time Off Request'!$A:$A,'June 2026'!$D44,'2026 Time Off Request'!$L:$L,'June 2026'!W$6)</f>
        <v>0</v>
      </c>
      <c r="X44" s="148">
        <f>COUNTIFS('2026 Time Off Request'!$A:$A,'June 2026'!$D44,'2026 Time Off Request'!$L:$L,'June 2026'!X$6)</f>
        <v>0</v>
      </c>
      <c r="Y44" s="147">
        <f>COUNTIFS('2026 Time Off Request'!$A:$A,'June 2026'!$D44,'2026 Time Off Request'!$L:$L,'June 2026'!Y$6)</f>
        <v>0</v>
      </c>
      <c r="Z44" s="147">
        <f>COUNTIFS('2026 Time Off Request'!$A:$A,'June 2026'!$D44,'2026 Time Off Request'!$L:$L,'June 2026'!Z$6)</f>
        <v>0</v>
      </c>
      <c r="AA44" s="148">
        <f>COUNTIFS('2026 Time Off Request'!$A:$A,'June 2026'!$D44,'2026 Time Off Request'!$L:$L,'June 2026'!AA$6)</f>
        <v>0</v>
      </c>
      <c r="AB44" s="148">
        <f>COUNTIFS('2026 Time Off Request'!$A:$A,'June 2026'!$D44,'2026 Time Off Request'!$L:$L,'June 2026'!AB$6)</f>
        <v>0</v>
      </c>
      <c r="AC44" s="148">
        <f>COUNTIFS('2026 Time Off Request'!$A:$A,'June 2026'!$D44,'2026 Time Off Request'!$L:$L,'June 2026'!AC$6)</f>
        <v>0</v>
      </c>
      <c r="AD44" s="148">
        <f>COUNTIFS('2026 Time Off Request'!$A:$A,'June 2026'!$D44,'2026 Time Off Request'!$L:$L,'June 2026'!AD$6)</f>
        <v>0</v>
      </c>
      <c r="AE44" s="148">
        <f>COUNTIFS('2026 Time Off Request'!$A:$A,'June 2026'!$D44,'2026 Time Off Request'!$L:$L,'June 2026'!AE$6)</f>
        <v>0</v>
      </c>
      <c r="AF44" s="147">
        <f>COUNTIFS('2026 Time Off Request'!$A:$A,'June 2026'!$D44,'2026 Time Off Request'!$L:$L,'June 2026'!AF$6)</f>
        <v>0</v>
      </c>
      <c r="AG44" s="147">
        <f>COUNTIFS('2026 Time Off Request'!$A:$A,'June 2026'!$D44,'2026 Time Off Request'!$L:$L,'June 2026'!AG$6)</f>
        <v>0</v>
      </c>
      <c r="AH44" s="148">
        <f>COUNTIFS('2026 Time Off Request'!$A:$A,'June 2026'!$D44,'2026 Time Off Request'!$L:$L,'June 2026'!AH$6)</f>
        <v>0</v>
      </c>
      <c r="AI44" s="148">
        <f>COUNTIFS('2026 Time Off Request'!$A:$A,'June 2026'!$D44,'2026 Time Off Request'!$L:$L,'June 2026'!AI$6)</f>
        <v>0</v>
      </c>
    </row>
    <row r="45" spans="1:35" ht="15.75">
      <c r="A45" s="2">
        <v>36</v>
      </c>
      <c r="B45" s="209" t="s">
        <v>45</v>
      </c>
      <c r="C45" s="210" t="s">
        <v>89</v>
      </c>
      <c r="D45" s="215" t="s">
        <v>91</v>
      </c>
      <c r="E45" s="212">
        <f t="shared" si="2"/>
        <v>0</v>
      </c>
      <c r="F45" s="223">
        <f>COUNTIFS('2026 Time Off Request'!$A:$A,'June 2026'!$D45,'2026 Time Off Request'!$L:$L,'June 2026'!F$6)</f>
        <v>0</v>
      </c>
      <c r="G45" s="148">
        <f>COUNTIFS('2026 Time Off Request'!$A:$A,'June 2026'!$D45,'2026 Time Off Request'!$L:$L,'June 2026'!G$6)</f>
        <v>0</v>
      </c>
      <c r="H45" s="148">
        <f>COUNTIFS('2026 Time Off Request'!$A:$A,'June 2026'!$D45,'2026 Time Off Request'!$L:$L,'June 2026'!H$6)</f>
        <v>0</v>
      </c>
      <c r="I45" s="148">
        <f>COUNTIFS('2026 Time Off Request'!$A:$A,'June 2026'!$D45,'2026 Time Off Request'!$L:$L,'June 2026'!I$6)</f>
        <v>0</v>
      </c>
      <c r="J45" s="148">
        <f>COUNTIFS('2026 Time Off Request'!$A:$A,'June 2026'!$D45,'2026 Time Off Request'!$L:$L,'June 2026'!J$6)</f>
        <v>0</v>
      </c>
      <c r="K45" s="147">
        <f>COUNTIFS('2026 Time Off Request'!$A:$A,'June 2026'!$D45,'2026 Time Off Request'!$L:$L,'June 2026'!K$6)</f>
        <v>0</v>
      </c>
      <c r="L45" s="147">
        <f>COUNTIFS('2026 Time Off Request'!$A:$A,'June 2026'!$D45,'2026 Time Off Request'!$L:$L,'June 2026'!L$6)</f>
        <v>0</v>
      </c>
      <c r="M45" s="148">
        <f>COUNTIFS('2026 Time Off Request'!$A:$A,'June 2026'!$D45,'2026 Time Off Request'!$L:$L,'June 2026'!M$6)</f>
        <v>0</v>
      </c>
      <c r="N45" s="148">
        <f>COUNTIFS('2026 Time Off Request'!$A:$A,'June 2026'!$D45,'2026 Time Off Request'!$L:$L,'June 2026'!N$6)</f>
        <v>0</v>
      </c>
      <c r="O45" s="148">
        <f>COUNTIFS('2026 Time Off Request'!$A:$A,'June 2026'!$D45,'2026 Time Off Request'!$L:$L,'June 2026'!O$6)</f>
        <v>0</v>
      </c>
      <c r="P45" s="148">
        <f>COUNTIFS('2026 Time Off Request'!$A:$A,'June 2026'!$D45,'2026 Time Off Request'!$L:$L,'June 2026'!P$6)</f>
        <v>0</v>
      </c>
      <c r="Q45" s="148">
        <f>COUNTIFS('2026 Time Off Request'!$A:$A,'June 2026'!$D45,'2026 Time Off Request'!$L:$L,'June 2026'!Q$6)</f>
        <v>0</v>
      </c>
      <c r="R45" s="147">
        <f>COUNTIFS('2026 Time Off Request'!$A:$A,'June 2026'!$D45,'2026 Time Off Request'!$L:$L,'June 2026'!R$6)</f>
        <v>0</v>
      </c>
      <c r="S45" s="147">
        <f>COUNTIFS('2026 Time Off Request'!$A:$A,'June 2026'!$D45,'2026 Time Off Request'!$L:$L,'June 2026'!S$6)</f>
        <v>0</v>
      </c>
      <c r="T45" s="148">
        <f>COUNTIFS('2026 Time Off Request'!$A:$A,'June 2026'!$D45,'2026 Time Off Request'!$L:$L,'June 2026'!T$6)</f>
        <v>0</v>
      </c>
      <c r="U45" s="148">
        <f>COUNTIFS('2026 Time Off Request'!$A:$A,'June 2026'!$D45,'2026 Time Off Request'!$L:$L,'June 2026'!U$6)</f>
        <v>0</v>
      </c>
      <c r="V45" s="148">
        <f>COUNTIFS('2026 Time Off Request'!$A:$A,'June 2026'!$D45,'2026 Time Off Request'!$L:$L,'June 2026'!V$6)</f>
        <v>0</v>
      </c>
      <c r="W45" s="148">
        <f>COUNTIFS('2026 Time Off Request'!$A:$A,'June 2026'!$D45,'2026 Time Off Request'!$L:$L,'June 2026'!W$6)</f>
        <v>0</v>
      </c>
      <c r="X45" s="148">
        <f>COUNTIFS('2026 Time Off Request'!$A:$A,'June 2026'!$D45,'2026 Time Off Request'!$L:$L,'June 2026'!X$6)</f>
        <v>0</v>
      </c>
      <c r="Y45" s="147">
        <f>COUNTIFS('2026 Time Off Request'!$A:$A,'June 2026'!$D45,'2026 Time Off Request'!$L:$L,'June 2026'!Y$6)</f>
        <v>0</v>
      </c>
      <c r="Z45" s="147">
        <f>COUNTIFS('2026 Time Off Request'!$A:$A,'June 2026'!$D45,'2026 Time Off Request'!$L:$L,'June 2026'!Z$6)</f>
        <v>0</v>
      </c>
      <c r="AA45" s="148">
        <f>COUNTIFS('2026 Time Off Request'!$A:$A,'June 2026'!$D45,'2026 Time Off Request'!$L:$L,'June 2026'!AA$6)</f>
        <v>0</v>
      </c>
      <c r="AB45" s="148">
        <f>COUNTIFS('2026 Time Off Request'!$A:$A,'June 2026'!$D45,'2026 Time Off Request'!$L:$L,'June 2026'!AB$6)</f>
        <v>0</v>
      </c>
      <c r="AC45" s="148">
        <f>COUNTIFS('2026 Time Off Request'!$A:$A,'June 2026'!$D45,'2026 Time Off Request'!$L:$L,'June 2026'!AC$6)</f>
        <v>0</v>
      </c>
      <c r="AD45" s="148">
        <f>COUNTIFS('2026 Time Off Request'!$A:$A,'June 2026'!$D45,'2026 Time Off Request'!$L:$L,'June 2026'!AD$6)</f>
        <v>0</v>
      </c>
      <c r="AE45" s="148">
        <f>COUNTIFS('2026 Time Off Request'!$A:$A,'June 2026'!$D45,'2026 Time Off Request'!$L:$L,'June 2026'!AE$6)</f>
        <v>0</v>
      </c>
      <c r="AF45" s="147">
        <f>COUNTIFS('2026 Time Off Request'!$A:$A,'June 2026'!$D45,'2026 Time Off Request'!$L:$L,'June 2026'!AF$6)</f>
        <v>0</v>
      </c>
      <c r="AG45" s="147">
        <f>COUNTIFS('2026 Time Off Request'!$A:$A,'June 2026'!$D45,'2026 Time Off Request'!$L:$L,'June 2026'!AG$6)</f>
        <v>0</v>
      </c>
      <c r="AH45" s="148">
        <f>COUNTIFS('2026 Time Off Request'!$A:$A,'June 2026'!$D45,'2026 Time Off Request'!$L:$L,'June 2026'!AH$6)</f>
        <v>0</v>
      </c>
      <c r="AI45" s="148">
        <f>COUNTIFS('2026 Time Off Request'!$A:$A,'June 2026'!$D45,'2026 Time Off Request'!$L:$L,'June 2026'!AI$6)</f>
        <v>0</v>
      </c>
    </row>
    <row r="46" spans="1:35" ht="15.75">
      <c r="A46" s="2"/>
      <c r="B46" s="29"/>
      <c r="C46" s="23"/>
      <c r="D46" s="2"/>
      <c r="E46" s="3"/>
    </row>
    <row r="47" spans="1:35" ht="15.6">
      <c r="A47" s="2"/>
      <c r="B47" s="29"/>
      <c r="C47" s="23"/>
      <c r="D47" s="2"/>
      <c r="E47" s="3"/>
    </row>
    <row r="48" spans="1:35" ht="15.6">
      <c r="A48" s="2"/>
      <c r="B48" s="29"/>
      <c r="C48" s="23"/>
      <c r="D48" s="2"/>
      <c r="E48" s="3"/>
    </row>
    <row r="49" spans="1:5" ht="15.6">
      <c r="A49" s="2"/>
      <c r="B49" s="29"/>
      <c r="C49" s="105"/>
      <c r="D49" s="2"/>
      <c r="E49" s="3"/>
    </row>
    <row r="50" spans="1:5" ht="15.6">
      <c r="A50" s="2"/>
      <c r="B50" s="29"/>
      <c r="C50" s="23"/>
      <c r="D50" s="2"/>
      <c r="E50" s="2"/>
    </row>
    <row r="51" spans="1:5" ht="15.6">
      <c r="A51" s="2"/>
      <c r="B51" s="29"/>
      <c r="C51" s="23"/>
      <c r="D51" s="2"/>
      <c r="E51" s="2"/>
    </row>
    <row r="52" spans="1:5" ht="15.6">
      <c r="A52" s="2"/>
      <c r="B52" s="29"/>
      <c r="C52" s="23"/>
      <c r="D52" s="2"/>
      <c r="E52" s="2"/>
    </row>
    <row r="53" spans="1:5" ht="15.6">
      <c r="A53" s="2"/>
      <c r="B53" s="29"/>
      <c r="C53" s="23"/>
      <c r="D53" s="2"/>
      <c r="E53" s="2"/>
    </row>
    <row r="54" spans="1:5" ht="15.6">
      <c r="A54" s="2"/>
      <c r="B54" s="29"/>
      <c r="C54" s="23"/>
      <c r="D54" s="2"/>
      <c r="E54" s="2"/>
    </row>
    <row r="55" spans="1:5" ht="15.6">
      <c r="A55" s="2"/>
      <c r="B55" s="29"/>
      <c r="C55" s="23"/>
      <c r="D55" s="2"/>
      <c r="E55" s="2"/>
    </row>
    <row r="56" spans="1:5" ht="15.6">
      <c r="A56" s="2"/>
      <c r="B56" s="29"/>
      <c r="C56" s="23"/>
      <c r="D56" s="2"/>
      <c r="E56" s="2"/>
    </row>
    <row r="57" spans="1:5" ht="15.6">
      <c r="A57" s="2"/>
      <c r="B57" s="29"/>
      <c r="C57" s="23"/>
      <c r="D57" s="2"/>
      <c r="E57" s="2"/>
    </row>
    <row r="58" spans="1:5" ht="15.6">
      <c r="A58" s="2"/>
      <c r="B58" s="29"/>
      <c r="C58" s="23"/>
      <c r="D58" s="2"/>
      <c r="E58" s="2"/>
    </row>
    <row r="59" spans="1:5" ht="15.6">
      <c r="A59" s="2"/>
      <c r="B59" s="29"/>
      <c r="C59" s="23"/>
      <c r="D59" s="2"/>
      <c r="E59" s="2"/>
    </row>
    <row r="60" spans="1:5" ht="15"/>
    <row r="61" spans="1:5" ht="15"/>
  </sheetData>
  <mergeCells count="1">
    <mergeCell ref="B6:D6"/>
  </mergeCells>
  <conditionalFormatting sqref="E8:AI45">
    <cfRule type="cellIs" dxfId="6" priority="1" operator="greaterThan">
      <formula>0</formula>
    </cfRule>
  </conditionalFormatting>
  <dataValidations count="1">
    <dataValidation allowBlank="1" showInputMessage="1" showErrorMessage="1" sqref="A3:A59" xr:uid="{BE132F4C-3EF4-4870-BAE9-7F09E0E758D4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A4EE-94B6-4C4F-854A-320058727431}">
  <sheetPr>
    <tabColor rgb="FF00B050"/>
  </sheetPr>
  <dimension ref="A2:AM61"/>
  <sheetViews>
    <sheetView showGridLines="0" workbookViewId="0">
      <pane xSplit="4" ySplit="7" topLeftCell="AD26" activePane="bottomRight" state="frozen"/>
      <selection pane="bottomRight" activeCell="E23" sqref="E23"/>
      <selection pane="bottomLeft"/>
      <selection pane="topRight"/>
    </sheetView>
  </sheetViews>
  <sheetFormatPr defaultColWidth="9.140625" defaultRowHeight="14.45"/>
  <cols>
    <col min="1" max="1" width="3.28515625" bestFit="1" customWidth="1"/>
    <col min="3" max="3" width="22.7109375" bestFit="1" customWidth="1"/>
    <col min="4" max="4" width="27.140625" customWidth="1"/>
    <col min="5" max="5" width="15" customWidth="1"/>
    <col min="6" max="6" width="17.140625" style="87" customWidth="1"/>
    <col min="7" max="8" width="17.42578125" bestFit="1" customWidth="1"/>
    <col min="9" max="10" width="17.42578125" style="48" bestFit="1" customWidth="1"/>
    <col min="11" max="14" width="17.42578125" bestFit="1" customWidth="1"/>
    <col min="15" max="15" width="18.42578125" bestFit="1" customWidth="1"/>
    <col min="16" max="17" width="18.42578125" style="48" bestFit="1" customWidth="1"/>
    <col min="18" max="22" width="18.42578125" bestFit="1" customWidth="1"/>
    <col min="23" max="24" width="18.42578125" style="48" bestFit="1" customWidth="1"/>
    <col min="25" max="29" width="18.42578125" bestFit="1" customWidth="1"/>
    <col min="30" max="31" width="18.42578125" style="48" bestFit="1" customWidth="1"/>
    <col min="32" max="35" width="18.42578125" bestFit="1" customWidth="1"/>
    <col min="36" max="36" width="16.5703125" customWidth="1"/>
  </cols>
  <sheetData>
    <row r="2" spans="1:39" s="80" customFormat="1" ht="18.75" customHeight="1">
      <c r="D2" s="96" t="s">
        <v>95</v>
      </c>
      <c r="F2" s="91">
        <f>COUNTA($D$8:$D$52)</f>
        <v>38</v>
      </c>
      <c r="G2" s="80">
        <f t="shared" ref="G2:AJ2" si="0">COUNTA($D$8:$D$52)</f>
        <v>38</v>
      </c>
      <c r="H2" s="80">
        <f t="shared" si="0"/>
        <v>38</v>
      </c>
      <c r="I2" s="46">
        <f t="shared" si="0"/>
        <v>38</v>
      </c>
      <c r="J2" s="46">
        <f t="shared" si="0"/>
        <v>38</v>
      </c>
      <c r="K2" s="80">
        <f t="shared" si="0"/>
        <v>38</v>
      </c>
      <c r="L2" s="80">
        <f t="shared" si="0"/>
        <v>38</v>
      </c>
      <c r="M2" s="80">
        <f t="shared" si="0"/>
        <v>38</v>
      </c>
      <c r="N2" s="80">
        <f t="shared" si="0"/>
        <v>38</v>
      </c>
      <c r="O2" s="80">
        <f t="shared" si="0"/>
        <v>38</v>
      </c>
      <c r="P2" s="46">
        <f t="shared" si="0"/>
        <v>38</v>
      </c>
      <c r="Q2" s="46">
        <f t="shared" si="0"/>
        <v>38</v>
      </c>
      <c r="R2" s="80">
        <f t="shared" si="0"/>
        <v>38</v>
      </c>
      <c r="S2" s="80">
        <f t="shared" si="0"/>
        <v>38</v>
      </c>
      <c r="T2" s="80">
        <f t="shared" si="0"/>
        <v>38</v>
      </c>
      <c r="U2" s="80">
        <f t="shared" si="0"/>
        <v>38</v>
      </c>
      <c r="V2" s="80">
        <f t="shared" si="0"/>
        <v>38</v>
      </c>
      <c r="W2" s="46">
        <f t="shared" si="0"/>
        <v>38</v>
      </c>
      <c r="X2" s="46">
        <f t="shared" si="0"/>
        <v>38</v>
      </c>
      <c r="Y2" s="80">
        <f t="shared" si="0"/>
        <v>38</v>
      </c>
      <c r="Z2" s="80">
        <f t="shared" si="0"/>
        <v>38</v>
      </c>
      <c r="AA2" s="80">
        <f t="shared" si="0"/>
        <v>38</v>
      </c>
      <c r="AB2" s="80">
        <f t="shared" si="0"/>
        <v>38</v>
      </c>
      <c r="AC2" s="80">
        <f t="shared" si="0"/>
        <v>38</v>
      </c>
      <c r="AD2" s="46">
        <f t="shared" si="0"/>
        <v>38</v>
      </c>
      <c r="AE2" s="46">
        <f t="shared" si="0"/>
        <v>38</v>
      </c>
      <c r="AF2" s="80">
        <f t="shared" si="0"/>
        <v>38</v>
      </c>
      <c r="AG2" s="80">
        <f t="shared" si="0"/>
        <v>38</v>
      </c>
      <c r="AH2" s="80">
        <f t="shared" si="0"/>
        <v>38</v>
      </c>
      <c r="AI2" s="80">
        <f t="shared" si="0"/>
        <v>38</v>
      </c>
      <c r="AJ2" s="80">
        <f t="shared" si="0"/>
        <v>38</v>
      </c>
    </row>
    <row r="3" spans="1:39" s="80" customFormat="1" ht="12">
      <c r="A3" s="96"/>
      <c r="C3" s="96"/>
      <c r="D3" s="96" t="s">
        <v>96</v>
      </c>
      <c r="E3" s="96"/>
      <c r="F3" s="91">
        <f>SUM(F8:F49)</f>
        <v>0</v>
      </c>
      <c r="G3" s="80">
        <f t="shared" ref="G3:AI3" si="1">SUM(G8:G49)</f>
        <v>0</v>
      </c>
      <c r="H3" s="80">
        <f t="shared" si="1"/>
        <v>0</v>
      </c>
      <c r="I3" s="46">
        <f t="shared" si="1"/>
        <v>0</v>
      </c>
      <c r="J3" s="46">
        <f t="shared" si="1"/>
        <v>0</v>
      </c>
      <c r="K3" s="80">
        <f t="shared" si="1"/>
        <v>0</v>
      </c>
      <c r="L3" s="80">
        <f t="shared" si="1"/>
        <v>0</v>
      </c>
      <c r="M3" s="80">
        <f>SUM(M8:M49)</f>
        <v>0</v>
      </c>
      <c r="N3" s="80">
        <f t="shared" si="1"/>
        <v>0</v>
      </c>
      <c r="O3" s="80">
        <f t="shared" si="1"/>
        <v>0</v>
      </c>
      <c r="P3" s="46">
        <f t="shared" si="1"/>
        <v>0</v>
      </c>
      <c r="Q3" s="46">
        <f t="shared" si="1"/>
        <v>0</v>
      </c>
      <c r="R3" s="80">
        <f>SUM(R8:R49)</f>
        <v>0</v>
      </c>
      <c r="S3" s="80">
        <f t="shared" si="1"/>
        <v>0</v>
      </c>
      <c r="T3" s="80">
        <f t="shared" si="1"/>
        <v>0</v>
      </c>
      <c r="U3" s="80">
        <f t="shared" si="1"/>
        <v>0</v>
      </c>
      <c r="V3" s="80">
        <f t="shared" si="1"/>
        <v>0</v>
      </c>
      <c r="W3" s="46">
        <f>SUM(W8:W49)</f>
        <v>0</v>
      </c>
      <c r="X3" s="46">
        <f t="shared" si="1"/>
        <v>0</v>
      </c>
      <c r="Y3" s="80">
        <f t="shared" si="1"/>
        <v>0</v>
      </c>
      <c r="Z3" s="80">
        <f t="shared" si="1"/>
        <v>0</v>
      </c>
      <c r="AA3" s="80">
        <f t="shared" si="1"/>
        <v>0</v>
      </c>
      <c r="AB3" s="80">
        <f t="shared" si="1"/>
        <v>0</v>
      </c>
      <c r="AC3" s="80">
        <f t="shared" si="1"/>
        <v>0</v>
      </c>
      <c r="AD3" s="46">
        <f>SUM(AD8:AD49)</f>
        <v>0</v>
      </c>
      <c r="AE3" s="46">
        <f t="shared" si="1"/>
        <v>0</v>
      </c>
      <c r="AF3" s="80">
        <f>SUM(AF8:AF49)</f>
        <v>1</v>
      </c>
      <c r="AG3" s="80">
        <f t="shared" si="1"/>
        <v>1</v>
      </c>
      <c r="AH3" s="80">
        <f t="shared" si="1"/>
        <v>1</v>
      </c>
      <c r="AI3" s="80">
        <f t="shared" si="1"/>
        <v>1</v>
      </c>
      <c r="AJ3" s="80">
        <f t="shared" ref="AJ3" si="2">SUM(AJ8:AJ49)</f>
        <v>1</v>
      </c>
    </row>
    <row r="4" spans="1:39" s="80" customFormat="1" ht="12">
      <c r="A4" s="96"/>
      <c r="B4" s="97"/>
      <c r="C4" s="96"/>
      <c r="D4" s="96" t="s">
        <v>97</v>
      </c>
      <c r="E4" s="96"/>
      <c r="F4" s="92">
        <f>(COUNTA($D$8:$D$49)-F$3)/(COUNTA($D$8:$D$49))</f>
        <v>1</v>
      </c>
      <c r="G4" s="81">
        <f>(COUNTA($D$8:$D$49)-G$3)/(COUNTA($D$8:$D$49))</f>
        <v>1</v>
      </c>
      <c r="H4" s="81">
        <f>(COUNTA($D$8:$D$49)-H$3)/(COUNTA($D$8:$D$49))</f>
        <v>1</v>
      </c>
      <c r="I4" s="47">
        <f>(COUNTA($D$8:$D$49)-I$3)/(COUNTA($D$8:$D$49))</f>
        <v>1</v>
      </c>
      <c r="J4" s="47">
        <f>(COUNTA($D$8:$D$49)-J$3)/(COUNTA($D$8:$D$49))</f>
        <v>1</v>
      </c>
      <c r="K4" s="81">
        <f>(COUNTA($D$8:$D$49)-K$3)/(COUNTA($D$8:$D$49))</f>
        <v>1</v>
      </c>
      <c r="L4" s="81">
        <f>(COUNTA($D$8:$D$49)-L$3)/(COUNTA($D$8:$D$49))</f>
        <v>1</v>
      </c>
      <c r="M4" s="81">
        <f>(COUNTA($D$8:$D$49)-M$3)/(COUNTA($D$8:$D$49))</f>
        <v>1</v>
      </c>
      <c r="N4" s="81">
        <f>(COUNTA($D$8:$D$49)-N$3)/(COUNTA($D$8:$D$49))</f>
        <v>1</v>
      </c>
      <c r="O4" s="81">
        <f>(COUNTA($D$8:$D$49)-O$3)/(COUNTA($D$8:$D$49))</f>
        <v>1</v>
      </c>
      <c r="P4" s="47">
        <f>(COUNTA($D$8:$D$49)-P$3)/(COUNTA($D$8:$D$49))</f>
        <v>1</v>
      </c>
      <c r="Q4" s="47">
        <f>(COUNTA($D$8:$D$49)-Q$3)/(COUNTA($D$8:$D$49))</f>
        <v>1</v>
      </c>
      <c r="R4" s="81">
        <f>(COUNTA($D$8:$D$49)-R$3)/(COUNTA($D$8:$D$49))</f>
        <v>1</v>
      </c>
      <c r="S4" s="81">
        <f>(COUNTA($D$8:$D$49)-S$3)/(COUNTA($D$8:$D$49))</f>
        <v>1</v>
      </c>
      <c r="T4" s="81">
        <f>(COUNTA($D$8:$D$49)-T$3)/(COUNTA($D$8:$D$49))</f>
        <v>1</v>
      </c>
      <c r="U4" s="81">
        <f>(COUNTA($D$8:$D$49)-U$3)/(COUNTA($D$8:$D$49))</f>
        <v>1</v>
      </c>
      <c r="V4" s="81">
        <f>(COUNTA($D$8:$D$49)-V$3)/(COUNTA($D$8:$D$49))</f>
        <v>1</v>
      </c>
      <c r="W4" s="47">
        <f>(COUNTA($D$8:$D$49)-W$3)/(COUNTA($D$8:$D$49))</f>
        <v>1</v>
      </c>
      <c r="X4" s="47">
        <f>(COUNTA($D$8:$D$49)-X$3)/(COUNTA($D$8:$D$49))</f>
        <v>1</v>
      </c>
      <c r="Y4" s="81">
        <f>(COUNTA($D$8:$D$49)-Y$3)/(COUNTA($D$8:$D$49))</f>
        <v>1</v>
      </c>
      <c r="Z4" s="81">
        <f>(COUNTA($D$8:$D$49)-Z$3)/(COUNTA($D$8:$D$49))</f>
        <v>1</v>
      </c>
      <c r="AA4" s="81">
        <f>(COUNTA($D$8:$D$49)-AA$3)/(COUNTA($D$8:$D$49))</f>
        <v>1</v>
      </c>
      <c r="AB4" s="81">
        <f>(COUNTA($D$8:$D$49)-AB$3)/(COUNTA($D$8:$D$49))</f>
        <v>1</v>
      </c>
      <c r="AC4" s="81">
        <f>(COUNTA($D$8:$D$49)-AC$3)/(COUNTA($D$8:$D$49))</f>
        <v>1</v>
      </c>
      <c r="AD4" s="47">
        <f>(COUNTA($D$8:$D$49)-AD$3)/(COUNTA($D$8:$D$49))</f>
        <v>1</v>
      </c>
      <c r="AE4" s="47">
        <f>(COUNTA($D$8:$D$49)-AE$3)/(COUNTA($D$8:$D$49))</f>
        <v>1</v>
      </c>
      <c r="AF4" s="81">
        <f>(COUNTA($D$8:$D$49)-AF$3)/(COUNTA($D$8:$D$49))</f>
        <v>0.97368421052631582</v>
      </c>
      <c r="AG4" s="81">
        <f>(COUNTA($D$8:$D$49)-AG$3)/(COUNTA($D$8:$D$49))</f>
        <v>0.97368421052631582</v>
      </c>
      <c r="AH4" s="81">
        <f>(COUNTA($D$8:$D$49)-AH$3)/(COUNTA($D$8:$D$49))</f>
        <v>0.97368421052631582</v>
      </c>
      <c r="AI4" s="81">
        <f>(COUNTA($D$8:$D$49)-AI$3)/(COUNTA($D$8:$D$49))</f>
        <v>0.97368421052631582</v>
      </c>
      <c r="AJ4" s="81">
        <f>(COUNTA($D$8:$D$49)-AJ$3)/(COUNTA($D$8:$D$49))</f>
        <v>0.97368421052631582</v>
      </c>
    </row>
    <row r="5" spans="1:39" s="80" customFormat="1" ht="8.25" customHeight="1">
      <c r="A5" s="96"/>
      <c r="B5" s="97"/>
      <c r="C5" s="96"/>
      <c r="D5" s="96"/>
      <c r="E5" s="96"/>
      <c r="F5" s="92"/>
      <c r="G5" s="81"/>
      <c r="H5" s="81"/>
      <c r="I5" s="47"/>
      <c r="J5" s="47"/>
      <c r="K5" s="81"/>
      <c r="L5" s="81"/>
      <c r="M5" s="81"/>
      <c r="N5" s="81"/>
      <c r="O5" s="81"/>
      <c r="P5" s="47"/>
      <c r="Q5" s="47"/>
      <c r="R5" s="81"/>
      <c r="S5" s="81"/>
      <c r="T5" s="81"/>
      <c r="U5" s="81"/>
      <c r="V5" s="81"/>
      <c r="W5" s="47"/>
      <c r="X5" s="47"/>
      <c r="Y5" s="81"/>
      <c r="Z5" s="81"/>
      <c r="AA5" s="81"/>
      <c r="AB5" s="81"/>
      <c r="AC5" s="81"/>
      <c r="AD5" s="47"/>
      <c r="AE5" s="47"/>
      <c r="AF5" s="81"/>
      <c r="AG5" s="81"/>
      <c r="AH5" s="81"/>
      <c r="AI5" s="81"/>
    </row>
    <row r="6" spans="1:39" s="100" customFormat="1" ht="34.5" customHeight="1">
      <c r="A6" s="98"/>
      <c r="B6" s="246" t="s">
        <v>0</v>
      </c>
      <c r="C6" s="247"/>
      <c r="D6" s="247"/>
      <c r="E6" s="16" t="s">
        <v>98</v>
      </c>
      <c r="F6" s="85">
        <v>46204</v>
      </c>
      <c r="G6" s="95">
        <v>46205</v>
      </c>
      <c r="H6" s="95">
        <v>46206</v>
      </c>
      <c r="I6" s="109">
        <v>46207</v>
      </c>
      <c r="J6" s="109">
        <v>46208</v>
      </c>
      <c r="K6" s="95">
        <v>46209</v>
      </c>
      <c r="L6" s="95">
        <v>46210</v>
      </c>
      <c r="M6" s="95">
        <v>46211</v>
      </c>
      <c r="N6" s="95">
        <v>46212</v>
      </c>
      <c r="O6" s="95">
        <v>46213</v>
      </c>
      <c r="P6" s="109">
        <v>46214</v>
      </c>
      <c r="Q6" s="109">
        <v>46215</v>
      </c>
      <c r="R6" s="95">
        <v>46216</v>
      </c>
      <c r="S6" s="95">
        <v>46217</v>
      </c>
      <c r="T6" s="95">
        <v>46218</v>
      </c>
      <c r="U6" s="95">
        <v>46219</v>
      </c>
      <c r="V6" s="95">
        <v>46220</v>
      </c>
      <c r="W6" s="109">
        <v>46221</v>
      </c>
      <c r="X6" s="109">
        <v>46222</v>
      </c>
      <c r="Y6" s="95">
        <v>46223</v>
      </c>
      <c r="Z6" s="95">
        <v>46224</v>
      </c>
      <c r="AA6" s="95">
        <v>46225</v>
      </c>
      <c r="AB6" s="95">
        <v>46226</v>
      </c>
      <c r="AC6" s="95">
        <v>46227</v>
      </c>
      <c r="AD6" s="109">
        <v>46228</v>
      </c>
      <c r="AE6" s="109">
        <v>46229</v>
      </c>
      <c r="AF6" s="95">
        <v>46230</v>
      </c>
      <c r="AG6" s="95">
        <v>46231</v>
      </c>
      <c r="AH6" s="95">
        <v>46232</v>
      </c>
      <c r="AI6" s="95">
        <v>46233</v>
      </c>
      <c r="AJ6" s="117">
        <v>46234</v>
      </c>
      <c r="AK6" s="99"/>
      <c r="AL6" s="99"/>
      <c r="AM6" s="99"/>
    </row>
    <row r="7" spans="1:39" ht="15.75">
      <c r="A7" s="1"/>
      <c r="B7" s="28" t="s">
        <v>3</v>
      </c>
      <c r="C7" s="24" t="s">
        <v>4</v>
      </c>
      <c r="D7" s="1" t="s">
        <v>5</v>
      </c>
      <c r="E7" s="5" t="s">
        <v>99</v>
      </c>
      <c r="F7" s="225" t="s">
        <v>102</v>
      </c>
      <c r="G7" s="218" t="s">
        <v>103</v>
      </c>
      <c r="H7" s="218" t="s">
        <v>104</v>
      </c>
      <c r="I7" s="216" t="s">
        <v>105</v>
      </c>
      <c r="J7" s="216" t="s">
        <v>106</v>
      </c>
      <c r="K7" s="218" t="s">
        <v>100</v>
      </c>
      <c r="L7" s="218" t="s">
        <v>101</v>
      </c>
      <c r="M7" s="218" t="s">
        <v>102</v>
      </c>
      <c r="N7" s="218" t="s">
        <v>103</v>
      </c>
      <c r="O7" s="218" t="s">
        <v>104</v>
      </c>
      <c r="P7" s="216" t="s">
        <v>105</v>
      </c>
      <c r="Q7" s="216" t="s">
        <v>106</v>
      </c>
      <c r="R7" s="218" t="s">
        <v>100</v>
      </c>
      <c r="S7" s="218" t="s">
        <v>101</v>
      </c>
      <c r="T7" s="218" t="s">
        <v>102</v>
      </c>
      <c r="U7" s="218" t="s">
        <v>103</v>
      </c>
      <c r="V7" s="218" t="s">
        <v>104</v>
      </c>
      <c r="W7" s="216" t="s">
        <v>105</v>
      </c>
      <c r="X7" s="216" t="s">
        <v>106</v>
      </c>
      <c r="Y7" s="218" t="s">
        <v>100</v>
      </c>
      <c r="Z7" s="218" t="s">
        <v>101</v>
      </c>
      <c r="AA7" s="218" t="s">
        <v>102</v>
      </c>
      <c r="AB7" s="218" t="s">
        <v>103</v>
      </c>
      <c r="AC7" s="218" t="s">
        <v>104</v>
      </c>
      <c r="AD7" s="216" t="s">
        <v>105</v>
      </c>
      <c r="AE7" s="216" t="s">
        <v>106</v>
      </c>
      <c r="AF7" s="218" t="s">
        <v>100</v>
      </c>
      <c r="AG7" s="218" t="s">
        <v>101</v>
      </c>
      <c r="AH7" s="218" t="s">
        <v>102</v>
      </c>
      <c r="AI7" s="218" t="s">
        <v>103</v>
      </c>
      <c r="AJ7" s="222" t="s">
        <v>104</v>
      </c>
    </row>
    <row r="8" spans="1:39" ht="15.75">
      <c r="A8" s="2">
        <v>1</v>
      </c>
      <c r="B8" s="101" t="s">
        <v>25</v>
      </c>
      <c r="C8" s="102" t="s">
        <v>26</v>
      </c>
      <c r="D8" s="103" t="s">
        <v>27</v>
      </c>
      <c r="E8" s="212">
        <f t="shared" ref="E8:E45" si="3">SUM(F8:AI8)</f>
        <v>0</v>
      </c>
      <c r="F8" s="226">
        <f>COUNTIFS('2026 Time Off Request'!$A:$A,'July 2026'!$D8,'2026 Time Off Request'!$L:$L,'July 2026'!F$6)</f>
        <v>0</v>
      </c>
      <c r="G8" s="148">
        <f>COUNTIFS('2026 Time Off Request'!$A:$A,'July 2026'!$D8,'2026 Time Off Request'!$L:$L,'July 2026'!G$6)</f>
        <v>0</v>
      </c>
      <c r="H8" s="148">
        <f>COUNTIFS('2026 Time Off Request'!$A:$A,'July 2026'!$D8,'2026 Time Off Request'!$L:$L,'July 2026'!H$6)</f>
        <v>0</v>
      </c>
      <c r="I8" s="147">
        <f>COUNTIFS('2026 Time Off Request'!$A:$A,'July 2026'!$D8,'2026 Time Off Request'!$L:$L,'July 2026'!I$6)</f>
        <v>0</v>
      </c>
      <c r="J8" s="147">
        <f>COUNTIFS('2026 Time Off Request'!$A:$A,'July 2026'!$D8,'2026 Time Off Request'!$L:$L,'July 2026'!J$6)</f>
        <v>0</v>
      </c>
      <c r="K8" s="148">
        <f>COUNTIFS('2026 Time Off Request'!$A:$A,'July 2026'!$D8,'2026 Time Off Request'!$L:$L,'July 2026'!K$6)</f>
        <v>0</v>
      </c>
      <c r="L8" s="148">
        <f>COUNTIFS('2026 Time Off Request'!$A:$A,'July 2026'!$D8,'2026 Time Off Request'!$L:$L,'July 2026'!L$6)</f>
        <v>0</v>
      </c>
      <c r="M8" s="148">
        <f>COUNTIFS('2026 Time Off Request'!$A:$A,'July 2026'!$D8,'2026 Time Off Request'!$L:$L,'July 2026'!M$6)</f>
        <v>0</v>
      </c>
      <c r="N8" s="148">
        <f>COUNTIFS('2026 Time Off Request'!$A:$A,'July 2026'!$D8,'2026 Time Off Request'!$L:$L,'July 2026'!N$6)</f>
        <v>0</v>
      </c>
      <c r="O8" s="148">
        <f>COUNTIFS('2026 Time Off Request'!$A:$A,'July 2026'!$D8,'2026 Time Off Request'!$L:$L,'July 2026'!O$6)</f>
        <v>0</v>
      </c>
      <c r="P8" s="147">
        <f>COUNTIFS('2026 Time Off Request'!$A:$A,'July 2026'!$D8,'2026 Time Off Request'!$L:$L,'July 2026'!P$6)</f>
        <v>0</v>
      </c>
      <c r="Q8" s="147">
        <f>COUNTIFS('2026 Time Off Request'!$A:$A,'July 2026'!$D8,'2026 Time Off Request'!$L:$L,'July 2026'!Q$6)</f>
        <v>0</v>
      </c>
      <c r="R8" s="148">
        <f>COUNTIFS('2026 Time Off Request'!$A:$A,'July 2026'!$D8,'2026 Time Off Request'!$L:$L,'July 2026'!R$6)</f>
        <v>0</v>
      </c>
      <c r="S8" s="148">
        <f>COUNTIFS('2026 Time Off Request'!$A:$A,'July 2026'!$D8,'2026 Time Off Request'!$L:$L,'July 2026'!S$6)</f>
        <v>0</v>
      </c>
      <c r="T8" s="148">
        <f>COUNTIFS('2026 Time Off Request'!$A:$A,'July 2026'!$D8,'2026 Time Off Request'!$L:$L,'July 2026'!T$6)</f>
        <v>0</v>
      </c>
      <c r="U8" s="148">
        <f>COUNTIFS('2026 Time Off Request'!$A:$A,'July 2026'!$D8,'2026 Time Off Request'!$L:$L,'July 2026'!U$6)</f>
        <v>0</v>
      </c>
      <c r="V8" s="148">
        <f>COUNTIFS('2026 Time Off Request'!$A:$A,'July 2026'!$D8,'2026 Time Off Request'!$L:$L,'July 2026'!V$6)</f>
        <v>0</v>
      </c>
      <c r="W8" s="147">
        <f>COUNTIFS('2026 Time Off Request'!$A:$A,'July 2026'!$D8,'2026 Time Off Request'!$L:$L,'July 2026'!W$6)</f>
        <v>0</v>
      </c>
      <c r="X8" s="147">
        <f>COUNTIFS('2026 Time Off Request'!$A:$A,'July 2026'!$D8,'2026 Time Off Request'!$L:$L,'July 2026'!X$6)</f>
        <v>0</v>
      </c>
      <c r="Y8" s="148">
        <f>COUNTIFS('2026 Time Off Request'!$A:$A,'July 2026'!$D8,'2026 Time Off Request'!$L:$L,'July 2026'!Y$6)</f>
        <v>0</v>
      </c>
      <c r="Z8" s="148">
        <f>COUNTIFS('2026 Time Off Request'!$A:$A,'July 2026'!$D8,'2026 Time Off Request'!$L:$L,'July 2026'!Z$6)</f>
        <v>0</v>
      </c>
      <c r="AA8" s="148">
        <f>COUNTIFS('2026 Time Off Request'!$A:$A,'July 2026'!$D8,'2026 Time Off Request'!$L:$L,'July 2026'!AA$6)</f>
        <v>0</v>
      </c>
      <c r="AB8" s="148">
        <f>COUNTIFS('2026 Time Off Request'!$A:$A,'July 2026'!$D8,'2026 Time Off Request'!$L:$L,'July 2026'!AB$6)</f>
        <v>0</v>
      </c>
      <c r="AC8" s="148">
        <f>COUNTIFS('2026 Time Off Request'!$A:$A,'July 2026'!$D8,'2026 Time Off Request'!$L:$L,'July 2026'!AC$6)</f>
        <v>0</v>
      </c>
      <c r="AD8" s="147">
        <f>COUNTIFS('2026 Time Off Request'!$A:$A,'July 2026'!$D8,'2026 Time Off Request'!$L:$L,'July 2026'!AD$6)</f>
        <v>0</v>
      </c>
      <c r="AE8" s="147">
        <f>COUNTIFS('2026 Time Off Request'!$A:$A,'July 2026'!$D8,'2026 Time Off Request'!$L:$L,'July 2026'!AE$6)</f>
        <v>0</v>
      </c>
      <c r="AF8" s="148">
        <f>COUNTIFS('2026 Time Off Request'!$A:$A,'July 2026'!$D8,'2026 Time Off Request'!$L:$L,'July 2026'!AF$6)</f>
        <v>0</v>
      </c>
      <c r="AG8" s="148">
        <f>COUNTIFS('2026 Time Off Request'!$A:$A,'July 2026'!$D8,'2026 Time Off Request'!$L:$L,'July 2026'!AG$6)</f>
        <v>0</v>
      </c>
      <c r="AH8" s="148">
        <f>COUNTIFS('2026 Time Off Request'!$A:$A,'July 2026'!$D8,'2026 Time Off Request'!$L:$L,'July 2026'!AH$6)</f>
        <v>0</v>
      </c>
      <c r="AI8" s="148">
        <f>COUNTIFS('2026 Time Off Request'!$A:$A,'July 2026'!$D8,'2026 Time Off Request'!$L:$L,'July 2026'!AI$6)</f>
        <v>0</v>
      </c>
      <c r="AJ8" s="148">
        <f>COUNTIFS('2026 Time Off Request'!$A:$A,'July 2026'!$D8,'2026 Time Off Request'!$L:$L,'July 2026'!AJ$6)</f>
        <v>0</v>
      </c>
    </row>
    <row r="9" spans="1:39" ht="15.75">
      <c r="A9" s="2">
        <v>2</v>
      </c>
      <c r="B9" s="104" t="s">
        <v>25</v>
      </c>
      <c r="C9" s="23" t="s">
        <v>28</v>
      </c>
      <c r="D9" s="2" t="s">
        <v>29</v>
      </c>
      <c r="E9" s="212">
        <f t="shared" si="3"/>
        <v>0</v>
      </c>
      <c r="F9" s="226">
        <f>COUNTIFS('2026 Time Off Request'!$A:$A,'July 2026'!$D9,'2026 Time Off Request'!$L:$L,'July 2026'!F$6)</f>
        <v>0</v>
      </c>
      <c r="G9" s="148">
        <f>COUNTIFS('2026 Time Off Request'!$A:$A,'July 2026'!$D9,'2026 Time Off Request'!$L:$L,'July 2026'!G$6)</f>
        <v>0</v>
      </c>
      <c r="H9" s="148">
        <f>COUNTIFS('2026 Time Off Request'!$A:$A,'July 2026'!$D9,'2026 Time Off Request'!$L:$L,'July 2026'!H$6)</f>
        <v>0</v>
      </c>
      <c r="I9" s="147">
        <f>COUNTIFS('2026 Time Off Request'!$A:$A,'July 2026'!$D9,'2026 Time Off Request'!$L:$L,'July 2026'!I$6)</f>
        <v>0</v>
      </c>
      <c r="J9" s="147">
        <f>COUNTIFS('2026 Time Off Request'!$A:$A,'July 2026'!$D9,'2026 Time Off Request'!$L:$L,'July 2026'!J$6)</f>
        <v>0</v>
      </c>
      <c r="K9" s="148">
        <f>COUNTIFS('2026 Time Off Request'!$A:$A,'July 2026'!$D9,'2026 Time Off Request'!$L:$L,'July 2026'!K$6)</f>
        <v>0</v>
      </c>
      <c r="L9" s="148">
        <f>COUNTIFS('2026 Time Off Request'!$A:$A,'July 2026'!$D9,'2026 Time Off Request'!$L:$L,'July 2026'!L$6)</f>
        <v>0</v>
      </c>
      <c r="M9" s="148">
        <f>COUNTIFS('2026 Time Off Request'!$A:$A,'July 2026'!$D9,'2026 Time Off Request'!$L:$L,'July 2026'!M$6)</f>
        <v>0</v>
      </c>
      <c r="N9" s="148">
        <f>COUNTIFS('2026 Time Off Request'!$A:$A,'July 2026'!$D9,'2026 Time Off Request'!$L:$L,'July 2026'!N$6)</f>
        <v>0</v>
      </c>
      <c r="O9" s="148">
        <f>COUNTIFS('2026 Time Off Request'!$A:$A,'July 2026'!$D9,'2026 Time Off Request'!$L:$L,'July 2026'!O$6)</f>
        <v>0</v>
      </c>
      <c r="P9" s="147">
        <f>COUNTIFS('2026 Time Off Request'!$A:$A,'July 2026'!$D9,'2026 Time Off Request'!$L:$L,'July 2026'!P$6)</f>
        <v>0</v>
      </c>
      <c r="Q9" s="147">
        <f>COUNTIFS('2026 Time Off Request'!$A:$A,'July 2026'!$D9,'2026 Time Off Request'!$L:$L,'July 2026'!Q$6)</f>
        <v>0</v>
      </c>
      <c r="R9" s="148">
        <f>COUNTIFS('2026 Time Off Request'!$A:$A,'July 2026'!$D9,'2026 Time Off Request'!$L:$L,'July 2026'!R$6)</f>
        <v>0</v>
      </c>
      <c r="S9" s="148">
        <f>COUNTIFS('2026 Time Off Request'!$A:$A,'July 2026'!$D9,'2026 Time Off Request'!$L:$L,'July 2026'!S$6)</f>
        <v>0</v>
      </c>
      <c r="T9" s="148">
        <f>COUNTIFS('2026 Time Off Request'!$A:$A,'July 2026'!$D9,'2026 Time Off Request'!$L:$L,'July 2026'!T$6)</f>
        <v>0</v>
      </c>
      <c r="U9" s="148">
        <f>COUNTIFS('2026 Time Off Request'!$A:$A,'July 2026'!$D9,'2026 Time Off Request'!$L:$L,'July 2026'!U$6)</f>
        <v>0</v>
      </c>
      <c r="V9" s="148">
        <f>COUNTIFS('2026 Time Off Request'!$A:$A,'July 2026'!$D9,'2026 Time Off Request'!$L:$L,'July 2026'!V$6)</f>
        <v>0</v>
      </c>
      <c r="W9" s="147">
        <f>COUNTIFS('2026 Time Off Request'!$A:$A,'July 2026'!$D9,'2026 Time Off Request'!$L:$L,'July 2026'!W$6)</f>
        <v>0</v>
      </c>
      <c r="X9" s="147">
        <f>COUNTIFS('2026 Time Off Request'!$A:$A,'July 2026'!$D9,'2026 Time Off Request'!$L:$L,'July 2026'!X$6)</f>
        <v>0</v>
      </c>
      <c r="Y9" s="148">
        <f>COUNTIFS('2026 Time Off Request'!$A:$A,'July 2026'!$D9,'2026 Time Off Request'!$L:$L,'July 2026'!Y$6)</f>
        <v>0</v>
      </c>
      <c r="Z9" s="148">
        <f>COUNTIFS('2026 Time Off Request'!$A:$A,'July 2026'!$D9,'2026 Time Off Request'!$L:$L,'July 2026'!Z$6)</f>
        <v>0</v>
      </c>
      <c r="AA9" s="148">
        <f>COUNTIFS('2026 Time Off Request'!$A:$A,'July 2026'!$D9,'2026 Time Off Request'!$L:$L,'July 2026'!AA$6)</f>
        <v>0</v>
      </c>
      <c r="AB9" s="148">
        <f>COUNTIFS('2026 Time Off Request'!$A:$A,'July 2026'!$D9,'2026 Time Off Request'!$L:$L,'July 2026'!AB$6)</f>
        <v>0</v>
      </c>
      <c r="AC9" s="148">
        <f>COUNTIFS('2026 Time Off Request'!$A:$A,'July 2026'!$D9,'2026 Time Off Request'!$L:$L,'July 2026'!AC$6)</f>
        <v>0</v>
      </c>
      <c r="AD9" s="147">
        <f>COUNTIFS('2026 Time Off Request'!$A:$A,'July 2026'!$D9,'2026 Time Off Request'!$L:$L,'July 2026'!AD$6)</f>
        <v>0</v>
      </c>
      <c r="AE9" s="147">
        <f>COUNTIFS('2026 Time Off Request'!$A:$A,'July 2026'!$D9,'2026 Time Off Request'!$L:$L,'July 2026'!AE$6)</f>
        <v>0</v>
      </c>
      <c r="AF9" s="148">
        <f>COUNTIFS('2026 Time Off Request'!$A:$A,'July 2026'!$D9,'2026 Time Off Request'!$L:$L,'July 2026'!AF$6)</f>
        <v>0</v>
      </c>
      <c r="AG9" s="148">
        <f>COUNTIFS('2026 Time Off Request'!$A:$A,'July 2026'!$D9,'2026 Time Off Request'!$L:$L,'July 2026'!AG$6)</f>
        <v>0</v>
      </c>
      <c r="AH9" s="148">
        <f>COUNTIFS('2026 Time Off Request'!$A:$A,'July 2026'!$D9,'2026 Time Off Request'!$L:$L,'July 2026'!AH$6)</f>
        <v>0</v>
      </c>
      <c r="AI9" s="148">
        <f>COUNTIFS('2026 Time Off Request'!$A:$A,'July 2026'!$D9,'2026 Time Off Request'!$L:$L,'July 2026'!AI$6)</f>
        <v>0</v>
      </c>
      <c r="AJ9" s="148">
        <f>COUNTIFS('2026 Time Off Request'!$A:$A,'July 2026'!$D9,'2026 Time Off Request'!$L:$L,'July 2026'!AJ$6)</f>
        <v>0</v>
      </c>
    </row>
    <row r="10" spans="1:39" ht="15.75">
      <c r="A10" s="2">
        <v>3</v>
      </c>
      <c r="B10" s="104" t="s">
        <v>25</v>
      </c>
      <c r="C10" s="23" t="s">
        <v>30</v>
      </c>
      <c r="D10" s="2" t="s">
        <v>31</v>
      </c>
      <c r="E10" s="212">
        <f t="shared" si="3"/>
        <v>0</v>
      </c>
      <c r="F10" s="226">
        <f>COUNTIFS('2026 Time Off Request'!$A:$A,'July 2026'!$D10,'2026 Time Off Request'!$L:$L,'July 2026'!F$6)</f>
        <v>0</v>
      </c>
      <c r="G10" s="148">
        <f>COUNTIFS('2026 Time Off Request'!$A:$A,'July 2026'!$D10,'2026 Time Off Request'!$L:$L,'July 2026'!G$6)</f>
        <v>0</v>
      </c>
      <c r="H10" s="148">
        <f>COUNTIFS('2026 Time Off Request'!$A:$A,'July 2026'!$D10,'2026 Time Off Request'!$L:$L,'July 2026'!H$6)</f>
        <v>0</v>
      </c>
      <c r="I10" s="147">
        <f>COUNTIFS('2026 Time Off Request'!$A:$A,'July 2026'!$D10,'2026 Time Off Request'!$L:$L,'July 2026'!I$6)</f>
        <v>0</v>
      </c>
      <c r="J10" s="147">
        <f>COUNTIFS('2026 Time Off Request'!$A:$A,'July 2026'!$D10,'2026 Time Off Request'!$L:$L,'July 2026'!J$6)</f>
        <v>0</v>
      </c>
      <c r="K10" s="148">
        <f>COUNTIFS('2026 Time Off Request'!$A:$A,'July 2026'!$D10,'2026 Time Off Request'!$L:$L,'July 2026'!K$6)</f>
        <v>0</v>
      </c>
      <c r="L10" s="148">
        <f>COUNTIFS('2026 Time Off Request'!$A:$A,'July 2026'!$D10,'2026 Time Off Request'!$L:$L,'July 2026'!L$6)</f>
        <v>0</v>
      </c>
      <c r="M10" s="148">
        <f>COUNTIFS('2026 Time Off Request'!$A:$A,'July 2026'!$D10,'2026 Time Off Request'!$L:$L,'July 2026'!M$6)</f>
        <v>0</v>
      </c>
      <c r="N10" s="148">
        <f>COUNTIFS('2026 Time Off Request'!$A:$A,'July 2026'!$D10,'2026 Time Off Request'!$L:$L,'July 2026'!N$6)</f>
        <v>0</v>
      </c>
      <c r="O10" s="148">
        <f>COUNTIFS('2026 Time Off Request'!$A:$A,'July 2026'!$D10,'2026 Time Off Request'!$L:$L,'July 2026'!O$6)</f>
        <v>0</v>
      </c>
      <c r="P10" s="147">
        <f>COUNTIFS('2026 Time Off Request'!$A:$A,'July 2026'!$D10,'2026 Time Off Request'!$L:$L,'July 2026'!P$6)</f>
        <v>0</v>
      </c>
      <c r="Q10" s="147">
        <f>COUNTIFS('2026 Time Off Request'!$A:$A,'July 2026'!$D10,'2026 Time Off Request'!$L:$L,'July 2026'!Q$6)</f>
        <v>0</v>
      </c>
      <c r="R10" s="148">
        <f>COUNTIFS('2026 Time Off Request'!$A:$A,'July 2026'!$D10,'2026 Time Off Request'!$L:$L,'July 2026'!R$6)</f>
        <v>0</v>
      </c>
      <c r="S10" s="148">
        <f>COUNTIFS('2026 Time Off Request'!$A:$A,'July 2026'!$D10,'2026 Time Off Request'!$L:$L,'July 2026'!S$6)</f>
        <v>0</v>
      </c>
      <c r="T10" s="148">
        <f>COUNTIFS('2026 Time Off Request'!$A:$A,'July 2026'!$D10,'2026 Time Off Request'!$L:$L,'July 2026'!T$6)</f>
        <v>0</v>
      </c>
      <c r="U10" s="148">
        <f>COUNTIFS('2026 Time Off Request'!$A:$A,'July 2026'!$D10,'2026 Time Off Request'!$L:$L,'July 2026'!U$6)</f>
        <v>0</v>
      </c>
      <c r="V10" s="148">
        <f>COUNTIFS('2026 Time Off Request'!$A:$A,'July 2026'!$D10,'2026 Time Off Request'!$L:$L,'July 2026'!V$6)</f>
        <v>0</v>
      </c>
      <c r="W10" s="147">
        <f>COUNTIFS('2026 Time Off Request'!$A:$A,'July 2026'!$D10,'2026 Time Off Request'!$L:$L,'July 2026'!W$6)</f>
        <v>0</v>
      </c>
      <c r="X10" s="147">
        <f>COUNTIFS('2026 Time Off Request'!$A:$A,'July 2026'!$D10,'2026 Time Off Request'!$L:$L,'July 2026'!X$6)</f>
        <v>0</v>
      </c>
      <c r="Y10" s="148">
        <f>COUNTIFS('2026 Time Off Request'!$A:$A,'July 2026'!$D10,'2026 Time Off Request'!$L:$L,'July 2026'!Y$6)</f>
        <v>0</v>
      </c>
      <c r="Z10" s="148">
        <f>COUNTIFS('2026 Time Off Request'!$A:$A,'July 2026'!$D10,'2026 Time Off Request'!$L:$L,'July 2026'!Z$6)</f>
        <v>0</v>
      </c>
      <c r="AA10" s="148">
        <f>COUNTIFS('2026 Time Off Request'!$A:$A,'July 2026'!$D10,'2026 Time Off Request'!$L:$L,'July 2026'!AA$6)</f>
        <v>0</v>
      </c>
      <c r="AB10" s="148">
        <f>COUNTIFS('2026 Time Off Request'!$A:$A,'July 2026'!$D10,'2026 Time Off Request'!$L:$L,'July 2026'!AB$6)</f>
        <v>0</v>
      </c>
      <c r="AC10" s="148">
        <f>COUNTIFS('2026 Time Off Request'!$A:$A,'July 2026'!$D10,'2026 Time Off Request'!$L:$L,'July 2026'!AC$6)</f>
        <v>0</v>
      </c>
      <c r="AD10" s="147">
        <f>COUNTIFS('2026 Time Off Request'!$A:$A,'July 2026'!$D10,'2026 Time Off Request'!$L:$L,'July 2026'!AD$6)</f>
        <v>0</v>
      </c>
      <c r="AE10" s="147">
        <f>COUNTIFS('2026 Time Off Request'!$A:$A,'July 2026'!$D10,'2026 Time Off Request'!$L:$L,'July 2026'!AE$6)</f>
        <v>0</v>
      </c>
      <c r="AF10" s="148">
        <f>COUNTIFS('2026 Time Off Request'!$A:$A,'July 2026'!$D10,'2026 Time Off Request'!$L:$L,'July 2026'!AF$6)</f>
        <v>0</v>
      </c>
      <c r="AG10" s="148">
        <f>COUNTIFS('2026 Time Off Request'!$A:$A,'July 2026'!$D10,'2026 Time Off Request'!$L:$L,'July 2026'!AG$6)</f>
        <v>0</v>
      </c>
      <c r="AH10" s="148">
        <f>COUNTIFS('2026 Time Off Request'!$A:$A,'July 2026'!$D10,'2026 Time Off Request'!$L:$L,'July 2026'!AH$6)</f>
        <v>0</v>
      </c>
      <c r="AI10" s="148">
        <f>COUNTIFS('2026 Time Off Request'!$A:$A,'July 2026'!$D10,'2026 Time Off Request'!$L:$L,'July 2026'!AI$6)</f>
        <v>0</v>
      </c>
      <c r="AJ10" s="148">
        <f>COUNTIFS('2026 Time Off Request'!$A:$A,'July 2026'!$D10,'2026 Time Off Request'!$L:$L,'July 2026'!AJ$6)</f>
        <v>0</v>
      </c>
    </row>
    <row r="11" spans="1:39" ht="15.75">
      <c r="A11" s="2">
        <v>4</v>
      </c>
      <c r="B11" s="104" t="s">
        <v>25</v>
      </c>
      <c r="C11" s="23" t="s">
        <v>32</v>
      </c>
      <c r="D11" s="2" t="s">
        <v>33</v>
      </c>
      <c r="E11" s="212">
        <f t="shared" si="3"/>
        <v>0</v>
      </c>
      <c r="F11" s="226">
        <f>COUNTIFS('2026 Time Off Request'!$A:$A,'July 2026'!$D11,'2026 Time Off Request'!$L:$L,'July 2026'!F$6)</f>
        <v>0</v>
      </c>
      <c r="G11" s="148">
        <f>COUNTIFS('2026 Time Off Request'!$A:$A,'July 2026'!$D11,'2026 Time Off Request'!$L:$L,'July 2026'!G$6)</f>
        <v>0</v>
      </c>
      <c r="H11" s="148">
        <f>COUNTIFS('2026 Time Off Request'!$A:$A,'July 2026'!$D11,'2026 Time Off Request'!$L:$L,'July 2026'!H$6)</f>
        <v>0</v>
      </c>
      <c r="I11" s="147">
        <f>COUNTIFS('2026 Time Off Request'!$A:$A,'July 2026'!$D11,'2026 Time Off Request'!$L:$L,'July 2026'!I$6)</f>
        <v>0</v>
      </c>
      <c r="J11" s="147">
        <f>COUNTIFS('2026 Time Off Request'!$A:$A,'July 2026'!$D11,'2026 Time Off Request'!$L:$L,'July 2026'!J$6)</f>
        <v>0</v>
      </c>
      <c r="K11" s="148">
        <f>COUNTIFS('2026 Time Off Request'!$A:$A,'July 2026'!$D11,'2026 Time Off Request'!$L:$L,'July 2026'!K$6)</f>
        <v>0</v>
      </c>
      <c r="L11" s="148">
        <f>COUNTIFS('2026 Time Off Request'!$A:$A,'July 2026'!$D11,'2026 Time Off Request'!$L:$L,'July 2026'!L$6)</f>
        <v>0</v>
      </c>
      <c r="M11" s="148">
        <f>COUNTIFS('2026 Time Off Request'!$A:$A,'July 2026'!$D11,'2026 Time Off Request'!$L:$L,'July 2026'!M$6)</f>
        <v>0</v>
      </c>
      <c r="N11" s="148">
        <f>COUNTIFS('2026 Time Off Request'!$A:$A,'July 2026'!$D11,'2026 Time Off Request'!$L:$L,'July 2026'!N$6)</f>
        <v>0</v>
      </c>
      <c r="O11" s="148">
        <f>COUNTIFS('2026 Time Off Request'!$A:$A,'July 2026'!$D11,'2026 Time Off Request'!$L:$L,'July 2026'!O$6)</f>
        <v>0</v>
      </c>
      <c r="P11" s="147">
        <f>COUNTIFS('2026 Time Off Request'!$A:$A,'July 2026'!$D11,'2026 Time Off Request'!$L:$L,'July 2026'!P$6)</f>
        <v>0</v>
      </c>
      <c r="Q11" s="147">
        <f>COUNTIFS('2026 Time Off Request'!$A:$A,'July 2026'!$D11,'2026 Time Off Request'!$L:$L,'July 2026'!Q$6)</f>
        <v>0</v>
      </c>
      <c r="R11" s="148">
        <f>COUNTIFS('2026 Time Off Request'!$A:$A,'July 2026'!$D11,'2026 Time Off Request'!$L:$L,'July 2026'!R$6)</f>
        <v>0</v>
      </c>
      <c r="S11" s="148">
        <f>COUNTIFS('2026 Time Off Request'!$A:$A,'July 2026'!$D11,'2026 Time Off Request'!$L:$L,'July 2026'!S$6)</f>
        <v>0</v>
      </c>
      <c r="T11" s="148">
        <f>COUNTIFS('2026 Time Off Request'!$A:$A,'July 2026'!$D11,'2026 Time Off Request'!$L:$L,'July 2026'!T$6)</f>
        <v>0</v>
      </c>
      <c r="U11" s="148">
        <f>COUNTIFS('2026 Time Off Request'!$A:$A,'July 2026'!$D11,'2026 Time Off Request'!$L:$L,'July 2026'!U$6)</f>
        <v>0</v>
      </c>
      <c r="V11" s="148">
        <f>COUNTIFS('2026 Time Off Request'!$A:$A,'July 2026'!$D11,'2026 Time Off Request'!$L:$L,'July 2026'!V$6)</f>
        <v>0</v>
      </c>
      <c r="W11" s="147">
        <f>COUNTIFS('2026 Time Off Request'!$A:$A,'July 2026'!$D11,'2026 Time Off Request'!$L:$L,'July 2026'!W$6)</f>
        <v>0</v>
      </c>
      <c r="X11" s="147">
        <f>COUNTIFS('2026 Time Off Request'!$A:$A,'July 2026'!$D11,'2026 Time Off Request'!$L:$L,'July 2026'!X$6)</f>
        <v>0</v>
      </c>
      <c r="Y11" s="148">
        <f>COUNTIFS('2026 Time Off Request'!$A:$A,'July 2026'!$D11,'2026 Time Off Request'!$L:$L,'July 2026'!Y$6)</f>
        <v>0</v>
      </c>
      <c r="Z11" s="148">
        <f>COUNTIFS('2026 Time Off Request'!$A:$A,'July 2026'!$D11,'2026 Time Off Request'!$L:$L,'July 2026'!Z$6)</f>
        <v>0</v>
      </c>
      <c r="AA11" s="148">
        <f>COUNTIFS('2026 Time Off Request'!$A:$A,'July 2026'!$D11,'2026 Time Off Request'!$L:$L,'July 2026'!AA$6)</f>
        <v>0</v>
      </c>
      <c r="AB11" s="148">
        <f>COUNTIFS('2026 Time Off Request'!$A:$A,'July 2026'!$D11,'2026 Time Off Request'!$L:$L,'July 2026'!AB$6)</f>
        <v>0</v>
      </c>
      <c r="AC11" s="148">
        <f>COUNTIFS('2026 Time Off Request'!$A:$A,'July 2026'!$D11,'2026 Time Off Request'!$L:$L,'July 2026'!AC$6)</f>
        <v>0</v>
      </c>
      <c r="AD11" s="147">
        <f>COUNTIFS('2026 Time Off Request'!$A:$A,'July 2026'!$D11,'2026 Time Off Request'!$L:$L,'July 2026'!AD$6)</f>
        <v>0</v>
      </c>
      <c r="AE11" s="147">
        <f>COUNTIFS('2026 Time Off Request'!$A:$A,'July 2026'!$D11,'2026 Time Off Request'!$L:$L,'July 2026'!AE$6)</f>
        <v>0</v>
      </c>
      <c r="AF11" s="148">
        <f>COUNTIFS('2026 Time Off Request'!$A:$A,'July 2026'!$D11,'2026 Time Off Request'!$L:$L,'July 2026'!AF$6)</f>
        <v>0</v>
      </c>
      <c r="AG11" s="148">
        <f>COUNTIFS('2026 Time Off Request'!$A:$A,'July 2026'!$D11,'2026 Time Off Request'!$L:$L,'July 2026'!AG$6)</f>
        <v>0</v>
      </c>
      <c r="AH11" s="148">
        <f>COUNTIFS('2026 Time Off Request'!$A:$A,'July 2026'!$D11,'2026 Time Off Request'!$L:$L,'July 2026'!AH$6)</f>
        <v>0</v>
      </c>
      <c r="AI11" s="148">
        <f>COUNTIFS('2026 Time Off Request'!$A:$A,'July 2026'!$D11,'2026 Time Off Request'!$L:$L,'July 2026'!AI$6)</f>
        <v>0</v>
      </c>
      <c r="AJ11" s="148">
        <f>COUNTIFS('2026 Time Off Request'!$A:$A,'July 2026'!$D11,'2026 Time Off Request'!$L:$L,'July 2026'!AJ$6)</f>
        <v>0</v>
      </c>
    </row>
    <row r="12" spans="1:39" ht="15.75">
      <c r="A12" s="2">
        <v>5</v>
      </c>
      <c r="B12" s="104" t="s">
        <v>25</v>
      </c>
      <c r="C12" s="23" t="s">
        <v>34</v>
      </c>
      <c r="D12" s="2" t="s">
        <v>35</v>
      </c>
      <c r="E12" s="212">
        <f t="shared" si="3"/>
        <v>0</v>
      </c>
      <c r="F12" s="226">
        <f>COUNTIFS('2026 Time Off Request'!$A:$A,'July 2026'!$D12,'2026 Time Off Request'!$L:$L,'July 2026'!F$6)</f>
        <v>0</v>
      </c>
      <c r="G12" s="148">
        <f>COUNTIFS('2026 Time Off Request'!$A:$A,'July 2026'!$D12,'2026 Time Off Request'!$L:$L,'July 2026'!G$6)</f>
        <v>0</v>
      </c>
      <c r="H12" s="148">
        <f>COUNTIFS('2026 Time Off Request'!$A:$A,'July 2026'!$D12,'2026 Time Off Request'!$L:$L,'July 2026'!H$6)</f>
        <v>0</v>
      </c>
      <c r="I12" s="147">
        <f>COUNTIFS('2026 Time Off Request'!$A:$A,'July 2026'!$D12,'2026 Time Off Request'!$L:$L,'July 2026'!I$6)</f>
        <v>0</v>
      </c>
      <c r="J12" s="147">
        <f>COUNTIFS('2026 Time Off Request'!$A:$A,'July 2026'!$D12,'2026 Time Off Request'!$L:$L,'July 2026'!J$6)</f>
        <v>0</v>
      </c>
      <c r="K12" s="148">
        <f>COUNTIFS('2026 Time Off Request'!$A:$A,'July 2026'!$D12,'2026 Time Off Request'!$L:$L,'July 2026'!K$6)</f>
        <v>0</v>
      </c>
      <c r="L12" s="148">
        <f>COUNTIFS('2026 Time Off Request'!$A:$A,'July 2026'!$D12,'2026 Time Off Request'!$L:$L,'July 2026'!L$6)</f>
        <v>0</v>
      </c>
      <c r="M12" s="148">
        <f>COUNTIFS('2026 Time Off Request'!$A:$A,'July 2026'!$D12,'2026 Time Off Request'!$L:$L,'July 2026'!M$6)</f>
        <v>0</v>
      </c>
      <c r="N12" s="148">
        <f>COUNTIFS('2026 Time Off Request'!$A:$A,'July 2026'!$D12,'2026 Time Off Request'!$L:$L,'July 2026'!N$6)</f>
        <v>0</v>
      </c>
      <c r="O12" s="148">
        <f>COUNTIFS('2026 Time Off Request'!$A:$A,'July 2026'!$D12,'2026 Time Off Request'!$L:$L,'July 2026'!O$6)</f>
        <v>0</v>
      </c>
      <c r="P12" s="147">
        <f>COUNTIFS('2026 Time Off Request'!$A:$A,'July 2026'!$D12,'2026 Time Off Request'!$L:$L,'July 2026'!P$6)</f>
        <v>0</v>
      </c>
      <c r="Q12" s="147">
        <f>COUNTIFS('2026 Time Off Request'!$A:$A,'July 2026'!$D12,'2026 Time Off Request'!$L:$L,'July 2026'!Q$6)</f>
        <v>0</v>
      </c>
      <c r="R12" s="148">
        <f>COUNTIFS('2026 Time Off Request'!$A:$A,'July 2026'!$D12,'2026 Time Off Request'!$L:$L,'July 2026'!R$6)</f>
        <v>0</v>
      </c>
      <c r="S12" s="148">
        <f>COUNTIFS('2026 Time Off Request'!$A:$A,'July 2026'!$D12,'2026 Time Off Request'!$L:$L,'July 2026'!S$6)</f>
        <v>0</v>
      </c>
      <c r="T12" s="148">
        <f>COUNTIFS('2026 Time Off Request'!$A:$A,'July 2026'!$D12,'2026 Time Off Request'!$L:$L,'July 2026'!T$6)</f>
        <v>0</v>
      </c>
      <c r="U12" s="148">
        <f>COUNTIFS('2026 Time Off Request'!$A:$A,'July 2026'!$D12,'2026 Time Off Request'!$L:$L,'July 2026'!U$6)</f>
        <v>0</v>
      </c>
      <c r="V12" s="148">
        <f>COUNTIFS('2026 Time Off Request'!$A:$A,'July 2026'!$D12,'2026 Time Off Request'!$L:$L,'July 2026'!V$6)</f>
        <v>0</v>
      </c>
      <c r="W12" s="147">
        <f>COUNTIFS('2026 Time Off Request'!$A:$A,'July 2026'!$D12,'2026 Time Off Request'!$L:$L,'July 2026'!W$6)</f>
        <v>0</v>
      </c>
      <c r="X12" s="147">
        <f>COUNTIFS('2026 Time Off Request'!$A:$A,'July 2026'!$D12,'2026 Time Off Request'!$L:$L,'July 2026'!X$6)</f>
        <v>0</v>
      </c>
      <c r="Y12" s="148">
        <f>COUNTIFS('2026 Time Off Request'!$A:$A,'July 2026'!$D12,'2026 Time Off Request'!$L:$L,'July 2026'!Y$6)</f>
        <v>0</v>
      </c>
      <c r="Z12" s="148">
        <f>COUNTIFS('2026 Time Off Request'!$A:$A,'July 2026'!$D12,'2026 Time Off Request'!$L:$L,'July 2026'!Z$6)</f>
        <v>0</v>
      </c>
      <c r="AA12" s="148">
        <f>COUNTIFS('2026 Time Off Request'!$A:$A,'July 2026'!$D12,'2026 Time Off Request'!$L:$L,'July 2026'!AA$6)</f>
        <v>0</v>
      </c>
      <c r="AB12" s="148">
        <f>COUNTIFS('2026 Time Off Request'!$A:$A,'July 2026'!$D12,'2026 Time Off Request'!$L:$L,'July 2026'!AB$6)</f>
        <v>0</v>
      </c>
      <c r="AC12" s="148">
        <f>COUNTIFS('2026 Time Off Request'!$A:$A,'July 2026'!$D12,'2026 Time Off Request'!$L:$L,'July 2026'!AC$6)</f>
        <v>0</v>
      </c>
      <c r="AD12" s="147">
        <f>COUNTIFS('2026 Time Off Request'!$A:$A,'July 2026'!$D12,'2026 Time Off Request'!$L:$L,'July 2026'!AD$6)</f>
        <v>0</v>
      </c>
      <c r="AE12" s="147">
        <f>COUNTIFS('2026 Time Off Request'!$A:$A,'July 2026'!$D12,'2026 Time Off Request'!$L:$L,'July 2026'!AE$6)</f>
        <v>0</v>
      </c>
      <c r="AF12" s="148">
        <f>COUNTIFS('2026 Time Off Request'!$A:$A,'July 2026'!$D12,'2026 Time Off Request'!$L:$L,'July 2026'!AF$6)</f>
        <v>0</v>
      </c>
      <c r="AG12" s="148">
        <f>COUNTIFS('2026 Time Off Request'!$A:$A,'July 2026'!$D12,'2026 Time Off Request'!$L:$L,'July 2026'!AG$6)</f>
        <v>0</v>
      </c>
      <c r="AH12" s="148">
        <f>COUNTIFS('2026 Time Off Request'!$A:$A,'July 2026'!$D12,'2026 Time Off Request'!$L:$L,'July 2026'!AH$6)</f>
        <v>0</v>
      </c>
      <c r="AI12" s="148">
        <f>COUNTIFS('2026 Time Off Request'!$A:$A,'July 2026'!$D12,'2026 Time Off Request'!$L:$L,'July 2026'!AI$6)</f>
        <v>0</v>
      </c>
      <c r="AJ12" s="148">
        <f>COUNTIFS('2026 Time Off Request'!$A:$A,'July 2026'!$D12,'2026 Time Off Request'!$L:$L,'July 2026'!AJ$6)</f>
        <v>0</v>
      </c>
    </row>
    <row r="13" spans="1:39" ht="15.75">
      <c r="A13" s="2">
        <v>7</v>
      </c>
      <c r="B13" s="104" t="s">
        <v>36</v>
      </c>
      <c r="C13" s="23" t="s">
        <v>37</v>
      </c>
      <c r="D13" s="2" t="s">
        <v>38</v>
      </c>
      <c r="E13" s="212">
        <f t="shared" si="3"/>
        <v>0</v>
      </c>
      <c r="F13" s="226">
        <f>COUNTIFS('2026 Time Off Request'!$A:$A,'July 2026'!$D13,'2026 Time Off Request'!$L:$L,'July 2026'!F$6)</f>
        <v>0</v>
      </c>
      <c r="G13" s="148">
        <f>COUNTIFS('2026 Time Off Request'!$A:$A,'July 2026'!$D13,'2026 Time Off Request'!$L:$L,'July 2026'!G$6)</f>
        <v>0</v>
      </c>
      <c r="H13" s="148">
        <f>COUNTIFS('2026 Time Off Request'!$A:$A,'July 2026'!$D13,'2026 Time Off Request'!$L:$L,'July 2026'!H$6)</f>
        <v>0</v>
      </c>
      <c r="I13" s="147">
        <f>COUNTIFS('2026 Time Off Request'!$A:$A,'July 2026'!$D13,'2026 Time Off Request'!$L:$L,'July 2026'!I$6)</f>
        <v>0</v>
      </c>
      <c r="J13" s="147">
        <f>COUNTIFS('2026 Time Off Request'!$A:$A,'July 2026'!$D13,'2026 Time Off Request'!$L:$L,'July 2026'!J$6)</f>
        <v>0</v>
      </c>
      <c r="K13" s="148">
        <f>COUNTIFS('2026 Time Off Request'!$A:$A,'July 2026'!$D13,'2026 Time Off Request'!$L:$L,'July 2026'!K$6)</f>
        <v>0</v>
      </c>
      <c r="L13" s="148">
        <f>COUNTIFS('2026 Time Off Request'!$A:$A,'July 2026'!$D13,'2026 Time Off Request'!$L:$L,'July 2026'!L$6)</f>
        <v>0</v>
      </c>
      <c r="M13" s="148">
        <f>COUNTIFS('2026 Time Off Request'!$A:$A,'July 2026'!$D13,'2026 Time Off Request'!$L:$L,'July 2026'!M$6)</f>
        <v>0</v>
      </c>
      <c r="N13" s="148">
        <f>COUNTIFS('2026 Time Off Request'!$A:$A,'July 2026'!$D13,'2026 Time Off Request'!$L:$L,'July 2026'!N$6)</f>
        <v>0</v>
      </c>
      <c r="O13" s="148">
        <f>COUNTIFS('2026 Time Off Request'!$A:$A,'July 2026'!$D13,'2026 Time Off Request'!$L:$L,'July 2026'!O$6)</f>
        <v>0</v>
      </c>
      <c r="P13" s="147">
        <f>COUNTIFS('2026 Time Off Request'!$A:$A,'July 2026'!$D13,'2026 Time Off Request'!$L:$L,'July 2026'!P$6)</f>
        <v>0</v>
      </c>
      <c r="Q13" s="147">
        <f>COUNTIFS('2026 Time Off Request'!$A:$A,'July 2026'!$D13,'2026 Time Off Request'!$L:$L,'July 2026'!Q$6)</f>
        <v>0</v>
      </c>
      <c r="R13" s="148">
        <f>COUNTIFS('2026 Time Off Request'!$A:$A,'July 2026'!$D13,'2026 Time Off Request'!$L:$L,'July 2026'!R$6)</f>
        <v>0</v>
      </c>
      <c r="S13" s="148">
        <f>COUNTIFS('2026 Time Off Request'!$A:$A,'July 2026'!$D13,'2026 Time Off Request'!$L:$L,'July 2026'!S$6)</f>
        <v>0</v>
      </c>
      <c r="T13" s="148">
        <f>COUNTIFS('2026 Time Off Request'!$A:$A,'July 2026'!$D13,'2026 Time Off Request'!$L:$L,'July 2026'!T$6)</f>
        <v>0</v>
      </c>
      <c r="U13" s="148">
        <f>COUNTIFS('2026 Time Off Request'!$A:$A,'July 2026'!$D13,'2026 Time Off Request'!$L:$L,'July 2026'!U$6)</f>
        <v>0</v>
      </c>
      <c r="V13" s="148">
        <f>COUNTIFS('2026 Time Off Request'!$A:$A,'July 2026'!$D13,'2026 Time Off Request'!$L:$L,'July 2026'!V$6)</f>
        <v>0</v>
      </c>
      <c r="W13" s="147">
        <f>COUNTIFS('2026 Time Off Request'!$A:$A,'July 2026'!$D13,'2026 Time Off Request'!$L:$L,'July 2026'!W$6)</f>
        <v>0</v>
      </c>
      <c r="X13" s="147">
        <f>COUNTIFS('2026 Time Off Request'!$A:$A,'July 2026'!$D13,'2026 Time Off Request'!$L:$L,'July 2026'!X$6)</f>
        <v>0</v>
      </c>
      <c r="Y13" s="148">
        <f>COUNTIFS('2026 Time Off Request'!$A:$A,'July 2026'!$D13,'2026 Time Off Request'!$L:$L,'July 2026'!Y$6)</f>
        <v>0</v>
      </c>
      <c r="Z13" s="148">
        <f>COUNTIFS('2026 Time Off Request'!$A:$A,'July 2026'!$D13,'2026 Time Off Request'!$L:$L,'July 2026'!Z$6)</f>
        <v>0</v>
      </c>
      <c r="AA13" s="148">
        <f>COUNTIFS('2026 Time Off Request'!$A:$A,'July 2026'!$D13,'2026 Time Off Request'!$L:$L,'July 2026'!AA$6)</f>
        <v>0</v>
      </c>
      <c r="AB13" s="148">
        <f>COUNTIFS('2026 Time Off Request'!$A:$A,'July 2026'!$D13,'2026 Time Off Request'!$L:$L,'July 2026'!AB$6)</f>
        <v>0</v>
      </c>
      <c r="AC13" s="148">
        <f>COUNTIFS('2026 Time Off Request'!$A:$A,'July 2026'!$D13,'2026 Time Off Request'!$L:$L,'July 2026'!AC$6)</f>
        <v>0</v>
      </c>
      <c r="AD13" s="147">
        <f>COUNTIFS('2026 Time Off Request'!$A:$A,'July 2026'!$D13,'2026 Time Off Request'!$L:$L,'July 2026'!AD$6)</f>
        <v>0</v>
      </c>
      <c r="AE13" s="147">
        <f>COUNTIFS('2026 Time Off Request'!$A:$A,'July 2026'!$D13,'2026 Time Off Request'!$L:$L,'July 2026'!AE$6)</f>
        <v>0</v>
      </c>
      <c r="AF13" s="148">
        <f>COUNTIFS('2026 Time Off Request'!$A:$A,'July 2026'!$D13,'2026 Time Off Request'!$L:$L,'July 2026'!AF$6)</f>
        <v>0</v>
      </c>
      <c r="AG13" s="148">
        <f>COUNTIFS('2026 Time Off Request'!$A:$A,'July 2026'!$D13,'2026 Time Off Request'!$L:$L,'July 2026'!AG$6)</f>
        <v>0</v>
      </c>
      <c r="AH13" s="148">
        <f>COUNTIFS('2026 Time Off Request'!$A:$A,'July 2026'!$D13,'2026 Time Off Request'!$L:$L,'July 2026'!AH$6)</f>
        <v>0</v>
      </c>
      <c r="AI13" s="148">
        <f>COUNTIFS('2026 Time Off Request'!$A:$A,'July 2026'!$D13,'2026 Time Off Request'!$L:$L,'July 2026'!AI$6)</f>
        <v>0</v>
      </c>
      <c r="AJ13" s="148">
        <f>COUNTIFS('2026 Time Off Request'!$A:$A,'July 2026'!$D13,'2026 Time Off Request'!$L:$L,'July 2026'!AJ$6)</f>
        <v>0</v>
      </c>
    </row>
    <row r="14" spans="1:39" ht="15.75">
      <c r="A14" s="2">
        <v>8</v>
      </c>
      <c r="B14" s="104" t="s">
        <v>36</v>
      </c>
      <c r="C14" s="23" t="s">
        <v>37</v>
      </c>
      <c r="D14" s="2" t="s">
        <v>39</v>
      </c>
      <c r="E14" s="212">
        <f t="shared" si="3"/>
        <v>0</v>
      </c>
      <c r="F14" s="226">
        <f>COUNTIFS('2026 Time Off Request'!$A:$A,'July 2026'!$D14,'2026 Time Off Request'!$L:$L,'July 2026'!F$6)</f>
        <v>0</v>
      </c>
      <c r="G14" s="148">
        <f>COUNTIFS('2026 Time Off Request'!$A:$A,'July 2026'!$D14,'2026 Time Off Request'!$L:$L,'July 2026'!G$6)</f>
        <v>0</v>
      </c>
      <c r="H14" s="148">
        <f>COUNTIFS('2026 Time Off Request'!$A:$A,'July 2026'!$D14,'2026 Time Off Request'!$L:$L,'July 2026'!H$6)</f>
        <v>0</v>
      </c>
      <c r="I14" s="147">
        <f>COUNTIFS('2026 Time Off Request'!$A:$A,'July 2026'!$D14,'2026 Time Off Request'!$L:$L,'July 2026'!I$6)</f>
        <v>0</v>
      </c>
      <c r="J14" s="147">
        <f>COUNTIFS('2026 Time Off Request'!$A:$A,'July 2026'!$D14,'2026 Time Off Request'!$L:$L,'July 2026'!J$6)</f>
        <v>0</v>
      </c>
      <c r="K14" s="148">
        <f>COUNTIFS('2026 Time Off Request'!$A:$A,'July 2026'!$D14,'2026 Time Off Request'!$L:$L,'July 2026'!K$6)</f>
        <v>0</v>
      </c>
      <c r="L14" s="148">
        <f>COUNTIFS('2026 Time Off Request'!$A:$A,'July 2026'!$D14,'2026 Time Off Request'!$L:$L,'July 2026'!L$6)</f>
        <v>0</v>
      </c>
      <c r="M14" s="148">
        <f>COUNTIFS('2026 Time Off Request'!$A:$A,'July 2026'!$D14,'2026 Time Off Request'!$L:$L,'July 2026'!M$6)</f>
        <v>0</v>
      </c>
      <c r="N14" s="148">
        <f>COUNTIFS('2026 Time Off Request'!$A:$A,'July 2026'!$D14,'2026 Time Off Request'!$L:$L,'July 2026'!N$6)</f>
        <v>0</v>
      </c>
      <c r="O14" s="148">
        <f>COUNTIFS('2026 Time Off Request'!$A:$A,'July 2026'!$D14,'2026 Time Off Request'!$L:$L,'July 2026'!O$6)</f>
        <v>0</v>
      </c>
      <c r="P14" s="147">
        <f>COUNTIFS('2026 Time Off Request'!$A:$A,'July 2026'!$D14,'2026 Time Off Request'!$L:$L,'July 2026'!P$6)</f>
        <v>0</v>
      </c>
      <c r="Q14" s="147">
        <f>COUNTIFS('2026 Time Off Request'!$A:$A,'July 2026'!$D14,'2026 Time Off Request'!$L:$L,'July 2026'!Q$6)</f>
        <v>0</v>
      </c>
      <c r="R14" s="148">
        <f>COUNTIFS('2026 Time Off Request'!$A:$A,'July 2026'!$D14,'2026 Time Off Request'!$L:$L,'July 2026'!R$6)</f>
        <v>0</v>
      </c>
      <c r="S14" s="148">
        <f>COUNTIFS('2026 Time Off Request'!$A:$A,'July 2026'!$D14,'2026 Time Off Request'!$L:$L,'July 2026'!S$6)</f>
        <v>0</v>
      </c>
      <c r="T14" s="148">
        <f>COUNTIFS('2026 Time Off Request'!$A:$A,'July 2026'!$D14,'2026 Time Off Request'!$L:$L,'July 2026'!T$6)</f>
        <v>0</v>
      </c>
      <c r="U14" s="148">
        <f>COUNTIFS('2026 Time Off Request'!$A:$A,'July 2026'!$D14,'2026 Time Off Request'!$L:$L,'July 2026'!U$6)</f>
        <v>0</v>
      </c>
      <c r="V14" s="148">
        <f>COUNTIFS('2026 Time Off Request'!$A:$A,'July 2026'!$D14,'2026 Time Off Request'!$L:$L,'July 2026'!V$6)</f>
        <v>0</v>
      </c>
      <c r="W14" s="147">
        <f>COUNTIFS('2026 Time Off Request'!$A:$A,'July 2026'!$D14,'2026 Time Off Request'!$L:$L,'July 2026'!W$6)</f>
        <v>0</v>
      </c>
      <c r="X14" s="147">
        <f>COUNTIFS('2026 Time Off Request'!$A:$A,'July 2026'!$D14,'2026 Time Off Request'!$L:$L,'July 2026'!X$6)</f>
        <v>0</v>
      </c>
      <c r="Y14" s="148">
        <f>COUNTIFS('2026 Time Off Request'!$A:$A,'July 2026'!$D14,'2026 Time Off Request'!$L:$L,'July 2026'!Y$6)</f>
        <v>0</v>
      </c>
      <c r="Z14" s="148">
        <f>COUNTIFS('2026 Time Off Request'!$A:$A,'July 2026'!$D14,'2026 Time Off Request'!$L:$L,'July 2026'!Z$6)</f>
        <v>0</v>
      </c>
      <c r="AA14" s="148">
        <f>COUNTIFS('2026 Time Off Request'!$A:$A,'July 2026'!$D14,'2026 Time Off Request'!$L:$L,'July 2026'!AA$6)</f>
        <v>0</v>
      </c>
      <c r="AB14" s="148">
        <f>COUNTIFS('2026 Time Off Request'!$A:$A,'July 2026'!$D14,'2026 Time Off Request'!$L:$L,'July 2026'!AB$6)</f>
        <v>0</v>
      </c>
      <c r="AC14" s="148">
        <f>COUNTIFS('2026 Time Off Request'!$A:$A,'July 2026'!$D14,'2026 Time Off Request'!$L:$L,'July 2026'!AC$6)</f>
        <v>0</v>
      </c>
      <c r="AD14" s="147">
        <f>COUNTIFS('2026 Time Off Request'!$A:$A,'July 2026'!$D14,'2026 Time Off Request'!$L:$L,'July 2026'!AD$6)</f>
        <v>0</v>
      </c>
      <c r="AE14" s="147">
        <f>COUNTIFS('2026 Time Off Request'!$A:$A,'July 2026'!$D14,'2026 Time Off Request'!$L:$L,'July 2026'!AE$6)</f>
        <v>0</v>
      </c>
      <c r="AF14" s="148">
        <f>COUNTIFS('2026 Time Off Request'!$A:$A,'July 2026'!$D14,'2026 Time Off Request'!$L:$L,'July 2026'!AF$6)</f>
        <v>0</v>
      </c>
      <c r="AG14" s="148">
        <f>COUNTIFS('2026 Time Off Request'!$A:$A,'July 2026'!$D14,'2026 Time Off Request'!$L:$L,'July 2026'!AG$6)</f>
        <v>0</v>
      </c>
      <c r="AH14" s="148">
        <f>COUNTIFS('2026 Time Off Request'!$A:$A,'July 2026'!$D14,'2026 Time Off Request'!$L:$L,'July 2026'!AH$6)</f>
        <v>0</v>
      </c>
      <c r="AI14" s="148">
        <f>COUNTIFS('2026 Time Off Request'!$A:$A,'July 2026'!$D14,'2026 Time Off Request'!$L:$L,'July 2026'!AI$6)</f>
        <v>0</v>
      </c>
      <c r="AJ14" s="148">
        <f>COUNTIFS('2026 Time Off Request'!$A:$A,'July 2026'!$D14,'2026 Time Off Request'!$L:$L,'July 2026'!AJ$6)</f>
        <v>0</v>
      </c>
    </row>
    <row r="15" spans="1:39" ht="15.75">
      <c r="A15" s="2">
        <v>9</v>
      </c>
      <c r="B15" s="104" t="s">
        <v>36</v>
      </c>
      <c r="C15" s="23" t="s">
        <v>37</v>
      </c>
      <c r="D15" s="2" t="s">
        <v>40</v>
      </c>
      <c r="E15" s="212">
        <f t="shared" si="3"/>
        <v>0</v>
      </c>
      <c r="F15" s="226">
        <f>COUNTIFS('2026 Time Off Request'!$A:$A,'July 2026'!$D15,'2026 Time Off Request'!$L:$L,'July 2026'!F$6)</f>
        <v>0</v>
      </c>
      <c r="G15" s="148">
        <f>COUNTIFS('2026 Time Off Request'!$A:$A,'July 2026'!$D15,'2026 Time Off Request'!$L:$L,'July 2026'!G$6)</f>
        <v>0</v>
      </c>
      <c r="H15" s="148">
        <f>COUNTIFS('2026 Time Off Request'!$A:$A,'July 2026'!$D15,'2026 Time Off Request'!$L:$L,'July 2026'!H$6)</f>
        <v>0</v>
      </c>
      <c r="I15" s="147">
        <f>COUNTIFS('2026 Time Off Request'!$A:$A,'July 2026'!$D15,'2026 Time Off Request'!$L:$L,'July 2026'!I$6)</f>
        <v>0</v>
      </c>
      <c r="J15" s="147">
        <f>COUNTIFS('2026 Time Off Request'!$A:$A,'July 2026'!$D15,'2026 Time Off Request'!$L:$L,'July 2026'!J$6)</f>
        <v>0</v>
      </c>
      <c r="K15" s="148">
        <f>COUNTIFS('2026 Time Off Request'!$A:$A,'July 2026'!$D15,'2026 Time Off Request'!$L:$L,'July 2026'!K$6)</f>
        <v>0</v>
      </c>
      <c r="L15" s="148">
        <f>COUNTIFS('2026 Time Off Request'!$A:$A,'July 2026'!$D15,'2026 Time Off Request'!$L:$L,'July 2026'!L$6)</f>
        <v>0</v>
      </c>
      <c r="M15" s="148">
        <f>COUNTIFS('2026 Time Off Request'!$A:$A,'July 2026'!$D15,'2026 Time Off Request'!$L:$L,'July 2026'!M$6)</f>
        <v>0</v>
      </c>
      <c r="N15" s="148">
        <f>COUNTIFS('2026 Time Off Request'!$A:$A,'July 2026'!$D15,'2026 Time Off Request'!$L:$L,'July 2026'!N$6)</f>
        <v>0</v>
      </c>
      <c r="O15" s="148">
        <f>COUNTIFS('2026 Time Off Request'!$A:$A,'July 2026'!$D15,'2026 Time Off Request'!$L:$L,'July 2026'!O$6)</f>
        <v>0</v>
      </c>
      <c r="P15" s="147">
        <f>COUNTIFS('2026 Time Off Request'!$A:$A,'July 2026'!$D15,'2026 Time Off Request'!$L:$L,'July 2026'!P$6)</f>
        <v>0</v>
      </c>
      <c r="Q15" s="147">
        <f>COUNTIFS('2026 Time Off Request'!$A:$A,'July 2026'!$D15,'2026 Time Off Request'!$L:$L,'July 2026'!Q$6)</f>
        <v>0</v>
      </c>
      <c r="R15" s="148">
        <f>COUNTIFS('2026 Time Off Request'!$A:$A,'July 2026'!$D15,'2026 Time Off Request'!$L:$L,'July 2026'!R$6)</f>
        <v>0</v>
      </c>
      <c r="S15" s="148">
        <f>COUNTIFS('2026 Time Off Request'!$A:$A,'July 2026'!$D15,'2026 Time Off Request'!$L:$L,'July 2026'!S$6)</f>
        <v>0</v>
      </c>
      <c r="T15" s="148">
        <f>COUNTIFS('2026 Time Off Request'!$A:$A,'July 2026'!$D15,'2026 Time Off Request'!$L:$L,'July 2026'!T$6)</f>
        <v>0</v>
      </c>
      <c r="U15" s="148">
        <f>COUNTIFS('2026 Time Off Request'!$A:$A,'July 2026'!$D15,'2026 Time Off Request'!$L:$L,'July 2026'!U$6)</f>
        <v>0</v>
      </c>
      <c r="V15" s="148">
        <f>COUNTIFS('2026 Time Off Request'!$A:$A,'July 2026'!$D15,'2026 Time Off Request'!$L:$L,'July 2026'!V$6)</f>
        <v>0</v>
      </c>
      <c r="W15" s="147">
        <f>COUNTIFS('2026 Time Off Request'!$A:$A,'July 2026'!$D15,'2026 Time Off Request'!$L:$L,'July 2026'!W$6)</f>
        <v>0</v>
      </c>
      <c r="X15" s="147">
        <f>COUNTIFS('2026 Time Off Request'!$A:$A,'July 2026'!$D15,'2026 Time Off Request'!$L:$L,'July 2026'!X$6)</f>
        <v>0</v>
      </c>
      <c r="Y15" s="148">
        <f>COUNTIFS('2026 Time Off Request'!$A:$A,'July 2026'!$D15,'2026 Time Off Request'!$L:$L,'July 2026'!Y$6)</f>
        <v>0</v>
      </c>
      <c r="Z15" s="148">
        <f>COUNTIFS('2026 Time Off Request'!$A:$A,'July 2026'!$D15,'2026 Time Off Request'!$L:$L,'July 2026'!Z$6)</f>
        <v>0</v>
      </c>
      <c r="AA15" s="148">
        <f>COUNTIFS('2026 Time Off Request'!$A:$A,'July 2026'!$D15,'2026 Time Off Request'!$L:$L,'July 2026'!AA$6)</f>
        <v>0</v>
      </c>
      <c r="AB15" s="148">
        <f>COUNTIFS('2026 Time Off Request'!$A:$A,'July 2026'!$D15,'2026 Time Off Request'!$L:$L,'July 2026'!AB$6)</f>
        <v>0</v>
      </c>
      <c r="AC15" s="148">
        <f>COUNTIFS('2026 Time Off Request'!$A:$A,'July 2026'!$D15,'2026 Time Off Request'!$L:$L,'July 2026'!AC$6)</f>
        <v>0</v>
      </c>
      <c r="AD15" s="147">
        <f>COUNTIFS('2026 Time Off Request'!$A:$A,'July 2026'!$D15,'2026 Time Off Request'!$L:$L,'July 2026'!AD$6)</f>
        <v>0</v>
      </c>
      <c r="AE15" s="147">
        <f>COUNTIFS('2026 Time Off Request'!$A:$A,'July 2026'!$D15,'2026 Time Off Request'!$L:$L,'July 2026'!AE$6)</f>
        <v>0</v>
      </c>
      <c r="AF15" s="148">
        <f>COUNTIFS('2026 Time Off Request'!$A:$A,'July 2026'!$D15,'2026 Time Off Request'!$L:$L,'July 2026'!AF$6)</f>
        <v>0</v>
      </c>
      <c r="AG15" s="148">
        <f>COUNTIFS('2026 Time Off Request'!$A:$A,'July 2026'!$D15,'2026 Time Off Request'!$L:$L,'July 2026'!AG$6)</f>
        <v>0</v>
      </c>
      <c r="AH15" s="148">
        <f>COUNTIFS('2026 Time Off Request'!$A:$A,'July 2026'!$D15,'2026 Time Off Request'!$L:$L,'July 2026'!AH$6)</f>
        <v>0</v>
      </c>
      <c r="AI15" s="148">
        <f>COUNTIFS('2026 Time Off Request'!$A:$A,'July 2026'!$D15,'2026 Time Off Request'!$L:$L,'July 2026'!AI$6)</f>
        <v>0</v>
      </c>
      <c r="AJ15" s="148">
        <f>COUNTIFS('2026 Time Off Request'!$A:$A,'July 2026'!$D15,'2026 Time Off Request'!$L:$L,'July 2026'!AJ$6)</f>
        <v>0</v>
      </c>
    </row>
    <row r="16" spans="1:39" ht="15.75">
      <c r="A16" s="2">
        <v>10</v>
      </c>
      <c r="B16" s="104" t="s">
        <v>36</v>
      </c>
      <c r="C16" s="23" t="s">
        <v>37</v>
      </c>
      <c r="D16" s="2" t="s">
        <v>41</v>
      </c>
      <c r="E16" s="212">
        <f t="shared" si="3"/>
        <v>0</v>
      </c>
      <c r="F16" s="226">
        <f>COUNTIFS('2026 Time Off Request'!$A:$A,'July 2026'!$D16,'2026 Time Off Request'!$L:$L,'July 2026'!F$6)</f>
        <v>0</v>
      </c>
      <c r="G16" s="148">
        <f>COUNTIFS('2026 Time Off Request'!$A:$A,'July 2026'!$D16,'2026 Time Off Request'!$L:$L,'July 2026'!G$6)</f>
        <v>0</v>
      </c>
      <c r="H16" s="148">
        <f>COUNTIFS('2026 Time Off Request'!$A:$A,'July 2026'!$D16,'2026 Time Off Request'!$L:$L,'July 2026'!H$6)</f>
        <v>0</v>
      </c>
      <c r="I16" s="147">
        <f>COUNTIFS('2026 Time Off Request'!$A:$A,'July 2026'!$D16,'2026 Time Off Request'!$L:$L,'July 2026'!I$6)</f>
        <v>0</v>
      </c>
      <c r="J16" s="147">
        <f>COUNTIFS('2026 Time Off Request'!$A:$A,'July 2026'!$D16,'2026 Time Off Request'!$L:$L,'July 2026'!J$6)</f>
        <v>0</v>
      </c>
      <c r="K16" s="148">
        <f>COUNTIFS('2026 Time Off Request'!$A:$A,'July 2026'!$D16,'2026 Time Off Request'!$L:$L,'July 2026'!K$6)</f>
        <v>0</v>
      </c>
      <c r="L16" s="148">
        <f>COUNTIFS('2026 Time Off Request'!$A:$A,'July 2026'!$D16,'2026 Time Off Request'!$L:$L,'July 2026'!L$6)</f>
        <v>0</v>
      </c>
      <c r="M16" s="148">
        <f>COUNTIFS('2026 Time Off Request'!$A:$A,'July 2026'!$D16,'2026 Time Off Request'!$L:$L,'July 2026'!M$6)</f>
        <v>0</v>
      </c>
      <c r="N16" s="148">
        <f>COUNTIFS('2026 Time Off Request'!$A:$A,'July 2026'!$D16,'2026 Time Off Request'!$L:$L,'July 2026'!N$6)</f>
        <v>0</v>
      </c>
      <c r="O16" s="148">
        <f>COUNTIFS('2026 Time Off Request'!$A:$A,'July 2026'!$D16,'2026 Time Off Request'!$L:$L,'July 2026'!O$6)</f>
        <v>0</v>
      </c>
      <c r="P16" s="147">
        <f>COUNTIFS('2026 Time Off Request'!$A:$A,'July 2026'!$D16,'2026 Time Off Request'!$L:$L,'July 2026'!P$6)</f>
        <v>0</v>
      </c>
      <c r="Q16" s="147">
        <f>COUNTIFS('2026 Time Off Request'!$A:$A,'July 2026'!$D16,'2026 Time Off Request'!$L:$L,'July 2026'!Q$6)</f>
        <v>0</v>
      </c>
      <c r="R16" s="148">
        <f>COUNTIFS('2026 Time Off Request'!$A:$A,'July 2026'!$D16,'2026 Time Off Request'!$L:$L,'July 2026'!R$6)</f>
        <v>0</v>
      </c>
      <c r="S16" s="148">
        <f>COUNTIFS('2026 Time Off Request'!$A:$A,'July 2026'!$D16,'2026 Time Off Request'!$L:$L,'July 2026'!S$6)</f>
        <v>0</v>
      </c>
      <c r="T16" s="148">
        <f>COUNTIFS('2026 Time Off Request'!$A:$A,'July 2026'!$D16,'2026 Time Off Request'!$L:$L,'July 2026'!T$6)</f>
        <v>0</v>
      </c>
      <c r="U16" s="148">
        <f>COUNTIFS('2026 Time Off Request'!$A:$A,'July 2026'!$D16,'2026 Time Off Request'!$L:$L,'July 2026'!U$6)</f>
        <v>0</v>
      </c>
      <c r="V16" s="148">
        <f>COUNTIFS('2026 Time Off Request'!$A:$A,'July 2026'!$D16,'2026 Time Off Request'!$L:$L,'July 2026'!V$6)</f>
        <v>0</v>
      </c>
      <c r="W16" s="147">
        <f>COUNTIFS('2026 Time Off Request'!$A:$A,'July 2026'!$D16,'2026 Time Off Request'!$L:$L,'July 2026'!W$6)</f>
        <v>0</v>
      </c>
      <c r="X16" s="147">
        <f>COUNTIFS('2026 Time Off Request'!$A:$A,'July 2026'!$D16,'2026 Time Off Request'!$L:$L,'July 2026'!X$6)</f>
        <v>0</v>
      </c>
      <c r="Y16" s="148">
        <f>COUNTIFS('2026 Time Off Request'!$A:$A,'July 2026'!$D16,'2026 Time Off Request'!$L:$L,'July 2026'!Y$6)</f>
        <v>0</v>
      </c>
      <c r="Z16" s="148">
        <f>COUNTIFS('2026 Time Off Request'!$A:$A,'July 2026'!$D16,'2026 Time Off Request'!$L:$L,'July 2026'!Z$6)</f>
        <v>0</v>
      </c>
      <c r="AA16" s="148">
        <f>COUNTIFS('2026 Time Off Request'!$A:$A,'July 2026'!$D16,'2026 Time Off Request'!$L:$L,'July 2026'!AA$6)</f>
        <v>0</v>
      </c>
      <c r="AB16" s="148">
        <f>COUNTIFS('2026 Time Off Request'!$A:$A,'July 2026'!$D16,'2026 Time Off Request'!$L:$L,'July 2026'!AB$6)</f>
        <v>0</v>
      </c>
      <c r="AC16" s="148">
        <f>COUNTIFS('2026 Time Off Request'!$A:$A,'July 2026'!$D16,'2026 Time Off Request'!$L:$L,'July 2026'!AC$6)</f>
        <v>0</v>
      </c>
      <c r="AD16" s="147">
        <f>COUNTIFS('2026 Time Off Request'!$A:$A,'July 2026'!$D16,'2026 Time Off Request'!$L:$L,'July 2026'!AD$6)</f>
        <v>0</v>
      </c>
      <c r="AE16" s="147">
        <f>COUNTIFS('2026 Time Off Request'!$A:$A,'July 2026'!$D16,'2026 Time Off Request'!$L:$L,'July 2026'!AE$6)</f>
        <v>0</v>
      </c>
      <c r="AF16" s="148">
        <f>COUNTIFS('2026 Time Off Request'!$A:$A,'July 2026'!$D16,'2026 Time Off Request'!$L:$L,'July 2026'!AF$6)</f>
        <v>0</v>
      </c>
      <c r="AG16" s="148">
        <f>COUNTIFS('2026 Time Off Request'!$A:$A,'July 2026'!$D16,'2026 Time Off Request'!$L:$L,'July 2026'!AG$6)</f>
        <v>0</v>
      </c>
      <c r="AH16" s="148">
        <f>COUNTIFS('2026 Time Off Request'!$A:$A,'July 2026'!$D16,'2026 Time Off Request'!$L:$L,'July 2026'!AH$6)</f>
        <v>0</v>
      </c>
      <c r="AI16" s="148">
        <f>COUNTIFS('2026 Time Off Request'!$A:$A,'July 2026'!$D16,'2026 Time Off Request'!$L:$L,'July 2026'!AI$6)</f>
        <v>0</v>
      </c>
      <c r="AJ16" s="148">
        <f>COUNTIFS('2026 Time Off Request'!$A:$A,'July 2026'!$D16,'2026 Time Off Request'!$L:$L,'July 2026'!AJ$6)</f>
        <v>0</v>
      </c>
    </row>
    <row r="17" spans="1:36" ht="15.75">
      <c r="A17" s="2">
        <v>11</v>
      </c>
      <c r="B17" s="104" t="s">
        <v>36</v>
      </c>
      <c r="C17" s="23" t="s">
        <v>37</v>
      </c>
      <c r="D17" s="2" t="s">
        <v>42</v>
      </c>
      <c r="E17" s="212">
        <f t="shared" si="3"/>
        <v>0</v>
      </c>
      <c r="F17" s="226">
        <f>COUNTIFS('2026 Time Off Request'!$A:$A,'July 2026'!$D17,'2026 Time Off Request'!$L:$L,'July 2026'!F$6)</f>
        <v>0</v>
      </c>
      <c r="G17" s="148">
        <f>COUNTIFS('2026 Time Off Request'!$A:$A,'July 2026'!$D17,'2026 Time Off Request'!$L:$L,'July 2026'!G$6)</f>
        <v>0</v>
      </c>
      <c r="H17" s="148">
        <f>COUNTIFS('2026 Time Off Request'!$A:$A,'July 2026'!$D17,'2026 Time Off Request'!$L:$L,'July 2026'!H$6)</f>
        <v>0</v>
      </c>
      <c r="I17" s="147">
        <f>COUNTIFS('2026 Time Off Request'!$A:$A,'July 2026'!$D17,'2026 Time Off Request'!$L:$L,'July 2026'!I$6)</f>
        <v>0</v>
      </c>
      <c r="J17" s="147">
        <f>COUNTIFS('2026 Time Off Request'!$A:$A,'July 2026'!$D17,'2026 Time Off Request'!$L:$L,'July 2026'!J$6)</f>
        <v>0</v>
      </c>
      <c r="K17" s="148">
        <f>COUNTIFS('2026 Time Off Request'!$A:$A,'July 2026'!$D17,'2026 Time Off Request'!$L:$L,'July 2026'!K$6)</f>
        <v>0</v>
      </c>
      <c r="L17" s="148">
        <f>COUNTIFS('2026 Time Off Request'!$A:$A,'July 2026'!$D17,'2026 Time Off Request'!$L:$L,'July 2026'!L$6)</f>
        <v>0</v>
      </c>
      <c r="M17" s="148">
        <f>COUNTIFS('2026 Time Off Request'!$A:$A,'July 2026'!$D17,'2026 Time Off Request'!$L:$L,'July 2026'!M$6)</f>
        <v>0</v>
      </c>
      <c r="N17" s="148">
        <f>COUNTIFS('2026 Time Off Request'!$A:$A,'July 2026'!$D17,'2026 Time Off Request'!$L:$L,'July 2026'!N$6)</f>
        <v>0</v>
      </c>
      <c r="O17" s="148">
        <f>COUNTIFS('2026 Time Off Request'!$A:$A,'July 2026'!$D17,'2026 Time Off Request'!$L:$L,'July 2026'!O$6)</f>
        <v>0</v>
      </c>
      <c r="P17" s="147">
        <f>COUNTIFS('2026 Time Off Request'!$A:$A,'July 2026'!$D17,'2026 Time Off Request'!$L:$L,'July 2026'!P$6)</f>
        <v>0</v>
      </c>
      <c r="Q17" s="147">
        <f>COUNTIFS('2026 Time Off Request'!$A:$A,'July 2026'!$D17,'2026 Time Off Request'!$L:$L,'July 2026'!Q$6)</f>
        <v>0</v>
      </c>
      <c r="R17" s="148">
        <f>COUNTIFS('2026 Time Off Request'!$A:$A,'July 2026'!$D17,'2026 Time Off Request'!$L:$L,'July 2026'!R$6)</f>
        <v>0</v>
      </c>
      <c r="S17" s="148">
        <f>COUNTIFS('2026 Time Off Request'!$A:$A,'July 2026'!$D17,'2026 Time Off Request'!$L:$L,'July 2026'!S$6)</f>
        <v>0</v>
      </c>
      <c r="T17" s="148">
        <f>COUNTIFS('2026 Time Off Request'!$A:$A,'July 2026'!$D17,'2026 Time Off Request'!$L:$L,'July 2026'!T$6)</f>
        <v>0</v>
      </c>
      <c r="U17" s="148">
        <f>COUNTIFS('2026 Time Off Request'!$A:$A,'July 2026'!$D17,'2026 Time Off Request'!$L:$L,'July 2026'!U$6)</f>
        <v>0</v>
      </c>
      <c r="V17" s="148">
        <f>COUNTIFS('2026 Time Off Request'!$A:$A,'July 2026'!$D17,'2026 Time Off Request'!$L:$L,'July 2026'!V$6)</f>
        <v>0</v>
      </c>
      <c r="W17" s="147">
        <f>COUNTIFS('2026 Time Off Request'!$A:$A,'July 2026'!$D17,'2026 Time Off Request'!$L:$L,'July 2026'!W$6)</f>
        <v>0</v>
      </c>
      <c r="X17" s="147">
        <f>COUNTIFS('2026 Time Off Request'!$A:$A,'July 2026'!$D17,'2026 Time Off Request'!$L:$L,'July 2026'!X$6)</f>
        <v>0</v>
      </c>
      <c r="Y17" s="148">
        <f>COUNTIFS('2026 Time Off Request'!$A:$A,'July 2026'!$D17,'2026 Time Off Request'!$L:$L,'July 2026'!Y$6)</f>
        <v>0</v>
      </c>
      <c r="Z17" s="148">
        <f>COUNTIFS('2026 Time Off Request'!$A:$A,'July 2026'!$D17,'2026 Time Off Request'!$L:$L,'July 2026'!Z$6)</f>
        <v>0</v>
      </c>
      <c r="AA17" s="148">
        <f>COUNTIFS('2026 Time Off Request'!$A:$A,'July 2026'!$D17,'2026 Time Off Request'!$L:$L,'July 2026'!AA$6)</f>
        <v>0</v>
      </c>
      <c r="AB17" s="148">
        <f>COUNTIFS('2026 Time Off Request'!$A:$A,'July 2026'!$D17,'2026 Time Off Request'!$L:$L,'July 2026'!AB$6)</f>
        <v>0</v>
      </c>
      <c r="AC17" s="148">
        <f>COUNTIFS('2026 Time Off Request'!$A:$A,'July 2026'!$D17,'2026 Time Off Request'!$L:$L,'July 2026'!AC$6)</f>
        <v>0</v>
      </c>
      <c r="AD17" s="147">
        <f>COUNTIFS('2026 Time Off Request'!$A:$A,'July 2026'!$D17,'2026 Time Off Request'!$L:$L,'July 2026'!AD$6)</f>
        <v>0</v>
      </c>
      <c r="AE17" s="147">
        <f>COUNTIFS('2026 Time Off Request'!$A:$A,'July 2026'!$D17,'2026 Time Off Request'!$L:$L,'July 2026'!AE$6)</f>
        <v>0</v>
      </c>
      <c r="AF17" s="148">
        <f>COUNTIFS('2026 Time Off Request'!$A:$A,'July 2026'!$D17,'2026 Time Off Request'!$L:$L,'July 2026'!AF$6)</f>
        <v>0</v>
      </c>
      <c r="AG17" s="148">
        <f>COUNTIFS('2026 Time Off Request'!$A:$A,'July 2026'!$D17,'2026 Time Off Request'!$L:$L,'July 2026'!AG$6)</f>
        <v>0</v>
      </c>
      <c r="AH17" s="148">
        <f>COUNTIFS('2026 Time Off Request'!$A:$A,'July 2026'!$D17,'2026 Time Off Request'!$L:$L,'July 2026'!AH$6)</f>
        <v>0</v>
      </c>
      <c r="AI17" s="148">
        <f>COUNTIFS('2026 Time Off Request'!$A:$A,'July 2026'!$D17,'2026 Time Off Request'!$L:$L,'July 2026'!AI$6)</f>
        <v>0</v>
      </c>
      <c r="AJ17" s="148">
        <f>COUNTIFS('2026 Time Off Request'!$A:$A,'July 2026'!$D17,'2026 Time Off Request'!$L:$L,'July 2026'!AJ$6)</f>
        <v>0</v>
      </c>
    </row>
    <row r="18" spans="1:36" ht="15.75">
      <c r="A18" s="2">
        <v>12</v>
      </c>
      <c r="B18" s="104" t="s">
        <v>36</v>
      </c>
      <c r="C18" s="23" t="s">
        <v>37</v>
      </c>
      <c r="D18" s="2" t="s">
        <v>43</v>
      </c>
      <c r="E18" s="212">
        <f t="shared" si="3"/>
        <v>0</v>
      </c>
      <c r="F18" s="226">
        <f>COUNTIFS('2026 Time Off Request'!$A:$A,'July 2026'!$D18,'2026 Time Off Request'!$L:$L,'July 2026'!F$6)</f>
        <v>0</v>
      </c>
      <c r="G18" s="148">
        <f>COUNTIFS('2026 Time Off Request'!$A:$A,'July 2026'!$D18,'2026 Time Off Request'!$L:$L,'July 2026'!G$6)</f>
        <v>0</v>
      </c>
      <c r="H18" s="148">
        <f>COUNTIFS('2026 Time Off Request'!$A:$A,'July 2026'!$D18,'2026 Time Off Request'!$L:$L,'July 2026'!H$6)</f>
        <v>0</v>
      </c>
      <c r="I18" s="147">
        <f>COUNTIFS('2026 Time Off Request'!$A:$A,'July 2026'!$D18,'2026 Time Off Request'!$L:$L,'July 2026'!I$6)</f>
        <v>0</v>
      </c>
      <c r="J18" s="147">
        <f>COUNTIFS('2026 Time Off Request'!$A:$A,'July 2026'!$D18,'2026 Time Off Request'!$L:$L,'July 2026'!J$6)</f>
        <v>0</v>
      </c>
      <c r="K18" s="148">
        <f>COUNTIFS('2026 Time Off Request'!$A:$A,'July 2026'!$D18,'2026 Time Off Request'!$L:$L,'July 2026'!K$6)</f>
        <v>0</v>
      </c>
      <c r="L18" s="148">
        <f>COUNTIFS('2026 Time Off Request'!$A:$A,'July 2026'!$D18,'2026 Time Off Request'!$L:$L,'July 2026'!L$6)</f>
        <v>0</v>
      </c>
      <c r="M18" s="148">
        <f>COUNTIFS('2026 Time Off Request'!$A:$A,'July 2026'!$D18,'2026 Time Off Request'!$L:$L,'July 2026'!M$6)</f>
        <v>0</v>
      </c>
      <c r="N18" s="148">
        <f>COUNTIFS('2026 Time Off Request'!$A:$A,'July 2026'!$D18,'2026 Time Off Request'!$L:$L,'July 2026'!N$6)</f>
        <v>0</v>
      </c>
      <c r="O18" s="148">
        <f>COUNTIFS('2026 Time Off Request'!$A:$A,'July 2026'!$D18,'2026 Time Off Request'!$L:$L,'July 2026'!O$6)</f>
        <v>0</v>
      </c>
      <c r="P18" s="147">
        <f>COUNTIFS('2026 Time Off Request'!$A:$A,'July 2026'!$D18,'2026 Time Off Request'!$L:$L,'July 2026'!P$6)</f>
        <v>0</v>
      </c>
      <c r="Q18" s="147">
        <f>COUNTIFS('2026 Time Off Request'!$A:$A,'July 2026'!$D18,'2026 Time Off Request'!$L:$L,'July 2026'!Q$6)</f>
        <v>0</v>
      </c>
      <c r="R18" s="148">
        <f>COUNTIFS('2026 Time Off Request'!$A:$A,'July 2026'!$D18,'2026 Time Off Request'!$L:$L,'July 2026'!R$6)</f>
        <v>0</v>
      </c>
      <c r="S18" s="148">
        <f>COUNTIFS('2026 Time Off Request'!$A:$A,'July 2026'!$D18,'2026 Time Off Request'!$L:$L,'July 2026'!S$6)</f>
        <v>0</v>
      </c>
      <c r="T18" s="148">
        <f>COUNTIFS('2026 Time Off Request'!$A:$A,'July 2026'!$D18,'2026 Time Off Request'!$L:$L,'July 2026'!T$6)</f>
        <v>0</v>
      </c>
      <c r="U18" s="148">
        <f>COUNTIFS('2026 Time Off Request'!$A:$A,'July 2026'!$D18,'2026 Time Off Request'!$L:$L,'July 2026'!U$6)</f>
        <v>0</v>
      </c>
      <c r="V18" s="148">
        <f>COUNTIFS('2026 Time Off Request'!$A:$A,'July 2026'!$D18,'2026 Time Off Request'!$L:$L,'July 2026'!V$6)</f>
        <v>0</v>
      </c>
      <c r="W18" s="147">
        <f>COUNTIFS('2026 Time Off Request'!$A:$A,'July 2026'!$D18,'2026 Time Off Request'!$L:$L,'July 2026'!W$6)</f>
        <v>0</v>
      </c>
      <c r="X18" s="147">
        <f>COUNTIFS('2026 Time Off Request'!$A:$A,'July 2026'!$D18,'2026 Time Off Request'!$L:$L,'July 2026'!X$6)</f>
        <v>0</v>
      </c>
      <c r="Y18" s="148">
        <f>COUNTIFS('2026 Time Off Request'!$A:$A,'July 2026'!$D18,'2026 Time Off Request'!$L:$L,'July 2026'!Y$6)</f>
        <v>0</v>
      </c>
      <c r="Z18" s="148">
        <f>COUNTIFS('2026 Time Off Request'!$A:$A,'July 2026'!$D18,'2026 Time Off Request'!$L:$L,'July 2026'!Z$6)</f>
        <v>0</v>
      </c>
      <c r="AA18" s="148">
        <f>COUNTIFS('2026 Time Off Request'!$A:$A,'July 2026'!$D18,'2026 Time Off Request'!$L:$L,'July 2026'!AA$6)</f>
        <v>0</v>
      </c>
      <c r="AB18" s="148">
        <f>COUNTIFS('2026 Time Off Request'!$A:$A,'July 2026'!$D18,'2026 Time Off Request'!$L:$L,'July 2026'!AB$6)</f>
        <v>0</v>
      </c>
      <c r="AC18" s="148">
        <f>COUNTIFS('2026 Time Off Request'!$A:$A,'July 2026'!$D18,'2026 Time Off Request'!$L:$L,'July 2026'!AC$6)</f>
        <v>0</v>
      </c>
      <c r="AD18" s="147">
        <f>COUNTIFS('2026 Time Off Request'!$A:$A,'July 2026'!$D18,'2026 Time Off Request'!$L:$L,'July 2026'!AD$6)</f>
        <v>0</v>
      </c>
      <c r="AE18" s="147">
        <f>COUNTIFS('2026 Time Off Request'!$A:$A,'July 2026'!$D18,'2026 Time Off Request'!$L:$L,'July 2026'!AE$6)</f>
        <v>0</v>
      </c>
      <c r="AF18" s="148">
        <f>COUNTIFS('2026 Time Off Request'!$A:$A,'July 2026'!$D18,'2026 Time Off Request'!$L:$L,'July 2026'!AF$6)</f>
        <v>0</v>
      </c>
      <c r="AG18" s="148">
        <f>COUNTIFS('2026 Time Off Request'!$A:$A,'July 2026'!$D18,'2026 Time Off Request'!$L:$L,'July 2026'!AG$6)</f>
        <v>0</v>
      </c>
      <c r="AH18" s="148">
        <f>COUNTIFS('2026 Time Off Request'!$A:$A,'July 2026'!$D18,'2026 Time Off Request'!$L:$L,'July 2026'!AH$6)</f>
        <v>0</v>
      </c>
      <c r="AI18" s="148">
        <f>COUNTIFS('2026 Time Off Request'!$A:$A,'July 2026'!$D18,'2026 Time Off Request'!$L:$L,'July 2026'!AI$6)</f>
        <v>0</v>
      </c>
      <c r="AJ18" s="148">
        <f>COUNTIFS('2026 Time Off Request'!$A:$A,'July 2026'!$D18,'2026 Time Off Request'!$L:$L,'July 2026'!AJ$6)</f>
        <v>0</v>
      </c>
    </row>
    <row r="19" spans="1:36" ht="15.75">
      <c r="A19" s="2">
        <v>13</v>
      </c>
      <c r="B19" s="104" t="s">
        <v>36</v>
      </c>
      <c r="C19" s="23" t="s">
        <v>37</v>
      </c>
      <c r="D19" s="2" t="s">
        <v>44</v>
      </c>
      <c r="E19" s="212">
        <f t="shared" si="3"/>
        <v>0</v>
      </c>
      <c r="F19" s="226">
        <f>COUNTIFS('2026 Time Off Request'!$A:$A,'July 2026'!$D19,'2026 Time Off Request'!$L:$L,'July 2026'!F$6)</f>
        <v>0</v>
      </c>
      <c r="G19" s="148">
        <f>COUNTIFS('2026 Time Off Request'!$A:$A,'July 2026'!$D19,'2026 Time Off Request'!$L:$L,'July 2026'!G$6)</f>
        <v>0</v>
      </c>
      <c r="H19" s="148">
        <f>COUNTIFS('2026 Time Off Request'!$A:$A,'July 2026'!$D19,'2026 Time Off Request'!$L:$L,'July 2026'!H$6)</f>
        <v>0</v>
      </c>
      <c r="I19" s="147">
        <f>COUNTIFS('2026 Time Off Request'!$A:$A,'July 2026'!$D19,'2026 Time Off Request'!$L:$L,'July 2026'!I$6)</f>
        <v>0</v>
      </c>
      <c r="J19" s="147">
        <f>COUNTIFS('2026 Time Off Request'!$A:$A,'July 2026'!$D19,'2026 Time Off Request'!$L:$L,'July 2026'!J$6)</f>
        <v>0</v>
      </c>
      <c r="K19" s="148">
        <f>COUNTIFS('2026 Time Off Request'!$A:$A,'July 2026'!$D19,'2026 Time Off Request'!$L:$L,'July 2026'!K$6)</f>
        <v>0</v>
      </c>
      <c r="L19" s="148">
        <f>COUNTIFS('2026 Time Off Request'!$A:$A,'July 2026'!$D19,'2026 Time Off Request'!$L:$L,'July 2026'!L$6)</f>
        <v>0</v>
      </c>
      <c r="M19" s="148">
        <f>COUNTIFS('2026 Time Off Request'!$A:$A,'July 2026'!$D19,'2026 Time Off Request'!$L:$L,'July 2026'!M$6)</f>
        <v>0</v>
      </c>
      <c r="N19" s="148">
        <f>COUNTIFS('2026 Time Off Request'!$A:$A,'July 2026'!$D19,'2026 Time Off Request'!$L:$L,'July 2026'!N$6)</f>
        <v>0</v>
      </c>
      <c r="O19" s="148">
        <f>COUNTIFS('2026 Time Off Request'!$A:$A,'July 2026'!$D19,'2026 Time Off Request'!$L:$L,'July 2026'!O$6)</f>
        <v>0</v>
      </c>
      <c r="P19" s="147">
        <f>COUNTIFS('2026 Time Off Request'!$A:$A,'July 2026'!$D19,'2026 Time Off Request'!$L:$L,'July 2026'!P$6)</f>
        <v>0</v>
      </c>
      <c r="Q19" s="147">
        <f>COUNTIFS('2026 Time Off Request'!$A:$A,'July 2026'!$D19,'2026 Time Off Request'!$L:$L,'July 2026'!Q$6)</f>
        <v>0</v>
      </c>
      <c r="R19" s="148">
        <f>COUNTIFS('2026 Time Off Request'!$A:$A,'July 2026'!$D19,'2026 Time Off Request'!$L:$L,'July 2026'!R$6)</f>
        <v>0</v>
      </c>
      <c r="S19" s="148">
        <f>COUNTIFS('2026 Time Off Request'!$A:$A,'July 2026'!$D19,'2026 Time Off Request'!$L:$L,'July 2026'!S$6)</f>
        <v>0</v>
      </c>
      <c r="T19" s="148">
        <f>COUNTIFS('2026 Time Off Request'!$A:$A,'July 2026'!$D19,'2026 Time Off Request'!$L:$L,'July 2026'!T$6)</f>
        <v>0</v>
      </c>
      <c r="U19" s="148">
        <f>COUNTIFS('2026 Time Off Request'!$A:$A,'July 2026'!$D19,'2026 Time Off Request'!$L:$L,'July 2026'!U$6)</f>
        <v>0</v>
      </c>
      <c r="V19" s="148">
        <f>COUNTIFS('2026 Time Off Request'!$A:$A,'July 2026'!$D19,'2026 Time Off Request'!$L:$L,'July 2026'!V$6)</f>
        <v>0</v>
      </c>
      <c r="W19" s="147">
        <f>COUNTIFS('2026 Time Off Request'!$A:$A,'July 2026'!$D19,'2026 Time Off Request'!$L:$L,'July 2026'!W$6)</f>
        <v>0</v>
      </c>
      <c r="X19" s="147">
        <f>COUNTIFS('2026 Time Off Request'!$A:$A,'July 2026'!$D19,'2026 Time Off Request'!$L:$L,'July 2026'!X$6)</f>
        <v>0</v>
      </c>
      <c r="Y19" s="148">
        <f>COUNTIFS('2026 Time Off Request'!$A:$A,'July 2026'!$D19,'2026 Time Off Request'!$L:$L,'July 2026'!Y$6)</f>
        <v>0</v>
      </c>
      <c r="Z19" s="148">
        <f>COUNTIFS('2026 Time Off Request'!$A:$A,'July 2026'!$D19,'2026 Time Off Request'!$L:$L,'July 2026'!Z$6)</f>
        <v>0</v>
      </c>
      <c r="AA19" s="148">
        <f>COUNTIFS('2026 Time Off Request'!$A:$A,'July 2026'!$D19,'2026 Time Off Request'!$L:$L,'July 2026'!AA$6)</f>
        <v>0</v>
      </c>
      <c r="AB19" s="148">
        <f>COUNTIFS('2026 Time Off Request'!$A:$A,'July 2026'!$D19,'2026 Time Off Request'!$L:$L,'July 2026'!AB$6)</f>
        <v>0</v>
      </c>
      <c r="AC19" s="148">
        <f>COUNTIFS('2026 Time Off Request'!$A:$A,'July 2026'!$D19,'2026 Time Off Request'!$L:$L,'July 2026'!AC$6)</f>
        <v>0</v>
      </c>
      <c r="AD19" s="147">
        <f>COUNTIFS('2026 Time Off Request'!$A:$A,'July 2026'!$D19,'2026 Time Off Request'!$L:$L,'July 2026'!AD$6)</f>
        <v>0</v>
      </c>
      <c r="AE19" s="147">
        <f>COUNTIFS('2026 Time Off Request'!$A:$A,'July 2026'!$D19,'2026 Time Off Request'!$L:$L,'July 2026'!AE$6)</f>
        <v>0</v>
      </c>
      <c r="AF19" s="148">
        <f>COUNTIFS('2026 Time Off Request'!$A:$A,'July 2026'!$D19,'2026 Time Off Request'!$L:$L,'July 2026'!AF$6)</f>
        <v>0</v>
      </c>
      <c r="AG19" s="148">
        <f>COUNTIFS('2026 Time Off Request'!$A:$A,'July 2026'!$D19,'2026 Time Off Request'!$L:$L,'July 2026'!AG$6)</f>
        <v>0</v>
      </c>
      <c r="AH19" s="148">
        <f>COUNTIFS('2026 Time Off Request'!$A:$A,'July 2026'!$D19,'2026 Time Off Request'!$L:$L,'July 2026'!AH$6)</f>
        <v>0</v>
      </c>
      <c r="AI19" s="148">
        <f>COUNTIFS('2026 Time Off Request'!$A:$A,'July 2026'!$D19,'2026 Time Off Request'!$L:$L,'July 2026'!AI$6)</f>
        <v>0</v>
      </c>
      <c r="AJ19" s="148">
        <f>COUNTIFS('2026 Time Off Request'!$A:$A,'July 2026'!$D19,'2026 Time Off Request'!$L:$L,'July 2026'!AJ$6)</f>
        <v>0</v>
      </c>
    </row>
    <row r="20" spans="1:36" ht="15.75">
      <c r="A20" s="2">
        <v>14</v>
      </c>
      <c r="B20" s="104" t="s">
        <v>45</v>
      </c>
      <c r="C20" s="23" t="s">
        <v>37</v>
      </c>
      <c r="D20" s="2" t="s">
        <v>46</v>
      </c>
      <c r="E20" s="212">
        <f t="shared" si="3"/>
        <v>0</v>
      </c>
      <c r="F20" s="226">
        <f>COUNTIFS('2026 Time Off Request'!$A:$A,'July 2026'!$D20,'2026 Time Off Request'!$L:$L,'July 2026'!F$6)</f>
        <v>0</v>
      </c>
      <c r="G20" s="148">
        <f>COUNTIFS('2026 Time Off Request'!$A:$A,'July 2026'!$D20,'2026 Time Off Request'!$L:$L,'July 2026'!G$6)</f>
        <v>0</v>
      </c>
      <c r="H20" s="148">
        <f>COUNTIFS('2026 Time Off Request'!$A:$A,'July 2026'!$D20,'2026 Time Off Request'!$L:$L,'July 2026'!H$6)</f>
        <v>0</v>
      </c>
      <c r="I20" s="147">
        <f>COUNTIFS('2026 Time Off Request'!$A:$A,'July 2026'!$D20,'2026 Time Off Request'!$L:$L,'July 2026'!I$6)</f>
        <v>0</v>
      </c>
      <c r="J20" s="147">
        <f>COUNTIFS('2026 Time Off Request'!$A:$A,'July 2026'!$D20,'2026 Time Off Request'!$L:$L,'July 2026'!J$6)</f>
        <v>0</v>
      </c>
      <c r="K20" s="148">
        <f>COUNTIFS('2026 Time Off Request'!$A:$A,'July 2026'!$D20,'2026 Time Off Request'!$L:$L,'July 2026'!K$6)</f>
        <v>0</v>
      </c>
      <c r="L20" s="148">
        <f>COUNTIFS('2026 Time Off Request'!$A:$A,'July 2026'!$D20,'2026 Time Off Request'!$L:$L,'July 2026'!L$6)</f>
        <v>0</v>
      </c>
      <c r="M20" s="148">
        <f>COUNTIFS('2026 Time Off Request'!$A:$A,'July 2026'!$D20,'2026 Time Off Request'!$L:$L,'July 2026'!M$6)</f>
        <v>0</v>
      </c>
      <c r="N20" s="148">
        <f>COUNTIFS('2026 Time Off Request'!$A:$A,'July 2026'!$D20,'2026 Time Off Request'!$L:$L,'July 2026'!N$6)</f>
        <v>0</v>
      </c>
      <c r="O20" s="148">
        <f>COUNTIFS('2026 Time Off Request'!$A:$A,'July 2026'!$D20,'2026 Time Off Request'!$L:$L,'July 2026'!O$6)</f>
        <v>0</v>
      </c>
      <c r="P20" s="147">
        <f>COUNTIFS('2026 Time Off Request'!$A:$A,'July 2026'!$D20,'2026 Time Off Request'!$L:$L,'July 2026'!P$6)</f>
        <v>0</v>
      </c>
      <c r="Q20" s="147">
        <f>COUNTIFS('2026 Time Off Request'!$A:$A,'July 2026'!$D20,'2026 Time Off Request'!$L:$L,'July 2026'!Q$6)</f>
        <v>0</v>
      </c>
      <c r="R20" s="148">
        <f>COUNTIFS('2026 Time Off Request'!$A:$A,'July 2026'!$D20,'2026 Time Off Request'!$L:$L,'July 2026'!R$6)</f>
        <v>0</v>
      </c>
      <c r="S20" s="148">
        <f>COUNTIFS('2026 Time Off Request'!$A:$A,'July 2026'!$D20,'2026 Time Off Request'!$L:$L,'July 2026'!S$6)</f>
        <v>0</v>
      </c>
      <c r="T20" s="148">
        <f>COUNTIFS('2026 Time Off Request'!$A:$A,'July 2026'!$D20,'2026 Time Off Request'!$L:$L,'July 2026'!T$6)</f>
        <v>0</v>
      </c>
      <c r="U20" s="148">
        <f>COUNTIFS('2026 Time Off Request'!$A:$A,'July 2026'!$D20,'2026 Time Off Request'!$L:$L,'July 2026'!U$6)</f>
        <v>0</v>
      </c>
      <c r="V20" s="148">
        <f>COUNTIFS('2026 Time Off Request'!$A:$A,'July 2026'!$D20,'2026 Time Off Request'!$L:$L,'July 2026'!V$6)</f>
        <v>0</v>
      </c>
      <c r="W20" s="147">
        <f>COUNTIFS('2026 Time Off Request'!$A:$A,'July 2026'!$D20,'2026 Time Off Request'!$L:$L,'July 2026'!W$6)</f>
        <v>0</v>
      </c>
      <c r="X20" s="147">
        <f>COUNTIFS('2026 Time Off Request'!$A:$A,'July 2026'!$D20,'2026 Time Off Request'!$L:$L,'July 2026'!X$6)</f>
        <v>0</v>
      </c>
      <c r="Y20" s="148">
        <f>COUNTIFS('2026 Time Off Request'!$A:$A,'July 2026'!$D20,'2026 Time Off Request'!$L:$L,'July 2026'!Y$6)</f>
        <v>0</v>
      </c>
      <c r="Z20" s="148">
        <f>COUNTIFS('2026 Time Off Request'!$A:$A,'July 2026'!$D20,'2026 Time Off Request'!$L:$L,'July 2026'!Z$6)</f>
        <v>0</v>
      </c>
      <c r="AA20" s="148">
        <f>COUNTIFS('2026 Time Off Request'!$A:$A,'July 2026'!$D20,'2026 Time Off Request'!$L:$L,'July 2026'!AA$6)</f>
        <v>0</v>
      </c>
      <c r="AB20" s="148">
        <f>COUNTIFS('2026 Time Off Request'!$A:$A,'July 2026'!$D20,'2026 Time Off Request'!$L:$L,'July 2026'!AB$6)</f>
        <v>0</v>
      </c>
      <c r="AC20" s="148">
        <f>COUNTIFS('2026 Time Off Request'!$A:$A,'July 2026'!$D20,'2026 Time Off Request'!$L:$L,'July 2026'!AC$6)</f>
        <v>0</v>
      </c>
      <c r="AD20" s="147">
        <f>COUNTIFS('2026 Time Off Request'!$A:$A,'July 2026'!$D20,'2026 Time Off Request'!$L:$L,'July 2026'!AD$6)</f>
        <v>0</v>
      </c>
      <c r="AE20" s="147">
        <f>COUNTIFS('2026 Time Off Request'!$A:$A,'July 2026'!$D20,'2026 Time Off Request'!$L:$L,'July 2026'!AE$6)</f>
        <v>0</v>
      </c>
      <c r="AF20" s="148">
        <f>COUNTIFS('2026 Time Off Request'!$A:$A,'July 2026'!$D20,'2026 Time Off Request'!$L:$L,'July 2026'!AF$6)</f>
        <v>0</v>
      </c>
      <c r="AG20" s="148">
        <f>COUNTIFS('2026 Time Off Request'!$A:$A,'July 2026'!$D20,'2026 Time Off Request'!$L:$L,'July 2026'!AG$6)</f>
        <v>0</v>
      </c>
      <c r="AH20" s="148">
        <f>COUNTIFS('2026 Time Off Request'!$A:$A,'July 2026'!$D20,'2026 Time Off Request'!$L:$L,'July 2026'!AH$6)</f>
        <v>0</v>
      </c>
      <c r="AI20" s="148">
        <f>COUNTIFS('2026 Time Off Request'!$A:$A,'July 2026'!$D20,'2026 Time Off Request'!$L:$L,'July 2026'!AI$6)</f>
        <v>0</v>
      </c>
      <c r="AJ20" s="148">
        <f>COUNTIFS('2026 Time Off Request'!$A:$A,'July 2026'!$D20,'2026 Time Off Request'!$L:$L,'July 2026'!AJ$6)</f>
        <v>0</v>
      </c>
    </row>
    <row r="21" spans="1:36" ht="15.75">
      <c r="A21" s="2">
        <v>15</v>
      </c>
      <c r="B21" s="104" t="s">
        <v>45</v>
      </c>
      <c r="C21" s="23" t="s">
        <v>47</v>
      </c>
      <c r="D21" s="2" t="s">
        <v>48</v>
      </c>
      <c r="E21" s="212">
        <f t="shared" si="3"/>
        <v>0</v>
      </c>
      <c r="F21" s="226">
        <f>COUNTIFS('2026 Time Off Request'!$A:$A,'July 2026'!$D21,'2026 Time Off Request'!$L:$L,'July 2026'!F$6)</f>
        <v>0</v>
      </c>
      <c r="G21" s="148">
        <f>COUNTIFS('2026 Time Off Request'!$A:$A,'July 2026'!$D21,'2026 Time Off Request'!$L:$L,'July 2026'!G$6)</f>
        <v>0</v>
      </c>
      <c r="H21" s="148">
        <f>COUNTIFS('2026 Time Off Request'!$A:$A,'July 2026'!$D21,'2026 Time Off Request'!$L:$L,'July 2026'!H$6)</f>
        <v>0</v>
      </c>
      <c r="I21" s="147">
        <f>COUNTIFS('2026 Time Off Request'!$A:$A,'July 2026'!$D21,'2026 Time Off Request'!$L:$L,'July 2026'!I$6)</f>
        <v>0</v>
      </c>
      <c r="J21" s="147">
        <f>COUNTIFS('2026 Time Off Request'!$A:$A,'July 2026'!$D21,'2026 Time Off Request'!$L:$L,'July 2026'!J$6)</f>
        <v>0</v>
      </c>
      <c r="K21" s="148">
        <f>COUNTIFS('2026 Time Off Request'!$A:$A,'July 2026'!$D21,'2026 Time Off Request'!$L:$L,'July 2026'!K$6)</f>
        <v>0</v>
      </c>
      <c r="L21" s="148">
        <f>COUNTIFS('2026 Time Off Request'!$A:$A,'July 2026'!$D21,'2026 Time Off Request'!$L:$L,'July 2026'!L$6)</f>
        <v>0</v>
      </c>
      <c r="M21" s="148">
        <f>COUNTIFS('2026 Time Off Request'!$A:$A,'July 2026'!$D21,'2026 Time Off Request'!$L:$L,'July 2026'!M$6)</f>
        <v>0</v>
      </c>
      <c r="N21" s="148">
        <f>COUNTIFS('2026 Time Off Request'!$A:$A,'July 2026'!$D21,'2026 Time Off Request'!$L:$L,'July 2026'!N$6)</f>
        <v>0</v>
      </c>
      <c r="O21" s="148">
        <f>COUNTIFS('2026 Time Off Request'!$A:$A,'July 2026'!$D21,'2026 Time Off Request'!$L:$L,'July 2026'!O$6)</f>
        <v>0</v>
      </c>
      <c r="P21" s="147">
        <f>COUNTIFS('2026 Time Off Request'!$A:$A,'July 2026'!$D21,'2026 Time Off Request'!$L:$L,'July 2026'!P$6)</f>
        <v>0</v>
      </c>
      <c r="Q21" s="147">
        <f>COUNTIFS('2026 Time Off Request'!$A:$A,'July 2026'!$D21,'2026 Time Off Request'!$L:$L,'July 2026'!Q$6)</f>
        <v>0</v>
      </c>
      <c r="R21" s="148">
        <f>COUNTIFS('2026 Time Off Request'!$A:$A,'July 2026'!$D21,'2026 Time Off Request'!$L:$L,'July 2026'!R$6)</f>
        <v>0</v>
      </c>
      <c r="S21" s="148">
        <f>COUNTIFS('2026 Time Off Request'!$A:$A,'July 2026'!$D21,'2026 Time Off Request'!$L:$L,'July 2026'!S$6)</f>
        <v>0</v>
      </c>
      <c r="T21" s="148">
        <f>COUNTIFS('2026 Time Off Request'!$A:$A,'July 2026'!$D21,'2026 Time Off Request'!$L:$L,'July 2026'!T$6)</f>
        <v>0</v>
      </c>
      <c r="U21" s="148">
        <f>COUNTIFS('2026 Time Off Request'!$A:$A,'July 2026'!$D21,'2026 Time Off Request'!$L:$L,'July 2026'!U$6)</f>
        <v>0</v>
      </c>
      <c r="V21" s="148">
        <f>COUNTIFS('2026 Time Off Request'!$A:$A,'July 2026'!$D21,'2026 Time Off Request'!$L:$L,'July 2026'!V$6)</f>
        <v>0</v>
      </c>
      <c r="W21" s="147">
        <f>COUNTIFS('2026 Time Off Request'!$A:$A,'July 2026'!$D21,'2026 Time Off Request'!$L:$L,'July 2026'!W$6)</f>
        <v>0</v>
      </c>
      <c r="X21" s="147">
        <f>COUNTIFS('2026 Time Off Request'!$A:$A,'July 2026'!$D21,'2026 Time Off Request'!$L:$L,'July 2026'!X$6)</f>
        <v>0</v>
      </c>
      <c r="Y21" s="148">
        <f>COUNTIFS('2026 Time Off Request'!$A:$A,'July 2026'!$D21,'2026 Time Off Request'!$L:$L,'July 2026'!Y$6)</f>
        <v>0</v>
      </c>
      <c r="Z21" s="148">
        <f>COUNTIFS('2026 Time Off Request'!$A:$A,'July 2026'!$D21,'2026 Time Off Request'!$L:$L,'July 2026'!Z$6)</f>
        <v>0</v>
      </c>
      <c r="AA21" s="148">
        <f>COUNTIFS('2026 Time Off Request'!$A:$A,'July 2026'!$D21,'2026 Time Off Request'!$L:$L,'July 2026'!AA$6)</f>
        <v>0</v>
      </c>
      <c r="AB21" s="148">
        <f>COUNTIFS('2026 Time Off Request'!$A:$A,'July 2026'!$D21,'2026 Time Off Request'!$L:$L,'July 2026'!AB$6)</f>
        <v>0</v>
      </c>
      <c r="AC21" s="148">
        <f>COUNTIFS('2026 Time Off Request'!$A:$A,'July 2026'!$D21,'2026 Time Off Request'!$L:$L,'July 2026'!AC$6)</f>
        <v>0</v>
      </c>
      <c r="AD21" s="147">
        <f>COUNTIFS('2026 Time Off Request'!$A:$A,'July 2026'!$D21,'2026 Time Off Request'!$L:$L,'July 2026'!AD$6)</f>
        <v>0</v>
      </c>
      <c r="AE21" s="147">
        <f>COUNTIFS('2026 Time Off Request'!$A:$A,'July 2026'!$D21,'2026 Time Off Request'!$L:$L,'July 2026'!AE$6)</f>
        <v>0</v>
      </c>
      <c r="AF21" s="148">
        <f>COUNTIFS('2026 Time Off Request'!$A:$A,'July 2026'!$D21,'2026 Time Off Request'!$L:$L,'July 2026'!AF$6)</f>
        <v>0</v>
      </c>
      <c r="AG21" s="148">
        <f>COUNTIFS('2026 Time Off Request'!$A:$A,'July 2026'!$D21,'2026 Time Off Request'!$L:$L,'July 2026'!AG$6)</f>
        <v>0</v>
      </c>
      <c r="AH21" s="148">
        <f>COUNTIFS('2026 Time Off Request'!$A:$A,'July 2026'!$D21,'2026 Time Off Request'!$L:$L,'July 2026'!AH$6)</f>
        <v>0</v>
      </c>
      <c r="AI21" s="148">
        <f>COUNTIFS('2026 Time Off Request'!$A:$A,'July 2026'!$D21,'2026 Time Off Request'!$L:$L,'July 2026'!AI$6)</f>
        <v>0</v>
      </c>
      <c r="AJ21" s="148">
        <f>COUNTIFS('2026 Time Off Request'!$A:$A,'July 2026'!$D21,'2026 Time Off Request'!$L:$L,'July 2026'!AJ$6)</f>
        <v>0</v>
      </c>
    </row>
    <row r="22" spans="1:36" ht="15.75">
      <c r="A22" s="2">
        <v>16</v>
      </c>
      <c r="B22" s="104" t="s">
        <v>49</v>
      </c>
      <c r="C22" s="23" t="s">
        <v>50</v>
      </c>
      <c r="D22" s="2" t="s">
        <v>51</v>
      </c>
      <c r="E22" s="212">
        <f t="shared" si="3"/>
        <v>0</v>
      </c>
      <c r="F22" s="226">
        <f>COUNTIFS('2026 Time Off Request'!$A:$A,'July 2026'!$D22,'2026 Time Off Request'!$L:$L,'July 2026'!F$6)</f>
        <v>0</v>
      </c>
      <c r="G22" s="148">
        <f>COUNTIFS('2026 Time Off Request'!$A:$A,'July 2026'!$D22,'2026 Time Off Request'!$L:$L,'July 2026'!G$6)</f>
        <v>0</v>
      </c>
      <c r="H22" s="148">
        <f>COUNTIFS('2026 Time Off Request'!$A:$A,'July 2026'!$D22,'2026 Time Off Request'!$L:$L,'July 2026'!H$6)</f>
        <v>0</v>
      </c>
      <c r="I22" s="147">
        <f>COUNTIFS('2026 Time Off Request'!$A:$A,'July 2026'!$D22,'2026 Time Off Request'!$L:$L,'July 2026'!I$6)</f>
        <v>0</v>
      </c>
      <c r="J22" s="147">
        <f>COUNTIFS('2026 Time Off Request'!$A:$A,'July 2026'!$D22,'2026 Time Off Request'!$L:$L,'July 2026'!J$6)</f>
        <v>0</v>
      </c>
      <c r="K22" s="148">
        <f>COUNTIFS('2026 Time Off Request'!$A:$A,'July 2026'!$D22,'2026 Time Off Request'!$L:$L,'July 2026'!K$6)</f>
        <v>0</v>
      </c>
      <c r="L22" s="148">
        <f>COUNTIFS('2026 Time Off Request'!$A:$A,'July 2026'!$D22,'2026 Time Off Request'!$L:$L,'July 2026'!L$6)</f>
        <v>0</v>
      </c>
      <c r="M22" s="148">
        <f>COUNTIFS('2026 Time Off Request'!$A:$A,'July 2026'!$D22,'2026 Time Off Request'!$L:$L,'July 2026'!M$6)</f>
        <v>0</v>
      </c>
      <c r="N22" s="148">
        <f>COUNTIFS('2026 Time Off Request'!$A:$A,'July 2026'!$D22,'2026 Time Off Request'!$L:$L,'July 2026'!N$6)</f>
        <v>0</v>
      </c>
      <c r="O22" s="148">
        <f>COUNTIFS('2026 Time Off Request'!$A:$A,'July 2026'!$D22,'2026 Time Off Request'!$L:$L,'July 2026'!O$6)</f>
        <v>0</v>
      </c>
      <c r="P22" s="147">
        <f>COUNTIFS('2026 Time Off Request'!$A:$A,'July 2026'!$D22,'2026 Time Off Request'!$L:$L,'July 2026'!P$6)</f>
        <v>0</v>
      </c>
      <c r="Q22" s="147">
        <f>COUNTIFS('2026 Time Off Request'!$A:$A,'July 2026'!$D22,'2026 Time Off Request'!$L:$L,'July 2026'!Q$6)</f>
        <v>0</v>
      </c>
      <c r="R22" s="148">
        <f>COUNTIFS('2026 Time Off Request'!$A:$A,'July 2026'!$D22,'2026 Time Off Request'!$L:$L,'July 2026'!R$6)</f>
        <v>0</v>
      </c>
      <c r="S22" s="148">
        <f>COUNTIFS('2026 Time Off Request'!$A:$A,'July 2026'!$D22,'2026 Time Off Request'!$L:$L,'July 2026'!S$6)</f>
        <v>0</v>
      </c>
      <c r="T22" s="148">
        <f>COUNTIFS('2026 Time Off Request'!$A:$A,'July 2026'!$D22,'2026 Time Off Request'!$L:$L,'July 2026'!T$6)</f>
        <v>0</v>
      </c>
      <c r="U22" s="148">
        <f>COUNTIFS('2026 Time Off Request'!$A:$A,'July 2026'!$D22,'2026 Time Off Request'!$L:$L,'July 2026'!U$6)</f>
        <v>0</v>
      </c>
      <c r="V22" s="148">
        <f>COUNTIFS('2026 Time Off Request'!$A:$A,'July 2026'!$D22,'2026 Time Off Request'!$L:$L,'July 2026'!V$6)</f>
        <v>0</v>
      </c>
      <c r="W22" s="147">
        <f>COUNTIFS('2026 Time Off Request'!$A:$A,'July 2026'!$D22,'2026 Time Off Request'!$L:$L,'July 2026'!W$6)</f>
        <v>0</v>
      </c>
      <c r="X22" s="147">
        <f>COUNTIFS('2026 Time Off Request'!$A:$A,'July 2026'!$D22,'2026 Time Off Request'!$L:$L,'July 2026'!X$6)</f>
        <v>0</v>
      </c>
      <c r="Y22" s="148">
        <f>COUNTIFS('2026 Time Off Request'!$A:$A,'July 2026'!$D22,'2026 Time Off Request'!$L:$L,'July 2026'!Y$6)</f>
        <v>0</v>
      </c>
      <c r="Z22" s="148">
        <f>COUNTIFS('2026 Time Off Request'!$A:$A,'July 2026'!$D22,'2026 Time Off Request'!$L:$L,'July 2026'!Z$6)</f>
        <v>0</v>
      </c>
      <c r="AA22" s="148">
        <f>COUNTIFS('2026 Time Off Request'!$A:$A,'July 2026'!$D22,'2026 Time Off Request'!$L:$L,'July 2026'!AA$6)</f>
        <v>0</v>
      </c>
      <c r="AB22" s="148">
        <f>COUNTIFS('2026 Time Off Request'!$A:$A,'July 2026'!$D22,'2026 Time Off Request'!$L:$L,'July 2026'!AB$6)</f>
        <v>0</v>
      </c>
      <c r="AC22" s="148">
        <f>COUNTIFS('2026 Time Off Request'!$A:$A,'July 2026'!$D22,'2026 Time Off Request'!$L:$L,'July 2026'!AC$6)</f>
        <v>0</v>
      </c>
      <c r="AD22" s="147">
        <f>COUNTIFS('2026 Time Off Request'!$A:$A,'July 2026'!$D22,'2026 Time Off Request'!$L:$L,'July 2026'!AD$6)</f>
        <v>0</v>
      </c>
      <c r="AE22" s="147">
        <f>COUNTIFS('2026 Time Off Request'!$A:$A,'July 2026'!$D22,'2026 Time Off Request'!$L:$L,'July 2026'!AE$6)</f>
        <v>0</v>
      </c>
      <c r="AF22" s="148">
        <f>COUNTIFS('2026 Time Off Request'!$A:$A,'July 2026'!$D22,'2026 Time Off Request'!$L:$L,'July 2026'!AF$6)</f>
        <v>0</v>
      </c>
      <c r="AG22" s="148">
        <f>COUNTIFS('2026 Time Off Request'!$A:$A,'July 2026'!$D22,'2026 Time Off Request'!$L:$L,'July 2026'!AG$6)</f>
        <v>0</v>
      </c>
      <c r="AH22" s="148">
        <f>COUNTIFS('2026 Time Off Request'!$A:$A,'July 2026'!$D22,'2026 Time Off Request'!$L:$L,'July 2026'!AH$6)</f>
        <v>0</v>
      </c>
      <c r="AI22" s="148">
        <f>COUNTIFS('2026 Time Off Request'!$A:$A,'July 2026'!$D22,'2026 Time Off Request'!$L:$L,'July 2026'!AI$6)</f>
        <v>0</v>
      </c>
      <c r="AJ22" s="148">
        <f>COUNTIFS('2026 Time Off Request'!$A:$A,'July 2026'!$D22,'2026 Time Off Request'!$L:$L,'July 2026'!AJ$6)</f>
        <v>0</v>
      </c>
    </row>
    <row r="23" spans="1:36" ht="15.75">
      <c r="A23" s="2">
        <v>17</v>
      </c>
      <c r="B23" s="104" t="s">
        <v>45</v>
      </c>
      <c r="C23" s="23" t="s">
        <v>52</v>
      </c>
      <c r="D23" s="2" t="s">
        <v>53</v>
      </c>
      <c r="E23" s="212">
        <f t="shared" si="3"/>
        <v>0</v>
      </c>
      <c r="F23" s="226">
        <f>COUNTIFS('2026 Time Off Request'!$A:$A,'July 2026'!$D23,'2026 Time Off Request'!$L:$L,'July 2026'!F$6)</f>
        <v>0</v>
      </c>
      <c r="G23" s="148">
        <f>COUNTIFS('2026 Time Off Request'!$A:$A,'July 2026'!$D23,'2026 Time Off Request'!$L:$L,'July 2026'!G$6)</f>
        <v>0</v>
      </c>
      <c r="H23" s="148">
        <f>COUNTIFS('2026 Time Off Request'!$A:$A,'July 2026'!$D23,'2026 Time Off Request'!$L:$L,'July 2026'!H$6)</f>
        <v>0</v>
      </c>
      <c r="I23" s="147">
        <f>COUNTIFS('2026 Time Off Request'!$A:$A,'July 2026'!$D23,'2026 Time Off Request'!$L:$L,'July 2026'!I$6)</f>
        <v>0</v>
      </c>
      <c r="J23" s="147">
        <f>COUNTIFS('2026 Time Off Request'!$A:$A,'July 2026'!$D23,'2026 Time Off Request'!$L:$L,'July 2026'!J$6)</f>
        <v>0</v>
      </c>
      <c r="K23" s="148">
        <f>COUNTIFS('2026 Time Off Request'!$A:$A,'July 2026'!$D23,'2026 Time Off Request'!$L:$L,'July 2026'!K$6)</f>
        <v>0</v>
      </c>
      <c r="L23" s="148">
        <f>COUNTIFS('2026 Time Off Request'!$A:$A,'July 2026'!$D23,'2026 Time Off Request'!$L:$L,'July 2026'!L$6)</f>
        <v>0</v>
      </c>
      <c r="M23" s="148">
        <f>COUNTIFS('2026 Time Off Request'!$A:$A,'July 2026'!$D23,'2026 Time Off Request'!$L:$L,'July 2026'!M$6)</f>
        <v>0</v>
      </c>
      <c r="N23" s="148">
        <f>COUNTIFS('2026 Time Off Request'!$A:$A,'July 2026'!$D23,'2026 Time Off Request'!$L:$L,'July 2026'!N$6)</f>
        <v>0</v>
      </c>
      <c r="O23" s="148">
        <f>COUNTIFS('2026 Time Off Request'!$A:$A,'July 2026'!$D23,'2026 Time Off Request'!$L:$L,'July 2026'!O$6)</f>
        <v>0</v>
      </c>
      <c r="P23" s="147">
        <f>COUNTIFS('2026 Time Off Request'!$A:$A,'July 2026'!$D23,'2026 Time Off Request'!$L:$L,'July 2026'!P$6)</f>
        <v>0</v>
      </c>
      <c r="Q23" s="147">
        <f>COUNTIFS('2026 Time Off Request'!$A:$A,'July 2026'!$D23,'2026 Time Off Request'!$L:$L,'July 2026'!Q$6)</f>
        <v>0</v>
      </c>
      <c r="R23" s="148">
        <f>COUNTIFS('2026 Time Off Request'!$A:$A,'July 2026'!$D23,'2026 Time Off Request'!$L:$L,'July 2026'!R$6)</f>
        <v>0</v>
      </c>
      <c r="S23" s="148">
        <f>COUNTIFS('2026 Time Off Request'!$A:$A,'July 2026'!$D23,'2026 Time Off Request'!$L:$L,'July 2026'!S$6)</f>
        <v>0</v>
      </c>
      <c r="T23" s="148">
        <f>COUNTIFS('2026 Time Off Request'!$A:$A,'July 2026'!$D23,'2026 Time Off Request'!$L:$L,'July 2026'!T$6)</f>
        <v>0</v>
      </c>
      <c r="U23" s="148">
        <f>COUNTIFS('2026 Time Off Request'!$A:$A,'July 2026'!$D23,'2026 Time Off Request'!$L:$L,'July 2026'!U$6)</f>
        <v>0</v>
      </c>
      <c r="V23" s="148">
        <f>COUNTIFS('2026 Time Off Request'!$A:$A,'July 2026'!$D23,'2026 Time Off Request'!$L:$L,'July 2026'!V$6)</f>
        <v>0</v>
      </c>
      <c r="W23" s="147">
        <f>COUNTIFS('2026 Time Off Request'!$A:$A,'July 2026'!$D23,'2026 Time Off Request'!$L:$L,'July 2026'!W$6)</f>
        <v>0</v>
      </c>
      <c r="X23" s="147">
        <f>COUNTIFS('2026 Time Off Request'!$A:$A,'July 2026'!$D23,'2026 Time Off Request'!$L:$L,'July 2026'!X$6)</f>
        <v>0</v>
      </c>
      <c r="Y23" s="148">
        <f>COUNTIFS('2026 Time Off Request'!$A:$A,'July 2026'!$D23,'2026 Time Off Request'!$L:$L,'July 2026'!Y$6)</f>
        <v>0</v>
      </c>
      <c r="Z23" s="148">
        <f>COUNTIFS('2026 Time Off Request'!$A:$A,'July 2026'!$D23,'2026 Time Off Request'!$L:$L,'July 2026'!Z$6)</f>
        <v>0</v>
      </c>
      <c r="AA23" s="148">
        <f>COUNTIFS('2026 Time Off Request'!$A:$A,'July 2026'!$D23,'2026 Time Off Request'!$L:$L,'July 2026'!AA$6)</f>
        <v>0</v>
      </c>
      <c r="AB23" s="148">
        <f>COUNTIFS('2026 Time Off Request'!$A:$A,'July 2026'!$D23,'2026 Time Off Request'!$L:$L,'July 2026'!AB$6)</f>
        <v>0</v>
      </c>
      <c r="AC23" s="148">
        <f>COUNTIFS('2026 Time Off Request'!$A:$A,'July 2026'!$D23,'2026 Time Off Request'!$L:$L,'July 2026'!AC$6)</f>
        <v>0</v>
      </c>
      <c r="AD23" s="147">
        <f>COUNTIFS('2026 Time Off Request'!$A:$A,'July 2026'!$D23,'2026 Time Off Request'!$L:$L,'July 2026'!AD$6)</f>
        <v>0</v>
      </c>
      <c r="AE23" s="147">
        <f>COUNTIFS('2026 Time Off Request'!$A:$A,'July 2026'!$D23,'2026 Time Off Request'!$L:$L,'July 2026'!AE$6)</f>
        <v>0</v>
      </c>
      <c r="AF23" s="148">
        <f>COUNTIFS('2026 Time Off Request'!$A:$A,'July 2026'!$D23,'2026 Time Off Request'!$L:$L,'July 2026'!AF$6)</f>
        <v>0</v>
      </c>
      <c r="AG23" s="148">
        <f>COUNTIFS('2026 Time Off Request'!$A:$A,'July 2026'!$D23,'2026 Time Off Request'!$L:$L,'July 2026'!AG$6)</f>
        <v>0</v>
      </c>
      <c r="AH23" s="148">
        <f>COUNTIFS('2026 Time Off Request'!$A:$A,'July 2026'!$D23,'2026 Time Off Request'!$L:$L,'July 2026'!AH$6)</f>
        <v>0</v>
      </c>
      <c r="AI23" s="148">
        <f>COUNTIFS('2026 Time Off Request'!$A:$A,'July 2026'!$D23,'2026 Time Off Request'!$L:$L,'July 2026'!AI$6)</f>
        <v>0</v>
      </c>
      <c r="AJ23" s="148">
        <f>COUNTIFS('2026 Time Off Request'!$A:$A,'July 2026'!$D23,'2026 Time Off Request'!$L:$L,'July 2026'!AJ$6)</f>
        <v>0</v>
      </c>
    </row>
    <row r="24" spans="1:36" ht="15.75">
      <c r="A24" s="2"/>
      <c r="B24" s="104" t="s">
        <v>45</v>
      </c>
      <c r="C24" s="23" t="s">
        <v>52</v>
      </c>
      <c r="D24" s="2" t="s">
        <v>54</v>
      </c>
      <c r="E24" s="212">
        <f t="shared" ref="E24:E29" si="4">SUM(F24:AI24)</f>
        <v>0</v>
      </c>
      <c r="F24" s="226">
        <f>COUNTIFS('2026 Time Off Request'!$A:$A,'July 2026'!$D24,'2026 Time Off Request'!$L:$L,'July 2026'!F$6)</f>
        <v>0</v>
      </c>
      <c r="G24" s="148">
        <f>COUNTIFS('2026 Time Off Request'!$A:$A,'July 2026'!$D24,'2026 Time Off Request'!$L:$L,'July 2026'!G$6)</f>
        <v>0</v>
      </c>
      <c r="H24" s="148">
        <f>COUNTIFS('2026 Time Off Request'!$A:$A,'July 2026'!$D24,'2026 Time Off Request'!$L:$L,'July 2026'!H$6)</f>
        <v>0</v>
      </c>
      <c r="I24" s="147">
        <f>COUNTIFS('2026 Time Off Request'!$A:$A,'July 2026'!$D24,'2026 Time Off Request'!$L:$L,'July 2026'!I$6)</f>
        <v>0</v>
      </c>
      <c r="J24" s="147">
        <f>COUNTIFS('2026 Time Off Request'!$A:$A,'July 2026'!$D24,'2026 Time Off Request'!$L:$L,'July 2026'!J$6)</f>
        <v>0</v>
      </c>
      <c r="K24" s="148">
        <f>COUNTIFS('2026 Time Off Request'!$A:$A,'July 2026'!$D24,'2026 Time Off Request'!$L:$L,'July 2026'!K$6)</f>
        <v>0</v>
      </c>
      <c r="L24" s="148">
        <f>COUNTIFS('2026 Time Off Request'!$A:$A,'July 2026'!$D24,'2026 Time Off Request'!$L:$L,'July 2026'!L$6)</f>
        <v>0</v>
      </c>
      <c r="M24" s="148">
        <f>COUNTIFS('2026 Time Off Request'!$A:$A,'July 2026'!$D24,'2026 Time Off Request'!$L:$L,'July 2026'!M$6)</f>
        <v>0</v>
      </c>
      <c r="N24" s="148">
        <f>COUNTIFS('2026 Time Off Request'!$A:$A,'July 2026'!$D24,'2026 Time Off Request'!$L:$L,'July 2026'!N$6)</f>
        <v>0</v>
      </c>
      <c r="O24" s="148">
        <f>COUNTIFS('2026 Time Off Request'!$A:$A,'July 2026'!$D24,'2026 Time Off Request'!$L:$L,'July 2026'!O$6)</f>
        <v>0</v>
      </c>
      <c r="P24" s="147">
        <f>COUNTIFS('2026 Time Off Request'!$A:$A,'July 2026'!$D24,'2026 Time Off Request'!$L:$L,'July 2026'!P$6)</f>
        <v>0</v>
      </c>
      <c r="Q24" s="147">
        <f>COUNTIFS('2026 Time Off Request'!$A:$A,'July 2026'!$D24,'2026 Time Off Request'!$L:$L,'July 2026'!Q$6)</f>
        <v>0</v>
      </c>
      <c r="R24" s="148">
        <f>COUNTIFS('2026 Time Off Request'!$A:$A,'July 2026'!$D24,'2026 Time Off Request'!$L:$L,'July 2026'!R$6)</f>
        <v>0</v>
      </c>
      <c r="S24" s="148">
        <f>COUNTIFS('2026 Time Off Request'!$A:$A,'July 2026'!$D24,'2026 Time Off Request'!$L:$L,'July 2026'!S$6)</f>
        <v>0</v>
      </c>
      <c r="T24" s="148">
        <f>COUNTIFS('2026 Time Off Request'!$A:$A,'July 2026'!$D24,'2026 Time Off Request'!$L:$L,'July 2026'!T$6)</f>
        <v>0</v>
      </c>
      <c r="U24" s="148">
        <f>COUNTIFS('2026 Time Off Request'!$A:$A,'July 2026'!$D24,'2026 Time Off Request'!$L:$L,'July 2026'!U$6)</f>
        <v>0</v>
      </c>
      <c r="V24" s="148">
        <f>COUNTIFS('2026 Time Off Request'!$A:$A,'July 2026'!$D24,'2026 Time Off Request'!$L:$L,'July 2026'!V$6)</f>
        <v>0</v>
      </c>
      <c r="W24" s="147">
        <f>COUNTIFS('2026 Time Off Request'!$A:$A,'July 2026'!$D24,'2026 Time Off Request'!$L:$L,'July 2026'!W$6)</f>
        <v>0</v>
      </c>
      <c r="X24" s="147">
        <f>COUNTIFS('2026 Time Off Request'!$A:$A,'July 2026'!$D24,'2026 Time Off Request'!$L:$L,'July 2026'!X$6)</f>
        <v>0</v>
      </c>
      <c r="Y24" s="148">
        <f>COUNTIFS('2026 Time Off Request'!$A:$A,'July 2026'!$D24,'2026 Time Off Request'!$L:$L,'July 2026'!Y$6)</f>
        <v>0</v>
      </c>
      <c r="Z24" s="148">
        <f>COUNTIFS('2026 Time Off Request'!$A:$A,'July 2026'!$D24,'2026 Time Off Request'!$L:$L,'July 2026'!Z$6)</f>
        <v>0</v>
      </c>
      <c r="AA24" s="148">
        <f>COUNTIFS('2026 Time Off Request'!$A:$A,'July 2026'!$D24,'2026 Time Off Request'!$L:$L,'July 2026'!AA$6)</f>
        <v>0</v>
      </c>
      <c r="AB24" s="148">
        <f>COUNTIFS('2026 Time Off Request'!$A:$A,'July 2026'!$D24,'2026 Time Off Request'!$L:$L,'July 2026'!AB$6)</f>
        <v>0</v>
      </c>
      <c r="AC24" s="148">
        <f>COUNTIFS('2026 Time Off Request'!$A:$A,'July 2026'!$D24,'2026 Time Off Request'!$L:$L,'July 2026'!AC$6)</f>
        <v>0</v>
      </c>
      <c r="AD24" s="147">
        <f>COUNTIFS('2026 Time Off Request'!$A:$A,'July 2026'!$D24,'2026 Time Off Request'!$L:$L,'July 2026'!AD$6)</f>
        <v>0</v>
      </c>
      <c r="AE24" s="147">
        <f>COUNTIFS('2026 Time Off Request'!$A:$A,'July 2026'!$D24,'2026 Time Off Request'!$L:$L,'July 2026'!AE$6)</f>
        <v>0</v>
      </c>
      <c r="AF24" s="148">
        <f>COUNTIFS('2026 Time Off Request'!$A:$A,'July 2026'!$D24,'2026 Time Off Request'!$L:$L,'July 2026'!AF$6)</f>
        <v>0</v>
      </c>
      <c r="AG24" s="148">
        <f>COUNTIFS('2026 Time Off Request'!$A:$A,'July 2026'!$D24,'2026 Time Off Request'!$L:$L,'July 2026'!AG$6)</f>
        <v>0</v>
      </c>
      <c r="AH24" s="148">
        <f>COUNTIFS('2026 Time Off Request'!$A:$A,'July 2026'!$D24,'2026 Time Off Request'!$L:$L,'July 2026'!AH$6)</f>
        <v>0</v>
      </c>
      <c r="AI24" s="148">
        <f>COUNTIFS('2026 Time Off Request'!$A:$A,'July 2026'!$D24,'2026 Time Off Request'!$L:$L,'July 2026'!AI$6)</f>
        <v>0</v>
      </c>
      <c r="AJ24" s="148">
        <f>COUNTIFS('2026 Time Off Request'!$A:$A,'July 2026'!$D24,'2026 Time Off Request'!$L:$L,'July 2026'!AJ$6)</f>
        <v>0</v>
      </c>
    </row>
    <row r="25" spans="1:36" ht="15.75">
      <c r="A25" s="2">
        <v>18</v>
      </c>
      <c r="B25" s="104" t="s">
        <v>45</v>
      </c>
      <c r="C25" s="23" t="s">
        <v>55</v>
      </c>
      <c r="D25" s="2" t="s">
        <v>56</v>
      </c>
      <c r="E25" s="212">
        <f t="shared" si="4"/>
        <v>0</v>
      </c>
      <c r="F25" s="226">
        <f>COUNTIFS('2026 Time Off Request'!$A:$A,'July 2026'!$D25,'2026 Time Off Request'!$L:$L,'July 2026'!F$6)</f>
        <v>0</v>
      </c>
      <c r="G25" s="148">
        <f>COUNTIFS('2026 Time Off Request'!$A:$A,'July 2026'!$D25,'2026 Time Off Request'!$L:$L,'July 2026'!G$6)</f>
        <v>0</v>
      </c>
      <c r="H25" s="148">
        <f>COUNTIFS('2026 Time Off Request'!$A:$A,'July 2026'!$D25,'2026 Time Off Request'!$L:$L,'July 2026'!H$6)</f>
        <v>0</v>
      </c>
      <c r="I25" s="147">
        <f>COUNTIFS('2026 Time Off Request'!$A:$A,'July 2026'!$D25,'2026 Time Off Request'!$L:$L,'July 2026'!I$6)</f>
        <v>0</v>
      </c>
      <c r="J25" s="147">
        <f>COUNTIFS('2026 Time Off Request'!$A:$A,'July 2026'!$D25,'2026 Time Off Request'!$L:$L,'July 2026'!J$6)</f>
        <v>0</v>
      </c>
      <c r="K25" s="148">
        <f>COUNTIFS('2026 Time Off Request'!$A:$A,'July 2026'!$D25,'2026 Time Off Request'!$L:$L,'July 2026'!K$6)</f>
        <v>0</v>
      </c>
      <c r="L25" s="148">
        <f>COUNTIFS('2026 Time Off Request'!$A:$A,'July 2026'!$D25,'2026 Time Off Request'!$L:$L,'July 2026'!L$6)</f>
        <v>0</v>
      </c>
      <c r="M25" s="148">
        <f>COUNTIFS('2026 Time Off Request'!$A:$A,'July 2026'!$D25,'2026 Time Off Request'!$L:$L,'July 2026'!M$6)</f>
        <v>0</v>
      </c>
      <c r="N25" s="148">
        <f>COUNTIFS('2026 Time Off Request'!$A:$A,'July 2026'!$D25,'2026 Time Off Request'!$L:$L,'July 2026'!N$6)</f>
        <v>0</v>
      </c>
      <c r="O25" s="148">
        <f>COUNTIFS('2026 Time Off Request'!$A:$A,'July 2026'!$D25,'2026 Time Off Request'!$L:$L,'July 2026'!O$6)</f>
        <v>0</v>
      </c>
      <c r="P25" s="147">
        <f>COUNTIFS('2026 Time Off Request'!$A:$A,'July 2026'!$D25,'2026 Time Off Request'!$L:$L,'July 2026'!P$6)</f>
        <v>0</v>
      </c>
      <c r="Q25" s="147">
        <f>COUNTIFS('2026 Time Off Request'!$A:$A,'July 2026'!$D25,'2026 Time Off Request'!$L:$L,'July 2026'!Q$6)</f>
        <v>0</v>
      </c>
      <c r="R25" s="148">
        <f>COUNTIFS('2026 Time Off Request'!$A:$A,'July 2026'!$D25,'2026 Time Off Request'!$L:$L,'July 2026'!R$6)</f>
        <v>0</v>
      </c>
      <c r="S25" s="148">
        <f>COUNTIFS('2026 Time Off Request'!$A:$A,'July 2026'!$D25,'2026 Time Off Request'!$L:$L,'July 2026'!S$6)</f>
        <v>0</v>
      </c>
      <c r="T25" s="148">
        <f>COUNTIFS('2026 Time Off Request'!$A:$A,'July 2026'!$D25,'2026 Time Off Request'!$L:$L,'July 2026'!T$6)</f>
        <v>0</v>
      </c>
      <c r="U25" s="148">
        <f>COUNTIFS('2026 Time Off Request'!$A:$A,'July 2026'!$D25,'2026 Time Off Request'!$L:$L,'July 2026'!U$6)</f>
        <v>0</v>
      </c>
      <c r="V25" s="148">
        <f>COUNTIFS('2026 Time Off Request'!$A:$A,'July 2026'!$D25,'2026 Time Off Request'!$L:$L,'July 2026'!V$6)</f>
        <v>0</v>
      </c>
      <c r="W25" s="147">
        <f>COUNTIFS('2026 Time Off Request'!$A:$A,'July 2026'!$D25,'2026 Time Off Request'!$L:$L,'July 2026'!W$6)</f>
        <v>0</v>
      </c>
      <c r="X25" s="147">
        <f>COUNTIFS('2026 Time Off Request'!$A:$A,'July 2026'!$D25,'2026 Time Off Request'!$L:$L,'July 2026'!X$6)</f>
        <v>0</v>
      </c>
      <c r="Y25" s="148">
        <f>COUNTIFS('2026 Time Off Request'!$A:$A,'July 2026'!$D25,'2026 Time Off Request'!$L:$L,'July 2026'!Y$6)</f>
        <v>0</v>
      </c>
      <c r="Z25" s="148">
        <f>COUNTIFS('2026 Time Off Request'!$A:$A,'July 2026'!$D25,'2026 Time Off Request'!$L:$L,'July 2026'!Z$6)</f>
        <v>0</v>
      </c>
      <c r="AA25" s="148">
        <f>COUNTIFS('2026 Time Off Request'!$A:$A,'July 2026'!$D25,'2026 Time Off Request'!$L:$L,'July 2026'!AA$6)</f>
        <v>0</v>
      </c>
      <c r="AB25" s="148">
        <f>COUNTIFS('2026 Time Off Request'!$A:$A,'July 2026'!$D25,'2026 Time Off Request'!$L:$L,'July 2026'!AB$6)</f>
        <v>0</v>
      </c>
      <c r="AC25" s="148">
        <f>COUNTIFS('2026 Time Off Request'!$A:$A,'July 2026'!$D25,'2026 Time Off Request'!$L:$L,'July 2026'!AC$6)</f>
        <v>0</v>
      </c>
      <c r="AD25" s="147">
        <f>COUNTIFS('2026 Time Off Request'!$A:$A,'July 2026'!$D25,'2026 Time Off Request'!$L:$L,'July 2026'!AD$6)</f>
        <v>0</v>
      </c>
      <c r="AE25" s="147">
        <f>COUNTIFS('2026 Time Off Request'!$A:$A,'July 2026'!$D25,'2026 Time Off Request'!$L:$L,'July 2026'!AE$6)</f>
        <v>0</v>
      </c>
      <c r="AF25" s="148">
        <f>COUNTIFS('2026 Time Off Request'!$A:$A,'July 2026'!$D25,'2026 Time Off Request'!$L:$L,'July 2026'!AF$6)</f>
        <v>0</v>
      </c>
      <c r="AG25" s="148">
        <f>COUNTIFS('2026 Time Off Request'!$A:$A,'July 2026'!$D25,'2026 Time Off Request'!$L:$L,'July 2026'!AG$6)</f>
        <v>0</v>
      </c>
      <c r="AH25" s="148">
        <f>COUNTIFS('2026 Time Off Request'!$A:$A,'July 2026'!$D25,'2026 Time Off Request'!$L:$L,'July 2026'!AH$6)</f>
        <v>0</v>
      </c>
      <c r="AI25" s="148">
        <f>COUNTIFS('2026 Time Off Request'!$A:$A,'July 2026'!$D25,'2026 Time Off Request'!$L:$L,'July 2026'!AI$6)</f>
        <v>0</v>
      </c>
      <c r="AJ25" s="148">
        <f>COUNTIFS('2026 Time Off Request'!$A:$A,'July 2026'!$D25,'2026 Time Off Request'!$L:$L,'July 2026'!AJ$6)</f>
        <v>0</v>
      </c>
    </row>
    <row r="26" spans="1:36" ht="15.75">
      <c r="A26" s="2"/>
      <c r="B26" s="104" t="s">
        <v>45</v>
      </c>
      <c r="C26" s="23" t="s">
        <v>55</v>
      </c>
      <c r="D26" s="2" t="s">
        <v>57</v>
      </c>
      <c r="E26" s="212">
        <f t="shared" si="4"/>
        <v>0</v>
      </c>
      <c r="F26" s="226">
        <f>COUNTIFS('2026 Time Off Request'!$A:$A,'July 2026'!$D26,'2026 Time Off Request'!$L:$L,'July 2026'!F$6)</f>
        <v>0</v>
      </c>
      <c r="G26" s="148">
        <f>COUNTIFS('2026 Time Off Request'!$A:$A,'July 2026'!$D26,'2026 Time Off Request'!$L:$L,'July 2026'!G$6)</f>
        <v>0</v>
      </c>
      <c r="H26" s="148">
        <f>COUNTIFS('2026 Time Off Request'!$A:$A,'July 2026'!$D26,'2026 Time Off Request'!$L:$L,'July 2026'!H$6)</f>
        <v>0</v>
      </c>
      <c r="I26" s="147">
        <f>COUNTIFS('2026 Time Off Request'!$A:$A,'July 2026'!$D26,'2026 Time Off Request'!$L:$L,'July 2026'!I$6)</f>
        <v>0</v>
      </c>
      <c r="J26" s="147">
        <f>COUNTIFS('2026 Time Off Request'!$A:$A,'July 2026'!$D26,'2026 Time Off Request'!$L:$L,'July 2026'!J$6)</f>
        <v>0</v>
      </c>
      <c r="K26" s="148">
        <f>COUNTIFS('2026 Time Off Request'!$A:$A,'July 2026'!$D26,'2026 Time Off Request'!$L:$L,'July 2026'!K$6)</f>
        <v>0</v>
      </c>
      <c r="L26" s="148">
        <f>COUNTIFS('2026 Time Off Request'!$A:$A,'July 2026'!$D26,'2026 Time Off Request'!$L:$L,'July 2026'!L$6)</f>
        <v>0</v>
      </c>
      <c r="M26" s="148">
        <f>COUNTIFS('2026 Time Off Request'!$A:$A,'July 2026'!$D26,'2026 Time Off Request'!$L:$L,'July 2026'!M$6)</f>
        <v>0</v>
      </c>
      <c r="N26" s="148">
        <f>COUNTIFS('2026 Time Off Request'!$A:$A,'July 2026'!$D26,'2026 Time Off Request'!$L:$L,'July 2026'!N$6)</f>
        <v>0</v>
      </c>
      <c r="O26" s="148">
        <f>COUNTIFS('2026 Time Off Request'!$A:$A,'July 2026'!$D26,'2026 Time Off Request'!$L:$L,'July 2026'!O$6)</f>
        <v>0</v>
      </c>
      <c r="P26" s="147">
        <f>COUNTIFS('2026 Time Off Request'!$A:$A,'July 2026'!$D26,'2026 Time Off Request'!$L:$L,'July 2026'!P$6)</f>
        <v>0</v>
      </c>
      <c r="Q26" s="147">
        <f>COUNTIFS('2026 Time Off Request'!$A:$A,'July 2026'!$D26,'2026 Time Off Request'!$L:$L,'July 2026'!Q$6)</f>
        <v>0</v>
      </c>
      <c r="R26" s="148">
        <f>COUNTIFS('2026 Time Off Request'!$A:$A,'July 2026'!$D26,'2026 Time Off Request'!$L:$L,'July 2026'!R$6)</f>
        <v>0</v>
      </c>
      <c r="S26" s="148">
        <f>COUNTIFS('2026 Time Off Request'!$A:$A,'July 2026'!$D26,'2026 Time Off Request'!$L:$L,'July 2026'!S$6)</f>
        <v>0</v>
      </c>
      <c r="T26" s="148">
        <f>COUNTIFS('2026 Time Off Request'!$A:$A,'July 2026'!$D26,'2026 Time Off Request'!$L:$L,'July 2026'!T$6)</f>
        <v>0</v>
      </c>
      <c r="U26" s="148">
        <f>COUNTIFS('2026 Time Off Request'!$A:$A,'July 2026'!$D26,'2026 Time Off Request'!$L:$L,'July 2026'!U$6)</f>
        <v>0</v>
      </c>
      <c r="V26" s="148">
        <f>COUNTIFS('2026 Time Off Request'!$A:$A,'July 2026'!$D26,'2026 Time Off Request'!$L:$L,'July 2026'!V$6)</f>
        <v>0</v>
      </c>
      <c r="W26" s="147">
        <f>COUNTIFS('2026 Time Off Request'!$A:$A,'July 2026'!$D26,'2026 Time Off Request'!$L:$L,'July 2026'!W$6)</f>
        <v>0</v>
      </c>
      <c r="X26" s="147">
        <f>COUNTIFS('2026 Time Off Request'!$A:$A,'July 2026'!$D26,'2026 Time Off Request'!$L:$L,'July 2026'!X$6)</f>
        <v>0</v>
      </c>
      <c r="Y26" s="148">
        <f>COUNTIFS('2026 Time Off Request'!$A:$A,'July 2026'!$D26,'2026 Time Off Request'!$L:$L,'July 2026'!Y$6)</f>
        <v>0</v>
      </c>
      <c r="Z26" s="148">
        <f>COUNTIFS('2026 Time Off Request'!$A:$A,'July 2026'!$D26,'2026 Time Off Request'!$L:$L,'July 2026'!Z$6)</f>
        <v>0</v>
      </c>
      <c r="AA26" s="148">
        <f>COUNTIFS('2026 Time Off Request'!$A:$A,'July 2026'!$D26,'2026 Time Off Request'!$L:$L,'July 2026'!AA$6)</f>
        <v>0</v>
      </c>
      <c r="AB26" s="148">
        <f>COUNTIFS('2026 Time Off Request'!$A:$A,'July 2026'!$D26,'2026 Time Off Request'!$L:$L,'July 2026'!AB$6)</f>
        <v>0</v>
      </c>
      <c r="AC26" s="148">
        <f>COUNTIFS('2026 Time Off Request'!$A:$A,'July 2026'!$D26,'2026 Time Off Request'!$L:$L,'July 2026'!AC$6)</f>
        <v>0</v>
      </c>
      <c r="AD26" s="147">
        <f>COUNTIFS('2026 Time Off Request'!$A:$A,'July 2026'!$D26,'2026 Time Off Request'!$L:$L,'July 2026'!AD$6)</f>
        <v>0</v>
      </c>
      <c r="AE26" s="147">
        <f>COUNTIFS('2026 Time Off Request'!$A:$A,'July 2026'!$D26,'2026 Time Off Request'!$L:$L,'July 2026'!AE$6)</f>
        <v>0</v>
      </c>
      <c r="AF26" s="148">
        <f>COUNTIFS('2026 Time Off Request'!$A:$A,'July 2026'!$D26,'2026 Time Off Request'!$L:$L,'July 2026'!AF$6)</f>
        <v>0</v>
      </c>
      <c r="AG26" s="148">
        <f>COUNTIFS('2026 Time Off Request'!$A:$A,'July 2026'!$D26,'2026 Time Off Request'!$L:$L,'July 2026'!AG$6)</f>
        <v>0</v>
      </c>
      <c r="AH26" s="148">
        <f>COUNTIFS('2026 Time Off Request'!$A:$A,'July 2026'!$D26,'2026 Time Off Request'!$L:$L,'July 2026'!AH$6)</f>
        <v>0</v>
      </c>
      <c r="AI26" s="148">
        <f>COUNTIFS('2026 Time Off Request'!$A:$A,'July 2026'!$D26,'2026 Time Off Request'!$L:$L,'July 2026'!AI$6)</f>
        <v>0</v>
      </c>
      <c r="AJ26" s="148">
        <f>COUNTIFS('2026 Time Off Request'!$A:$A,'July 2026'!$D26,'2026 Time Off Request'!$L:$L,'July 2026'!AJ$6)</f>
        <v>0</v>
      </c>
    </row>
    <row r="27" spans="1:36" ht="15.75">
      <c r="A27" s="2">
        <v>19</v>
      </c>
      <c r="B27" s="104" t="s">
        <v>45</v>
      </c>
      <c r="C27" s="23" t="s">
        <v>58</v>
      </c>
      <c r="D27" s="2" t="s">
        <v>59</v>
      </c>
      <c r="E27" s="212">
        <f t="shared" si="4"/>
        <v>0</v>
      </c>
      <c r="F27" s="226">
        <f>COUNTIFS('2026 Time Off Request'!$A:$A,'July 2026'!$D27,'2026 Time Off Request'!$L:$L,'July 2026'!F$6)</f>
        <v>0</v>
      </c>
      <c r="G27" s="148">
        <f>COUNTIFS('2026 Time Off Request'!$A:$A,'July 2026'!$D27,'2026 Time Off Request'!$L:$L,'July 2026'!G$6)</f>
        <v>0</v>
      </c>
      <c r="H27" s="148">
        <f>COUNTIFS('2026 Time Off Request'!$A:$A,'July 2026'!$D27,'2026 Time Off Request'!$L:$L,'July 2026'!H$6)</f>
        <v>0</v>
      </c>
      <c r="I27" s="147">
        <f>COUNTIFS('2026 Time Off Request'!$A:$A,'July 2026'!$D27,'2026 Time Off Request'!$L:$L,'July 2026'!I$6)</f>
        <v>0</v>
      </c>
      <c r="J27" s="147">
        <f>COUNTIFS('2026 Time Off Request'!$A:$A,'July 2026'!$D27,'2026 Time Off Request'!$L:$L,'July 2026'!J$6)</f>
        <v>0</v>
      </c>
      <c r="K27" s="148">
        <f>COUNTIFS('2026 Time Off Request'!$A:$A,'July 2026'!$D27,'2026 Time Off Request'!$L:$L,'July 2026'!K$6)</f>
        <v>0</v>
      </c>
      <c r="L27" s="148">
        <f>COUNTIFS('2026 Time Off Request'!$A:$A,'July 2026'!$D27,'2026 Time Off Request'!$L:$L,'July 2026'!L$6)</f>
        <v>0</v>
      </c>
      <c r="M27" s="148">
        <f>COUNTIFS('2026 Time Off Request'!$A:$A,'July 2026'!$D27,'2026 Time Off Request'!$L:$L,'July 2026'!M$6)</f>
        <v>0</v>
      </c>
      <c r="N27" s="148">
        <f>COUNTIFS('2026 Time Off Request'!$A:$A,'July 2026'!$D27,'2026 Time Off Request'!$L:$L,'July 2026'!N$6)</f>
        <v>0</v>
      </c>
      <c r="O27" s="148">
        <f>COUNTIFS('2026 Time Off Request'!$A:$A,'July 2026'!$D27,'2026 Time Off Request'!$L:$L,'July 2026'!O$6)</f>
        <v>0</v>
      </c>
      <c r="P27" s="147">
        <f>COUNTIFS('2026 Time Off Request'!$A:$A,'July 2026'!$D27,'2026 Time Off Request'!$L:$L,'July 2026'!P$6)</f>
        <v>0</v>
      </c>
      <c r="Q27" s="147">
        <f>COUNTIFS('2026 Time Off Request'!$A:$A,'July 2026'!$D27,'2026 Time Off Request'!$L:$L,'July 2026'!Q$6)</f>
        <v>0</v>
      </c>
      <c r="R27" s="148">
        <f>COUNTIFS('2026 Time Off Request'!$A:$A,'July 2026'!$D27,'2026 Time Off Request'!$L:$L,'July 2026'!R$6)</f>
        <v>0</v>
      </c>
      <c r="S27" s="148">
        <f>COUNTIFS('2026 Time Off Request'!$A:$A,'July 2026'!$D27,'2026 Time Off Request'!$L:$L,'July 2026'!S$6)</f>
        <v>0</v>
      </c>
      <c r="T27" s="148">
        <f>COUNTIFS('2026 Time Off Request'!$A:$A,'July 2026'!$D27,'2026 Time Off Request'!$L:$L,'July 2026'!T$6)</f>
        <v>0</v>
      </c>
      <c r="U27" s="148">
        <f>COUNTIFS('2026 Time Off Request'!$A:$A,'July 2026'!$D27,'2026 Time Off Request'!$L:$L,'July 2026'!U$6)</f>
        <v>0</v>
      </c>
      <c r="V27" s="148">
        <f>COUNTIFS('2026 Time Off Request'!$A:$A,'July 2026'!$D27,'2026 Time Off Request'!$L:$L,'July 2026'!V$6)</f>
        <v>0</v>
      </c>
      <c r="W27" s="147">
        <f>COUNTIFS('2026 Time Off Request'!$A:$A,'July 2026'!$D27,'2026 Time Off Request'!$L:$L,'July 2026'!W$6)</f>
        <v>0</v>
      </c>
      <c r="X27" s="147">
        <f>COUNTIFS('2026 Time Off Request'!$A:$A,'July 2026'!$D27,'2026 Time Off Request'!$L:$L,'July 2026'!X$6)</f>
        <v>0</v>
      </c>
      <c r="Y27" s="148">
        <f>COUNTIFS('2026 Time Off Request'!$A:$A,'July 2026'!$D27,'2026 Time Off Request'!$L:$L,'July 2026'!Y$6)</f>
        <v>0</v>
      </c>
      <c r="Z27" s="148">
        <f>COUNTIFS('2026 Time Off Request'!$A:$A,'July 2026'!$D27,'2026 Time Off Request'!$L:$L,'July 2026'!Z$6)</f>
        <v>0</v>
      </c>
      <c r="AA27" s="148">
        <f>COUNTIFS('2026 Time Off Request'!$A:$A,'July 2026'!$D27,'2026 Time Off Request'!$L:$L,'July 2026'!AA$6)</f>
        <v>0</v>
      </c>
      <c r="AB27" s="148">
        <f>COUNTIFS('2026 Time Off Request'!$A:$A,'July 2026'!$D27,'2026 Time Off Request'!$L:$L,'July 2026'!AB$6)</f>
        <v>0</v>
      </c>
      <c r="AC27" s="148">
        <f>COUNTIFS('2026 Time Off Request'!$A:$A,'July 2026'!$D27,'2026 Time Off Request'!$L:$L,'July 2026'!AC$6)</f>
        <v>0</v>
      </c>
      <c r="AD27" s="147">
        <f>COUNTIFS('2026 Time Off Request'!$A:$A,'July 2026'!$D27,'2026 Time Off Request'!$L:$L,'July 2026'!AD$6)</f>
        <v>0</v>
      </c>
      <c r="AE27" s="147">
        <f>COUNTIFS('2026 Time Off Request'!$A:$A,'July 2026'!$D27,'2026 Time Off Request'!$L:$L,'July 2026'!AE$6)</f>
        <v>0</v>
      </c>
      <c r="AF27" s="148">
        <f>COUNTIFS('2026 Time Off Request'!$A:$A,'July 2026'!$D27,'2026 Time Off Request'!$L:$L,'July 2026'!AF$6)</f>
        <v>0</v>
      </c>
      <c r="AG27" s="148">
        <f>COUNTIFS('2026 Time Off Request'!$A:$A,'July 2026'!$D27,'2026 Time Off Request'!$L:$L,'July 2026'!AG$6)</f>
        <v>0</v>
      </c>
      <c r="AH27" s="148">
        <f>COUNTIFS('2026 Time Off Request'!$A:$A,'July 2026'!$D27,'2026 Time Off Request'!$L:$L,'July 2026'!AH$6)</f>
        <v>0</v>
      </c>
      <c r="AI27" s="148">
        <f>COUNTIFS('2026 Time Off Request'!$A:$A,'July 2026'!$D27,'2026 Time Off Request'!$L:$L,'July 2026'!AI$6)</f>
        <v>0</v>
      </c>
      <c r="AJ27" s="148">
        <f>COUNTIFS('2026 Time Off Request'!$A:$A,'July 2026'!$D27,'2026 Time Off Request'!$L:$L,'July 2026'!AJ$6)</f>
        <v>0</v>
      </c>
    </row>
    <row r="28" spans="1:36" ht="15.75">
      <c r="A28" s="2">
        <v>20</v>
      </c>
      <c r="B28" s="104" t="s">
        <v>45</v>
      </c>
      <c r="C28" s="23" t="s">
        <v>60</v>
      </c>
      <c r="D28" s="2" t="s">
        <v>61</v>
      </c>
      <c r="E28" s="212">
        <f t="shared" si="4"/>
        <v>0</v>
      </c>
      <c r="F28" s="226">
        <f>COUNTIFS('2026 Time Off Request'!$A:$A,'July 2026'!$D28,'2026 Time Off Request'!$L:$L,'July 2026'!F$6)</f>
        <v>0</v>
      </c>
      <c r="G28" s="148">
        <f>COUNTIFS('2026 Time Off Request'!$A:$A,'July 2026'!$D28,'2026 Time Off Request'!$L:$L,'July 2026'!G$6)</f>
        <v>0</v>
      </c>
      <c r="H28" s="148">
        <f>COUNTIFS('2026 Time Off Request'!$A:$A,'July 2026'!$D28,'2026 Time Off Request'!$L:$L,'July 2026'!H$6)</f>
        <v>0</v>
      </c>
      <c r="I28" s="147">
        <f>COUNTIFS('2026 Time Off Request'!$A:$A,'July 2026'!$D28,'2026 Time Off Request'!$L:$L,'July 2026'!I$6)</f>
        <v>0</v>
      </c>
      <c r="J28" s="147">
        <f>COUNTIFS('2026 Time Off Request'!$A:$A,'July 2026'!$D28,'2026 Time Off Request'!$L:$L,'July 2026'!J$6)</f>
        <v>0</v>
      </c>
      <c r="K28" s="148">
        <f>COUNTIFS('2026 Time Off Request'!$A:$A,'July 2026'!$D28,'2026 Time Off Request'!$L:$L,'July 2026'!K$6)</f>
        <v>0</v>
      </c>
      <c r="L28" s="148">
        <f>COUNTIFS('2026 Time Off Request'!$A:$A,'July 2026'!$D28,'2026 Time Off Request'!$L:$L,'July 2026'!L$6)</f>
        <v>0</v>
      </c>
      <c r="M28" s="148">
        <f>COUNTIFS('2026 Time Off Request'!$A:$A,'July 2026'!$D28,'2026 Time Off Request'!$L:$L,'July 2026'!M$6)</f>
        <v>0</v>
      </c>
      <c r="N28" s="148">
        <f>COUNTIFS('2026 Time Off Request'!$A:$A,'July 2026'!$D28,'2026 Time Off Request'!$L:$L,'July 2026'!N$6)</f>
        <v>0</v>
      </c>
      <c r="O28" s="148">
        <f>COUNTIFS('2026 Time Off Request'!$A:$A,'July 2026'!$D28,'2026 Time Off Request'!$L:$L,'July 2026'!O$6)</f>
        <v>0</v>
      </c>
      <c r="P28" s="147">
        <f>COUNTIFS('2026 Time Off Request'!$A:$A,'July 2026'!$D28,'2026 Time Off Request'!$L:$L,'July 2026'!P$6)</f>
        <v>0</v>
      </c>
      <c r="Q28" s="147">
        <f>COUNTIFS('2026 Time Off Request'!$A:$A,'July 2026'!$D28,'2026 Time Off Request'!$L:$L,'July 2026'!Q$6)</f>
        <v>0</v>
      </c>
      <c r="R28" s="148">
        <f>COUNTIFS('2026 Time Off Request'!$A:$A,'July 2026'!$D28,'2026 Time Off Request'!$L:$L,'July 2026'!R$6)</f>
        <v>0</v>
      </c>
      <c r="S28" s="148">
        <f>COUNTIFS('2026 Time Off Request'!$A:$A,'July 2026'!$D28,'2026 Time Off Request'!$L:$L,'July 2026'!S$6)</f>
        <v>0</v>
      </c>
      <c r="T28" s="148">
        <f>COUNTIFS('2026 Time Off Request'!$A:$A,'July 2026'!$D28,'2026 Time Off Request'!$L:$L,'July 2026'!T$6)</f>
        <v>0</v>
      </c>
      <c r="U28" s="148">
        <f>COUNTIFS('2026 Time Off Request'!$A:$A,'July 2026'!$D28,'2026 Time Off Request'!$L:$L,'July 2026'!U$6)</f>
        <v>0</v>
      </c>
      <c r="V28" s="148">
        <f>COUNTIFS('2026 Time Off Request'!$A:$A,'July 2026'!$D28,'2026 Time Off Request'!$L:$L,'July 2026'!V$6)</f>
        <v>0</v>
      </c>
      <c r="W28" s="147">
        <f>COUNTIFS('2026 Time Off Request'!$A:$A,'July 2026'!$D28,'2026 Time Off Request'!$L:$L,'July 2026'!W$6)</f>
        <v>0</v>
      </c>
      <c r="X28" s="147">
        <f>COUNTIFS('2026 Time Off Request'!$A:$A,'July 2026'!$D28,'2026 Time Off Request'!$L:$L,'July 2026'!X$6)</f>
        <v>0</v>
      </c>
      <c r="Y28" s="148">
        <f>COUNTIFS('2026 Time Off Request'!$A:$A,'July 2026'!$D28,'2026 Time Off Request'!$L:$L,'July 2026'!Y$6)</f>
        <v>0</v>
      </c>
      <c r="Z28" s="148">
        <f>COUNTIFS('2026 Time Off Request'!$A:$A,'July 2026'!$D28,'2026 Time Off Request'!$L:$L,'July 2026'!Z$6)</f>
        <v>0</v>
      </c>
      <c r="AA28" s="148">
        <f>COUNTIFS('2026 Time Off Request'!$A:$A,'July 2026'!$D28,'2026 Time Off Request'!$L:$L,'July 2026'!AA$6)</f>
        <v>0</v>
      </c>
      <c r="AB28" s="148">
        <f>COUNTIFS('2026 Time Off Request'!$A:$A,'July 2026'!$D28,'2026 Time Off Request'!$L:$L,'July 2026'!AB$6)</f>
        <v>0</v>
      </c>
      <c r="AC28" s="148">
        <f>COUNTIFS('2026 Time Off Request'!$A:$A,'July 2026'!$D28,'2026 Time Off Request'!$L:$L,'July 2026'!AC$6)</f>
        <v>0</v>
      </c>
      <c r="AD28" s="147">
        <f>COUNTIFS('2026 Time Off Request'!$A:$A,'July 2026'!$D28,'2026 Time Off Request'!$L:$L,'July 2026'!AD$6)</f>
        <v>0</v>
      </c>
      <c r="AE28" s="147">
        <f>COUNTIFS('2026 Time Off Request'!$A:$A,'July 2026'!$D28,'2026 Time Off Request'!$L:$L,'July 2026'!AE$6)</f>
        <v>0</v>
      </c>
      <c r="AF28" s="148">
        <f>COUNTIFS('2026 Time Off Request'!$A:$A,'July 2026'!$D28,'2026 Time Off Request'!$L:$L,'July 2026'!AF$6)</f>
        <v>0</v>
      </c>
      <c r="AG28" s="148">
        <f>COUNTIFS('2026 Time Off Request'!$A:$A,'July 2026'!$D28,'2026 Time Off Request'!$L:$L,'July 2026'!AG$6)</f>
        <v>0</v>
      </c>
      <c r="AH28" s="148">
        <f>COUNTIFS('2026 Time Off Request'!$A:$A,'July 2026'!$D28,'2026 Time Off Request'!$L:$L,'July 2026'!AH$6)</f>
        <v>0</v>
      </c>
      <c r="AI28" s="148">
        <f>COUNTIFS('2026 Time Off Request'!$A:$A,'July 2026'!$D28,'2026 Time Off Request'!$L:$L,'July 2026'!AI$6)</f>
        <v>0</v>
      </c>
      <c r="AJ28" s="148">
        <f>COUNTIFS('2026 Time Off Request'!$A:$A,'July 2026'!$D28,'2026 Time Off Request'!$L:$L,'July 2026'!AJ$6)</f>
        <v>0</v>
      </c>
    </row>
    <row r="29" spans="1:36" ht="15.75">
      <c r="A29" s="2"/>
      <c r="B29" s="104" t="s">
        <v>45</v>
      </c>
      <c r="C29" s="23" t="s">
        <v>62</v>
      </c>
      <c r="D29" s="2" t="s">
        <v>63</v>
      </c>
      <c r="E29" s="212">
        <f t="shared" si="4"/>
        <v>0</v>
      </c>
      <c r="F29" s="226">
        <f>COUNTIFS('2026 Time Off Request'!$A:$A,'July 2026'!$D29,'2026 Time Off Request'!$L:$L,'July 2026'!F$6)</f>
        <v>0</v>
      </c>
      <c r="G29" s="148">
        <f>COUNTIFS('2026 Time Off Request'!$A:$A,'July 2026'!$D29,'2026 Time Off Request'!$L:$L,'July 2026'!G$6)</f>
        <v>0</v>
      </c>
      <c r="H29" s="148">
        <f>COUNTIFS('2026 Time Off Request'!$A:$A,'July 2026'!$D29,'2026 Time Off Request'!$L:$L,'July 2026'!H$6)</f>
        <v>0</v>
      </c>
      <c r="I29" s="147">
        <f>COUNTIFS('2026 Time Off Request'!$A:$A,'July 2026'!$D29,'2026 Time Off Request'!$L:$L,'July 2026'!I$6)</f>
        <v>0</v>
      </c>
      <c r="J29" s="147">
        <f>COUNTIFS('2026 Time Off Request'!$A:$A,'July 2026'!$D29,'2026 Time Off Request'!$L:$L,'July 2026'!J$6)</f>
        <v>0</v>
      </c>
      <c r="K29" s="148">
        <f>COUNTIFS('2026 Time Off Request'!$A:$A,'July 2026'!$D29,'2026 Time Off Request'!$L:$L,'July 2026'!K$6)</f>
        <v>0</v>
      </c>
      <c r="L29" s="148">
        <f>COUNTIFS('2026 Time Off Request'!$A:$A,'July 2026'!$D29,'2026 Time Off Request'!$L:$L,'July 2026'!L$6)</f>
        <v>0</v>
      </c>
      <c r="M29" s="148">
        <f>COUNTIFS('2026 Time Off Request'!$A:$A,'July 2026'!$D29,'2026 Time Off Request'!$L:$L,'July 2026'!M$6)</f>
        <v>0</v>
      </c>
      <c r="N29" s="148">
        <f>COUNTIFS('2026 Time Off Request'!$A:$A,'July 2026'!$D29,'2026 Time Off Request'!$L:$L,'July 2026'!N$6)</f>
        <v>0</v>
      </c>
      <c r="O29" s="148">
        <f>COUNTIFS('2026 Time Off Request'!$A:$A,'July 2026'!$D29,'2026 Time Off Request'!$L:$L,'July 2026'!O$6)</f>
        <v>0</v>
      </c>
      <c r="P29" s="147">
        <f>COUNTIFS('2026 Time Off Request'!$A:$A,'July 2026'!$D29,'2026 Time Off Request'!$L:$L,'July 2026'!P$6)</f>
        <v>0</v>
      </c>
      <c r="Q29" s="147">
        <f>COUNTIFS('2026 Time Off Request'!$A:$A,'July 2026'!$D29,'2026 Time Off Request'!$L:$L,'July 2026'!Q$6)</f>
        <v>0</v>
      </c>
      <c r="R29" s="148">
        <f>COUNTIFS('2026 Time Off Request'!$A:$A,'July 2026'!$D29,'2026 Time Off Request'!$L:$L,'July 2026'!R$6)</f>
        <v>0</v>
      </c>
      <c r="S29" s="148">
        <f>COUNTIFS('2026 Time Off Request'!$A:$A,'July 2026'!$D29,'2026 Time Off Request'!$L:$L,'July 2026'!S$6)</f>
        <v>0</v>
      </c>
      <c r="T29" s="148">
        <f>COUNTIFS('2026 Time Off Request'!$A:$A,'July 2026'!$D29,'2026 Time Off Request'!$L:$L,'July 2026'!T$6)</f>
        <v>0</v>
      </c>
      <c r="U29" s="148">
        <f>COUNTIFS('2026 Time Off Request'!$A:$A,'July 2026'!$D29,'2026 Time Off Request'!$L:$L,'July 2026'!U$6)</f>
        <v>0</v>
      </c>
      <c r="V29" s="148">
        <f>COUNTIFS('2026 Time Off Request'!$A:$A,'July 2026'!$D29,'2026 Time Off Request'!$L:$L,'July 2026'!V$6)</f>
        <v>0</v>
      </c>
      <c r="W29" s="147">
        <f>COUNTIFS('2026 Time Off Request'!$A:$A,'July 2026'!$D29,'2026 Time Off Request'!$L:$L,'July 2026'!W$6)</f>
        <v>0</v>
      </c>
      <c r="X29" s="147">
        <f>COUNTIFS('2026 Time Off Request'!$A:$A,'July 2026'!$D29,'2026 Time Off Request'!$L:$L,'July 2026'!X$6)</f>
        <v>0</v>
      </c>
      <c r="Y29" s="148">
        <f>COUNTIFS('2026 Time Off Request'!$A:$A,'July 2026'!$D29,'2026 Time Off Request'!$L:$L,'July 2026'!Y$6)</f>
        <v>0</v>
      </c>
      <c r="Z29" s="148">
        <f>COUNTIFS('2026 Time Off Request'!$A:$A,'July 2026'!$D29,'2026 Time Off Request'!$L:$L,'July 2026'!Z$6)</f>
        <v>0</v>
      </c>
      <c r="AA29" s="148">
        <f>COUNTIFS('2026 Time Off Request'!$A:$A,'July 2026'!$D29,'2026 Time Off Request'!$L:$L,'July 2026'!AA$6)</f>
        <v>0</v>
      </c>
      <c r="AB29" s="148">
        <f>COUNTIFS('2026 Time Off Request'!$A:$A,'July 2026'!$D29,'2026 Time Off Request'!$L:$L,'July 2026'!AB$6)</f>
        <v>0</v>
      </c>
      <c r="AC29" s="148">
        <f>COUNTIFS('2026 Time Off Request'!$A:$A,'July 2026'!$D29,'2026 Time Off Request'!$L:$L,'July 2026'!AC$6)</f>
        <v>0</v>
      </c>
      <c r="AD29" s="147">
        <f>COUNTIFS('2026 Time Off Request'!$A:$A,'July 2026'!$D29,'2026 Time Off Request'!$L:$L,'July 2026'!AD$6)</f>
        <v>0</v>
      </c>
      <c r="AE29" s="147">
        <f>COUNTIFS('2026 Time Off Request'!$A:$A,'July 2026'!$D29,'2026 Time Off Request'!$L:$L,'July 2026'!AE$6)</f>
        <v>0</v>
      </c>
      <c r="AF29" s="148">
        <f>COUNTIFS('2026 Time Off Request'!$A:$A,'July 2026'!$D29,'2026 Time Off Request'!$L:$L,'July 2026'!AF$6)</f>
        <v>0</v>
      </c>
      <c r="AG29" s="148">
        <f>COUNTIFS('2026 Time Off Request'!$A:$A,'July 2026'!$D29,'2026 Time Off Request'!$L:$L,'July 2026'!AG$6)</f>
        <v>0</v>
      </c>
      <c r="AH29" s="148">
        <f>COUNTIFS('2026 Time Off Request'!$A:$A,'July 2026'!$D29,'2026 Time Off Request'!$L:$L,'July 2026'!AH$6)</f>
        <v>0</v>
      </c>
      <c r="AI29" s="148">
        <f>COUNTIFS('2026 Time Off Request'!$A:$A,'July 2026'!$D29,'2026 Time Off Request'!$L:$L,'July 2026'!AI$6)</f>
        <v>0</v>
      </c>
      <c r="AJ29" s="148">
        <f>COUNTIFS('2026 Time Off Request'!$A:$A,'July 2026'!$D29,'2026 Time Off Request'!$L:$L,'July 2026'!AJ$6)</f>
        <v>0</v>
      </c>
    </row>
    <row r="30" spans="1:36" ht="15.75">
      <c r="A30" s="2">
        <v>21</v>
      </c>
      <c r="B30" s="104" t="s">
        <v>49</v>
      </c>
      <c r="C30" s="23" t="s">
        <v>64</v>
      </c>
      <c r="D30" s="2" t="s">
        <v>65</v>
      </c>
      <c r="E30" s="212">
        <f t="shared" si="3"/>
        <v>0</v>
      </c>
      <c r="F30" s="226">
        <f>COUNTIFS('2026 Time Off Request'!$A:$A,'July 2026'!$D30,'2026 Time Off Request'!$L:$L,'July 2026'!F$6)</f>
        <v>0</v>
      </c>
      <c r="G30" s="148">
        <f>COUNTIFS('2026 Time Off Request'!$A:$A,'July 2026'!$D30,'2026 Time Off Request'!$L:$L,'July 2026'!G$6)</f>
        <v>0</v>
      </c>
      <c r="H30" s="148">
        <f>COUNTIFS('2026 Time Off Request'!$A:$A,'July 2026'!$D30,'2026 Time Off Request'!$L:$L,'July 2026'!H$6)</f>
        <v>0</v>
      </c>
      <c r="I30" s="147">
        <f>COUNTIFS('2026 Time Off Request'!$A:$A,'July 2026'!$D30,'2026 Time Off Request'!$L:$L,'July 2026'!I$6)</f>
        <v>0</v>
      </c>
      <c r="J30" s="147">
        <f>COUNTIFS('2026 Time Off Request'!$A:$A,'July 2026'!$D30,'2026 Time Off Request'!$L:$L,'July 2026'!J$6)</f>
        <v>0</v>
      </c>
      <c r="K30" s="148">
        <f>COUNTIFS('2026 Time Off Request'!$A:$A,'July 2026'!$D30,'2026 Time Off Request'!$L:$L,'July 2026'!K$6)</f>
        <v>0</v>
      </c>
      <c r="L30" s="148">
        <f>COUNTIFS('2026 Time Off Request'!$A:$A,'July 2026'!$D30,'2026 Time Off Request'!$L:$L,'July 2026'!L$6)</f>
        <v>0</v>
      </c>
      <c r="M30" s="148">
        <f>COUNTIFS('2026 Time Off Request'!$A:$A,'July 2026'!$D30,'2026 Time Off Request'!$L:$L,'July 2026'!M$6)</f>
        <v>0</v>
      </c>
      <c r="N30" s="148">
        <f>COUNTIFS('2026 Time Off Request'!$A:$A,'July 2026'!$D30,'2026 Time Off Request'!$L:$L,'July 2026'!N$6)</f>
        <v>0</v>
      </c>
      <c r="O30" s="148">
        <f>COUNTIFS('2026 Time Off Request'!$A:$A,'July 2026'!$D30,'2026 Time Off Request'!$L:$L,'July 2026'!O$6)</f>
        <v>0</v>
      </c>
      <c r="P30" s="147">
        <f>COUNTIFS('2026 Time Off Request'!$A:$A,'July 2026'!$D30,'2026 Time Off Request'!$L:$L,'July 2026'!P$6)</f>
        <v>0</v>
      </c>
      <c r="Q30" s="147">
        <f>COUNTIFS('2026 Time Off Request'!$A:$A,'July 2026'!$D30,'2026 Time Off Request'!$L:$L,'July 2026'!Q$6)</f>
        <v>0</v>
      </c>
      <c r="R30" s="148">
        <f>COUNTIFS('2026 Time Off Request'!$A:$A,'July 2026'!$D30,'2026 Time Off Request'!$L:$L,'July 2026'!R$6)</f>
        <v>0</v>
      </c>
      <c r="S30" s="148">
        <f>COUNTIFS('2026 Time Off Request'!$A:$A,'July 2026'!$D30,'2026 Time Off Request'!$L:$L,'July 2026'!S$6)</f>
        <v>0</v>
      </c>
      <c r="T30" s="148">
        <f>COUNTIFS('2026 Time Off Request'!$A:$A,'July 2026'!$D30,'2026 Time Off Request'!$L:$L,'July 2026'!T$6)</f>
        <v>0</v>
      </c>
      <c r="U30" s="148">
        <f>COUNTIFS('2026 Time Off Request'!$A:$A,'July 2026'!$D30,'2026 Time Off Request'!$L:$L,'July 2026'!U$6)</f>
        <v>0</v>
      </c>
      <c r="V30" s="148">
        <f>COUNTIFS('2026 Time Off Request'!$A:$A,'July 2026'!$D30,'2026 Time Off Request'!$L:$L,'July 2026'!V$6)</f>
        <v>0</v>
      </c>
      <c r="W30" s="147">
        <f>COUNTIFS('2026 Time Off Request'!$A:$A,'July 2026'!$D30,'2026 Time Off Request'!$L:$L,'July 2026'!W$6)</f>
        <v>0</v>
      </c>
      <c r="X30" s="147">
        <f>COUNTIFS('2026 Time Off Request'!$A:$A,'July 2026'!$D30,'2026 Time Off Request'!$L:$L,'July 2026'!X$6)</f>
        <v>0</v>
      </c>
      <c r="Y30" s="148">
        <f>COUNTIFS('2026 Time Off Request'!$A:$A,'July 2026'!$D30,'2026 Time Off Request'!$L:$L,'July 2026'!Y$6)</f>
        <v>0</v>
      </c>
      <c r="Z30" s="148">
        <f>COUNTIFS('2026 Time Off Request'!$A:$A,'July 2026'!$D30,'2026 Time Off Request'!$L:$L,'July 2026'!Z$6)</f>
        <v>0</v>
      </c>
      <c r="AA30" s="148">
        <f>COUNTIFS('2026 Time Off Request'!$A:$A,'July 2026'!$D30,'2026 Time Off Request'!$L:$L,'July 2026'!AA$6)</f>
        <v>0</v>
      </c>
      <c r="AB30" s="148">
        <f>COUNTIFS('2026 Time Off Request'!$A:$A,'July 2026'!$D30,'2026 Time Off Request'!$L:$L,'July 2026'!AB$6)</f>
        <v>0</v>
      </c>
      <c r="AC30" s="148">
        <f>COUNTIFS('2026 Time Off Request'!$A:$A,'July 2026'!$D30,'2026 Time Off Request'!$L:$L,'July 2026'!AC$6)</f>
        <v>0</v>
      </c>
      <c r="AD30" s="147">
        <f>COUNTIFS('2026 Time Off Request'!$A:$A,'July 2026'!$D30,'2026 Time Off Request'!$L:$L,'July 2026'!AD$6)</f>
        <v>0</v>
      </c>
      <c r="AE30" s="147">
        <f>COUNTIFS('2026 Time Off Request'!$A:$A,'July 2026'!$D30,'2026 Time Off Request'!$L:$L,'July 2026'!AE$6)</f>
        <v>0</v>
      </c>
      <c r="AF30" s="148">
        <f>COUNTIFS('2026 Time Off Request'!$A:$A,'July 2026'!$D30,'2026 Time Off Request'!$L:$L,'July 2026'!AF$6)</f>
        <v>0</v>
      </c>
      <c r="AG30" s="148">
        <f>COUNTIFS('2026 Time Off Request'!$A:$A,'July 2026'!$D30,'2026 Time Off Request'!$L:$L,'July 2026'!AG$6)</f>
        <v>0</v>
      </c>
      <c r="AH30" s="148">
        <f>COUNTIFS('2026 Time Off Request'!$A:$A,'July 2026'!$D30,'2026 Time Off Request'!$L:$L,'July 2026'!AH$6)</f>
        <v>0</v>
      </c>
      <c r="AI30" s="148">
        <f>COUNTIFS('2026 Time Off Request'!$A:$A,'July 2026'!$D30,'2026 Time Off Request'!$L:$L,'July 2026'!AI$6)</f>
        <v>0</v>
      </c>
      <c r="AJ30" s="148">
        <f>COUNTIFS('2026 Time Off Request'!$A:$A,'July 2026'!$D30,'2026 Time Off Request'!$L:$L,'July 2026'!AJ$6)</f>
        <v>0</v>
      </c>
    </row>
    <row r="31" spans="1:36" ht="15.75">
      <c r="A31" s="2">
        <v>22</v>
      </c>
      <c r="B31" s="104" t="s">
        <v>49</v>
      </c>
      <c r="C31" s="23" t="s">
        <v>66</v>
      </c>
      <c r="D31" s="2" t="s">
        <v>67</v>
      </c>
      <c r="E31" s="212">
        <f t="shared" si="3"/>
        <v>0</v>
      </c>
      <c r="F31" s="226">
        <f>COUNTIFS('2026 Time Off Request'!$A:$A,'July 2026'!$D31,'2026 Time Off Request'!$L:$L,'July 2026'!F$6)</f>
        <v>0</v>
      </c>
      <c r="G31" s="148">
        <f>COUNTIFS('2026 Time Off Request'!$A:$A,'July 2026'!$D31,'2026 Time Off Request'!$L:$L,'July 2026'!G$6)</f>
        <v>0</v>
      </c>
      <c r="H31" s="148">
        <f>COUNTIFS('2026 Time Off Request'!$A:$A,'July 2026'!$D31,'2026 Time Off Request'!$L:$L,'July 2026'!H$6)</f>
        <v>0</v>
      </c>
      <c r="I31" s="147">
        <f>COUNTIFS('2026 Time Off Request'!$A:$A,'July 2026'!$D31,'2026 Time Off Request'!$L:$L,'July 2026'!I$6)</f>
        <v>0</v>
      </c>
      <c r="J31" s="147">
        <f>COUNTIFS('2026 Time Off Request'!$A:$A,'July 2026'!$D31,'2026 Time Off Request'!$L:$L,'July 2026'!J$6)</f>
        <v>0</v>
      </c>
      <c r="K31" s="148">
        <f>COUNTIFS('2026 Time Off Request'!$A:$A,'July 2026'!$D31,'2026 Time Off Request'!$L:$L,'July 2026'!K$6)</f>
        <v>0</v>
      </c>
      <c r="L31" s="148">
        <f>COUNTIFS('2026 Time Off Request'!$A:$A,'July 2026'!$D31,'2026 Time Off Request'!$L:$L,'July 2026'!L$6)</f>
        <v>0</v>
      </c>
      <c r="M31" s="148">
        <f>COUNTIFS('2026 Time Off Request'!$A:$A,'July 2026'!$D31,'2026 Time Off Request'!$L:$L,'July 2026'!M$6)</f>
        <v>0</v>
      </c>
      <c r="N31" s="148">
        <f>COUNTIFS('2026 Time Off Request'!$A:$A,'July 2026'!$D31,'2026 Time Off Request'!$L:$L,'July 2026'!N$6)</f>
        <v>0</v>
      </c>
      <c r="O31" s="148">
        <f>COUNTIFS('2026 Time Off Request'!$A:$A,'July 2026'!$D31,'2026 Time Off Request'!$L:$L,'July 2026'!O$6)</f>
        <v>0</v>
      </c>
      <c r="P31" s="147">
        <f>COUNTIFS('2026 Time Off Request'!$A:$A,'July 2026'!$D31,'2026 Time Off Request'!$L:$L,'July 2026'!P$6)</f>
        <v>0</v>
      </c>
      <c r="Q31" s="147">
        <f>COUNTIFS('2026 Time Off Request'!$A:$A,'July 2026'!$D31,'2026 Time Off Request'!$L:$L,'July 2026'!Q$6)</f>
        <v>0</v>
      </c>
      <c r="R31" s="148">
        <f>COUNTIFS('2026 Time Off Request'!$A:$A,'July 2026'!$D31,'2026 Time Off Request'!$L:$L,'July 2026'!R$6)</f>
        <v>0</v>
      </c>
      <c r="S31" s="148">
        <f>COUNTIFS('2026 Time Off Request'!$A:$A,'July 2026'!$D31,'2026 Time Off Request'!$L:$L,'July 2026'!S$6)</f>
        <v>0</v>
      </c>
      <c r="T31" s="148">
        <f>COUNTIFS('2026 Time Off Request'!$A:$A,'July 2026'!$D31,'2026 Time Off Request'!$L:$L,'July 2026'!T$6)</f>
        <v>0</v>
      </c>
      <c r="U31" s="148">
        <f>COUNTIFS('2026 Time Off Request'!$A:$A,'July 2026'!$D31,'2026 Time Off Request'!$L:$L,'July 2026'!U$6)</f>
        <v>0</v>
      </c>
      <c r="V31" s="148">
        <f>COUNTIFS('2026 Time Off Request'!$A:$A,'July 2026'!$D31,'2026 Time Off Request'!$L:$L,'July 2026'!V$6)</f>
        <v>0</v>
      </c>
      <c r="W31" s="147">
        <f>COUNTIFS('2026 Time Off Request'!$A:$A,'July 2026'!$D31,'2026 Time Off Request'!$L:$L,'July 2026'!W$6)</f>
        <v>0</v>
      </c>
      <c r="X31" s="147">
        <f>COUNTIFS('2026 Time Off Request'!$A:$A,'July 2026'!$D31,'2026 Time Off Request'!$L:$L,'July 2026'!X$6)</f>
        <v>0</v>
      </c>
      <c r="Y31" s="148">
        <f>COUNTIFS('2026 Time Off Request'!$A:$A,'July 2026'!$D31,'2026 Time Off Request'!$L:$L,'July 2026'!Y$6)</f>
        <v>0</v>
      </c>
      <c r="Z31" s="148">
        <f>COUNTIFS('2026 Time Off Request'!$A:$A,'July 2026'!$D31,'2026 Time Off Request'!$L:$L,'July 2026'!Z$6)</f>
        <v>0</v>
      </c>
      <c r="AA31" s="148">
        <f>COUNTIFS('2026 Time Off Request'!$A:$A,'July 2026'!$D31,'2026 Time Off Request'!$L:$L,'July 2026'!AA$6)</f>
        <v>0</v>
      </c>
      <c r="AB31" s="148">
        <f>COUNTIFS('2026 Time Off Request'!$A:$A,'July 2026'!$D31,'2026 Time Off Request'!$L:$L,'July 2026'!AB$6)</f>
        <v>0</v>
      </c>
      <c r="AC31" s="148">
        <f>COUNTIFS('2026 Time Off Request'!$A:$A,'July 2026'!$D31,'2026 Time Off Request'!$L:$L,'July 2026'!AC$6)</f>
        <v>0</v>
      </c>
      <c r="AD31" s="147">
        <f>COUNTIFS('2026 Time Off Request'!$A:$A,'July 2026'!$D31,'2026 Time Off Request'!$L:$L,'July 2026'!AD$6)</f>
        <v>0</v>
      </c>
      <c r="AE31" s="147">
        <f>COUNTIFS('2026 Time Off Request'!$A:$A,'July 2026'!$D31,'2026 Time Off Request'!$L:$L,'July 2026'!AE$6)</f>
        <v>0</v>
      </c>
      <c r="AF31" s="148">
        <f>COUNTIFS('2026 Time Off Request'!$A:$A,'July 2026'!$D31,'2026 Time Off Request'!$L:$L,'July 2026'!AF$6)</f>
        <v>0</v>
      </c>
      <c r="AG31" s="148">
        <f>COUNTIFS('2026 Time Off Request'!$A:$A,'July 2026'!$D31,'2026 Time Off Request'!$L:$L,'July 2026'!AG$6)</f>
        <v>0</v>
      </c>
      <c r="AH31" s="148">
        <f>COUNTIFS('2026 Time Off Request'!$A:$A,'July 2026'!$D31,'2026 Time Off Request'!$L:$L,'July 2026'!AH$6)</f>
        <v>0</v>
      </c>
      <c r="AI31" s="148">
        <f>COUNTIFS('2026 Time Off Request'!$A:$A,'July 2026'!$D31,'2026 Time Off Request'!$L:$L,'July 2026'!AI$6)</f>
        <v>0</v>
      </c>
      <c r="AJ31" s="148">
        <f>COUNTIFS('2026 Time Off Request'!$A:$A,'July 2026'!$D31,'2026 Time Off Request'!$L:$L,'July 2026'!AJ$6)</f>
        <v>0</v>
      </c>
    </row>
    <row r="32" spans="1:36" ht="15.75">
      <c r="A32" s="2">
        <v>23</v>
      </c>
      <c r="B32" s="104" t="s">
        <v>45</v>
      </c>
      <c r="C32" s="23" t="s">
        <v>68</v>
      </c>
      <c r="D32" s="2" t="s">
        <v>69</v>
      </c>
      <c r="E32" s="212">
        <f t="shared" si="3"/>
        <v>0</v>
      </c>
      <c r="F32" s="226">
        <f>COUNTIFS('2026 Time Off Request'!$A:$A,'July 2026'!$D32,'2026 Time Off Request'!$L:$L,'July 2026'!F$6)</f>
        <v>0</v>
      </c>
      <c r="G32" s="148">
        <f>COUNTIFS('2026 Time Off Request'!$A:$A,'July 2026'!$D32,'2026 Time Off Request'!$L:$L,'July 2026'!G$6)</f>
        <v>0</v>
      </c>
      <c r="H32" s="148">
        <f>COUNTIFS('2026 Time Off Request'!$A:$A,'July 2026'!$D32,'2026 Time Off Request'!$L:$L,'July 2026'!H$6)</f>
        <v>0</v>
      </c>
      <c r="I32" s="147">
        <f>COUNTIFS('2026 Time Off Request'!$A:$A,'July 2026'!$D32,'2026 Time Off Request'!$L:$L,'July 2026'!I$6)</f>
        <v>0</v>
      </c>
      <c r="J32" s="147">
        <f>COUNTIFS('2026 Time Off Request'!$A:$A,'July 2026'!$D32,'2026 Time Off Request'!$L:$L,'July 2026'!J$6)</f>
        <v>0</v>
      </c>
      <c r="K32" s="148">
        <f>COUNTIFS('2026 Time Off Request'!$A:$A,'July 2026'!$D32,'2026 Time Off Request'!$L:$L,'July 2026'!K$6)</f>
        <v>0</v>
      </c>
      <c r="L32" s="148">
        <f>COUNTIFS('2026 Time Off Request'!$A:$A,'July 2026'!$D32,'2026 Time Off Request'!$L:$L,'July 2026'!L$6)</f>
        <v>0</v>
      </c>
      <c r="M32" s="148">
        <f>COUNTIFS('2026 Time Off Request'!$A:$A,'July 2026'!$D32,'2026 Time Off Request'!$L:$L,'July 2026'!M$6)</f>
        <v>0</v>
      </c>
      <c r="N32" s="148">
        <f>COUNTIFS('2026 Time Off Request'!$A:$A,'July 2026'!$D32,'2026 Time Off Request'!$L:$L,'July 2026'!N$6)</f>
        <v>0</v>
      </c>
      <c r="O32" s="148">
        <f>COUNTIFS('2026 Time Off Request'!$A:$A,'July 2026'!$D32,'2026 Time Off Request'!$L:$L,'July 2026'!O$6)</f>
        <v>0</v>
      </c>
      <c r="P32" s="147">
        <f>COUNTIFS('2026 Time Off Request'!$A:$A,'July 2026'!$D32,'2026 Time Off Request'!$L:$L,'July 2026'!P$6)</f>
        <v>0</v>
      </c>
      <c r="Q32" s="147">
        <f>COUNTIFS('2026 Time Off Request'!$A:$A,'July 2026'!$D32,'2026 Time Off Request'!$L:$L,'July 2026'!Q$6)</f>
        <v>0</v>
      </c>
      <c r="R32" s="148">
        <f>COUNTIFS('2026 Time Off Request'!$A:$A,'July 2026'!$D32,'2026 Time Off Request'!$L:$L,'July 2026'!R$6)</f>
        <v>0</v>
      </c>
      <c r="S32" s="148">
        <f>COUNTIFS('2026 Time Off Request'!$A:$A,'July 2026'!$D32,'2026 Time Off Request'!$L:$L,'July 2026'!S$6)</f>
        <v>0</v>
      </c>
      <c r="T32" s="148">
        <f>COUNTIFS('2026 Time Off Request'!$A:$A,'July 2026'!$D32,'2026 Time Off Request'!$L:$L,'July 2026'!T$6)</f>
        <v>0</v>
      </c>
      <c r="U32" s="148">
        <f>COUNTIFS('2026 Time Off Request'!$A:$A,'July 2026'!$D32,'2026 Time Off Request'!$L:$L,'July 2026'!U$6)</f>
        <v>0</v>
      </c>
      <c r="V32" s="148">
        <f>COUNTIFS('2026 Time Off Request'!$A:$A,'July 2026'!$D32,'2026 Time Off Request'!$L:$L,'July 2026'!V$6)</f>
        <v>0</v>
      </c>
      <c r="W32" s="147">
        <f>COUNTIFS('2026 Time Off Request'!$A:$A,'July 2026'!$D32,'2026 Time Off Request'!$L:$L,'July 2026'!W$6)</f>
        <v>0</v>
      </c>
      <c r="X32" s="147">
        <f>COUNTIFS('2026 Time Off Request'!$A:$A,'July 2026'!$D32,'2026 Time Off Request'!$L:$L,'July 2026'!X$6)</f>
        <v>0</v>
      </c>
      <c r="Y32" s="148">
        <f>COUNTIFS('2026 Time Off Request'!$A:$A,'July 2026'!$D32,'2026 Time Off Request'!$L:$L,'July 2026'!Y$6)</f>
        <v>0</v>
      </c>
      <c r="Z32" s="148">
        <f>COUNTIFS('2026 Time Off Request'!$A:$A,'July 2026'!$D32,'2026 Time Off Request'!$L:$L,'July 2026'!Z$6)</f>
        <v>0</v>
      </c>
      <c r="AA32" s="148">
        <f>COUNTIFS('2026 Time Off Request'!$A:$A,'July 2026'!$D32,'2026 Time Off Request'!$L:$L,'July 2026'!AA$6)</f>
        <v>0</v>
      </c>
      <c r="AB32" s="148">
        <f>COUNTIFS('2026 Time Off Request'!$A:$A,'July 2026'!$D32,'2026 Time Off Request'!$L:$L,'July 2026'!AB$6)</f>
        <v>0</v>
      </c>
      <c r="AC32" s="148">
        <f>COUNTIFS('2026 Time Off Request'!$A:$A,'July 2026'!$D32,'2026 Time Off Request'!$L:$L,'July 2026'!AC$6)</f>
        <v>0</v>
      </c>
      <c r="AD32" s="147">
        <f>COUNTIFS('2026 Time Off Request'!$A:$A,'July 2026'!$D32,'2026 Time Off Request'!$L:$L,'July 2026'!AD$6)</f>
        <v>0</v>
      </c>
      <c r="AE32" s="147">
        <f>COUNTIFS('2026 Time Off Request'!$A:$A,'July 2026'!$D32,'2026 Time Off Request'!$L:$L,'July 2026'!AE$6)</f>
        <v>0</v>
      </c>
      <c r="AF32" s="148">
        <f>COUNTIFS('2026 Time Off Request'!$A:$A,'July 2026'!$D32,'2026 Time Off Request'!$L:$L,'July 2026'!AF$6)</f>
        <v>0</v>
      </c>
      <c r="AG32" s="148">
        <f>COUNTIFS('2026 Time Off Request'!$A:$A,'July 2026'!$D32,'2026 Time Off Request'!$L:$L,'July 2026'!AG$6)</f>
        <v>0</v>
      </c>
      <c r="AH32" s="148">
        <f>COUNTIFS('2026 Time Off Request'!$A:$A,'July 2026'!$D32,'2026 Time Off Request'!$L:$L,'July 2026'!AH$6)</f>
        <v>0</v>
      </c>
      <c r="AI32" s="148">
        <f>COUNTIFS('2026 Time Off Request'!$A:$A,'July 2026'!$D32,'2026 Time Off Request'!$L:$L,'July 2026'!AI$6)</f>
        <v>0</v>
      </c>
      <c r="AJ32" s="148">
        <f>COUNTIFS('2026 Time Off Request'!$A:$A,'July 2026'!$D32,'2026 Time Off Request'!$L:$L,'July 2026'!AJ$6)</f>
        <v>0</v>
      </c>
    </row>
    <row r="33" spans="1:36" ht="15.75">
      <c r="A33" s="2">
        <v>24</v>
      </c>
      <c r="B33" s="104" t="s">
        <v>45</v>
      </c>
      <c r="C33" s="23" t="s">
        <v>70</v>
      </c>
      <c r="D33" s="2" t="s">
        <v>71</v>
      </c>
      <c r="E33" s="212">
        <f t="shared" si="3"/>
        <v>0</v>
      </c>
      <c r="F33" s="226">
        <f>COUNTIFS('2026 Time Off Request'!$A:$A,'July 2026'!$D33,'2026 Time Off Request'!$L:$L,'July 2026'!F$6)</f>
        <v>0</v>
      </c>
      <c r="G33" s="148">
        <f>COUNTIFS('2026 Time Off Request'!$A:$A,'July 2026'!$D33,'2026 Time Off Request'!$L:$L,'July 2026'!G$6)</f>
        <v>0</v>
      </c>
      <c r="H33" s="148">
        <f>COUNTIFS('2026 Time Off Request'!$A:$A,'July 2026'!$D33,'2026 Time Off Request'!$L:$L,'July 2026'!H$6)</f>
        <v>0</v>
      </c>
      <c r="I33" s="147">
        <f>COUNTIFS('2026 Time Off Request'!$A:$A,'July 2026'!$D33,'2026 Time Off Request'!$L:$L,'July 2026'!I$6)</f>
        <v>0</v>
      </c>
      <c r="J33" s="147">
        <f>COUNTIFS('2026 Time Off Request'!$A:$A,'July 2026'!$D33,'2026 Time Off Request'!$L:$L,'July 2026'!J$6)</f>
        <v>0</v>
      </c>
      <c r="K33" s="148">
        <f>COUNTIFS('2026 Time Off Request'!$A:$A,'July 2026'!$D33,'2026 Time Off Request'!$L:$L,'July 2026'!K$6)</f>
        <v>0</v>
      </c>
      <c r="L33" s="148">
        <f>COUNTIFS('2026 Time Off Request'!$A:$A,'July 2026'!$D33,'2026 Time Off Request'!$L:$L,'July 2026'!L$6)</f>
        <v>0</v>
      </c>
      <c r="M33" s="148">
        <f>COUNTIFS('2026 Time Off Request'!$A:$A,'July 2026'!$D33,'2026 Time Off Request'!$L:$L,'July 2026'!M$6)</f>
        <v>0</v>
      </c>
      <c r="N33" s="148">
        <f>COUNTIFS('2026 Time Off Request'!$A:$A,'July 2026'!$D33,'2026 Time Off Request'!$L:$L,'July 2026'!N$6)</f>
        <v>0</v>
      </c>
      <c r="O33" s="148">
        <f>COUNTIFS('2026 Time Off Request'!$A:$A,'July 2026'!$D33,'2026 Time Off Request'!$L:$L,'July 2026'!O$6)</f>
        <v>0</v>
      </c>
      <c r="P33" s="147">
        <f>COUNTIFS('2026 Time Off Request'!$A:$A,'July 2026'!$D33,'2026 Time Off Request'!$L:$L,'July 2026'!P$6)</f>
        <v>0</v>
      </c>
      <c r="Q33" s="147">
        <f>COUNTIFS('2026 Time Off Request'!$A:$A,'July 2026'!$D33,'2026 Time Off Request'!$L:$L,'July 2026'!Q$6)</f>
        <v>0</v>
      </c>
      <c r="R33" s="148">
        <f>COUNTIFS('2026 Time Off Request'!$A:$A,'July 2026'!$D33,'2026 Time Off Request'!$L:$L,'July 2026'!R$6)</f>
        <v>0</v>
      </c>
      <c r="S33" s="148">
        <f>COUNTIFS('2026 Time Off Request'!$A:$A,'July 2026'!$D33,'2026 Time Off Request'!$L:$L,'July 2026'!S$6)</f>
        <v>0</v>
      </c>
      <c r="T33" s="148">
        <f>COUNTIFS('2026 Time Off Request'!$A:$A,'July 2026'!$D33,'2026 Time Off Request'!$L:$L,'July 2026'!T$6)</f>
        <v>0</v>
      </c>
      <c r="U33" s="148">
        <f>COUNTIFS('2026 Time Off Request'!$A:$A,'July 2026'!$D33,'2026 Time Off Request'!$L:$L,'July 2026'!U$6)</f>
        <v>0</v>
      </c>
      <c r="V33" s="148">
        <f>COUNTIFS('2026 Time Off Request'!$A:$A,'July 2026'!$D33,'2026 Time Off Request'!$L:$L,'July 2026'!V$6)</f>
        <v>0</v>
      </c>
      <c r="W33" s="147">
        <f>COUNTIFS('2026 Time Off Request'!$A:$A,'July 2026'!$D33,'2026 Time Off Request'!$L:$L,'July 2026'!W$6)</f>
        <v>0</v>
      </c>
      <c r="X33" s="147">
        <f>COUNTIFS('2026 Time Off Request'!$A:$A,'July 2026'!$D33,'2026 Time Off Request'!$L:$L,'July 2026'!X$6)</f>
        <v>0</v>
      </c>
      <c r="Y33" s="148">
        <f>COUNTIFS('2026 Time Off Request'!$A:$A,'July 2026'!$D33,'2026 Time Off Request'!$L:$L,'July 2026'!Y$6)</f>
        <v>0</v>
      </c>
      <c r="Z33" s="148">
        <f>COUNTIFS('2026 Time Off Request'!$A:$A,'July 2026'!$D33,'2026 Time Off Request'!$L:$L,'July 2026'!Z$6)</f>
        <v>0</v>
      </c>
      <c r="AA33" s="148">
        <f>COUNTIFS('2026 Time Off Request'!$A:$A,'July 2026'!$D33,'2026 Time Off Request'!$L:$L,'July 2026'!AA$6)</f>
        <v>0</v>
      </c>
      <c r="AB33" s="148">
        <f>COUNTIFS('2026 Time Off Request'!$A:$A,'July 2026'!$D33,'2026 Time Off Request'!$L:$L,'July 2026'!AB$6)</f>
        <v>0</v>
      </c>
      <c r="AC33" s="148">
        <f>COUNTIFS('2026 Time Off Request'!$A:$A,'July 2026'!$D33,'2026 Time Off Request'!$L:$L,'July 2026'!AC$6)</f>
        <v>0</v>
      </c>
      <c r="AD33" s="147">
        <f>COUNTIFS('2026 Time Off Request'!$A:$A,'July 2026'!$D33,'2026 Time Off Request'!$L:$L,'July 2026'!AD$6)</f>
        <v>0</v>
      </c>
      <c r="AE33" s="147">
        <f>COUNTIFS('2026 Time Off Request'!$A:$A,'July 2026'!$D33,'2026 Time Off Request'!$L:$L,'July 2026'!AE$6)</f>
        <v>0</v>
      </c>
      <c r="AF33" s="148">
        <f>COUNTIFS('2026 Time Off Request'!$A:$A,'July 2026'!$D33,'2026 Time Off Request'!$L:$L,'July 2026'!AF$6)</f>
        <v>0</v>
      </c>
      <c r="AG33" s="148">
        <f>COUNTIFS('2026 Time Off Request'!$A:$A,'July 2026'!$D33,'2026 Time Off Request'!$L:$L,'July 2026'!AG$6)</f>
        <v>0</v>
      </c>
      <c r="AH33" s="148">
        <f>COUNTIFS('2026 Time Off Request'!$A:$A,'July 2026'!$D33,'2026 Time Off Request'!$L:$L,'July 2026'!AH$6)</f>
        <v>0</v>
      </c>
      <c r="AI33" s="148">
        <f>COUNTIFS('2026 Time Off Request'!$A:$A,'July 2026'!$D33,'2026 Time Off Request'!$L:$L,'July 2026'!AI$6)</f>
        <v>0</v>
      </c>
      <c r="AJ33" s="148">
        <f>COUNTIFS('2026 Time Off Request'!$A:$A,'July 2026'!$D33,'2026 Time Off Request'!$L:$L,'July 2026'!AJ$6)</f>
        <v>0</v>
      </c>
    </row>
    <row r="34" spans="1:36" ht="15.75">
      <c r="A34" s="2">
        <v>25</v>
      </c>
      <c r="B34" s="104" t="s">
        <v>45</v>
      </c>
      <c r="C34" s="23" t="s">
        <v>70</v>
      </c>
      <c r="D34" s="2" t="s">
        <v>72</v>
      </c>
      <c r="E34" s="212">
        <f t="shared" si="3"/>
        <v>4</v>
      </c>
      <c r="F34" s="226">
        <f>COUNTIFS('2026 Time Off Request'!$A:$A,'July 2026'!$D34,'2026 Time Off Request'!$L:$L,'July 2026'!F$6)</f>
        <v>0</v>
      </c>
      <c r="G34" s="148">
        <f>COUNTIFS('2026 Time Off Request'!$A:$A,'July 2026'!$D34,'2026 Time Off Request'!$L:$L,'July 2026'!G$6)</f>
        <v>0</v>
      </c>
      <c r="H34" s="148">
        <f>COUNTIFS('2026 Time Off Request'!$A:$A,'July 2026'!$D34,'2026 Time Off Request'!$L:$L,'July 2026'!H$6)</f>
        <v>0</v>
      </c>
      <c r="I34" s="147">
        <f>COUNTIFS('2026 Time Off Request'!$A:$A,'July 2026'!$D34,'2026 Time Off Request'!$L:$L,'July 2026'!I$6)</f>
        <v>0</v>
      </c>
      <c r="J34" s="147">
        <f>COUNTIFS('2026 Time Off Request'!$A:$A,'July 2026'!$D34,'2026 Time Off Request'!$L:$L,'July 2026'!J$6)</f>
        <v>0</v>
      </c>
      <c r="K34" s="148">
        <f>COUNTIFS('2026 Time Off Request'!$A:$A,'July 2026'!$D34,'2026 Time Off Request'!$L:$L,'July 2026'!K$6)</f>
        <v>0</v>
      </c>
      <c r="L34" s="148">
        <f>COUNTIFS('2026 Time Off Request'!$A:$A,'July 2026'!$D34,'2026 Time Off Request'!$L:$L,'July 2026'!L$6)</f>
        <v>0</v>
      </c>
      <c r="M34" s="148">
        <f>COUNTIFS('2026 Time Off Request'!$A:$A,'July 2026'!$D34,'2026 Time Off Request'!$L:$L,'July 2026'!M$6)</f>
        <v>0</v>
      </c>
      <c r="N34" s="148">
        <f>COUNTIFS('2026 Time Off Request'!$A:$A,'July 2026'!$D34,'2026 Time Off Request'!$L:$L,'July 2026'!N$6)</f>
        <v>0</v>
      </c>
      <c r="O34" s="148">
        <f>COUNTIFS('2026 Time Off Request'!$A:$A,'July 2026'!$D34,'2026 Time Off Request'!$L:$L,'July 2026'!O$6)</f>
        <v>0</v>
      </c>
      <c r="P34" s="147">
        <f>COUNTIFS('2026 Time Off Request'!$A:$A,'July 2026'!$D34,'2026 Time Off Request'!$L:$L,'July 2026'!P$6)</f>
        <v>0</v>
      </c>
      <c r="Q34" s="147">
        <f>COUNTIFS('2026 Time Off Request'!$A:$A,'July 2026'!$D34,'2026 Time Off Request'!$L:$L,'July 2026'!Q$6)</f>
        <v>0</v>
      </c>
      <c r="R34" s="148">
        <f>COUNTIFS('2026 Time Off Request'!$A:$A,'July 2026'!$D34,'2026 Time Off Request'!$L:$L,'July 2026'!R$6)</f>
        <v>0</v>
      </c>
      <c r="S34" s="148">
        <f>COUNTIFS('2026 Time Off Request'!$A:$A,'July 2026'!$D34,'2026 Time Off Request'!$L:$L,'July 2026'!S$6)</f>
        <v>0</v>
      </c>
      <c r="T34" s="148">
        <f>COUNTIFS('2026 Time Off Request'!$A:$A,'July 2026'!$D34,'2026 Time Off Request'!$L:$L,'July 2026'!T$6)</f>
        <v>0</v>
      </c>
      <c r="U34" s="148">
        <f>COUNTIFS('2026 Time Off Request'!$A:$A,'July 2026'!$D34,'2026 Time Off Request'!$L:$L,'July 2026'!U$6)</f>
        <v>0</v>
      </c>
      <c r="V34" s="148">
        <f>COUNTIFS('2026 Time Off Request'!$A:$A,'July 2026'!$D34,'2026 Time Off Request'!$L:$L,'July 2026'!V$6)</f>
        <v>0</v>
      </c>
      <c r="W34" s="147">
        <f>COUNTIFS('2026 Time Off Request'!$A:$A,'July 2026'!$D34,'2026 Time Off Request'!$L:$L,'July 2026'!W$6)</f>
        <v>0</v>
      </c>
      <c r="X34" s="147">
        <f>COUNTIFS('2026 Time Off Request'!$A:$A,'July 2026'!$D34,'2026 Time Off Request'!$L:$L,'July 2026'!X$6)</f>
        <v>0</v>
      </c>
      <c r="Y34" s="148">
        <f>COUNTIFS('2026 Time Off Request'!$A:$A,'July 2026'!$D34,'2026 Time Off Request'!$L:$L,'July 2026'!Y$6)</f>
        <v>0</v>
      </c>
      <c r="Z34" s="148">
        <f>COUNTIFS('2026 Time Off Request'!$A:$A,'July 2026'!$D34,'2026 Time Off Request'!$L:$L,'July 2026'!Z$6)</f>
        <v>0</v>
      </c>
      <c r="AA34" s="148">
        <f>COUNTIFS('2026 Time Off Request'!$A:$A,'July 2026'!$D34,'2026 Time Off Request'!$L:$L,'July 2026'!AA$6)</f>
        <v>0</v>
      </c>
      <c r="AB34" s="148">
        <f>COUNTIFS('2026 Time Off Request'!$A:$A,'July 2026'!$D34,'2026 Time Off Request'!$L:$L,'July 2026'!AB$6)</f>
        <v>0</v>
      </c>
      <c r="AC34" s="148">
        <f>COUNTIFS('2026 Time Off Request'!$A:$A,'July 2026'!$D34,'2026 Time Off Request'!$L:$L,'July 2026'!AC$6)</f>
        <v>0</v>
      </c>
      <c r="AD34" s="147">
        <f>COUNTIFS('2026 Time Off Request'!$A:$A,'July 2026'!$D34,'2026 Time Off Request'!$L:$L,'July 2026'!AD$6)</f>
        <v>0</v>
      </c>
      <c r="AE34" s="147">
        <f>COUNTIFS('2026 Time Off Request'!$A:$A,'July 2026'!$D34,'2026 Time Off Request'!$L:$L,'July 2026'!AE$6)</f>
        <v>0</v>
      </c>
      <c r="AF34" s="148">
        <f>COUNTIFS('2026 Time Off Request'!$A:$A,'July 2026'!$D34,'2026 Time Off Request'!$L:$L,'July 2026'!AF$6)</f>
        <v>1</v>
      </c>
      <c r="AG34" s="148">
        <f>COUNTIFS('2026 Time Off Request'!$A:$A,'July 2026'!$D34,'2026 Time Off Request'!$L:$L,'July 2026'!AG$6)</f>
        <v>1</v>
      </c>
      <c r="AH34" s="148">
        <f>COUNTIFS('2026 Time Off Request'!$A:$A,'July 2026'!$D34,'2026 Time Off Request'!$L:$L,'July 2026'!AH$6)</f>
        <v>1</v>
      </c>
      <c r="AI34" s="148">
        <f>COUNTIFS('2026 Time Off Request'!$A:$A,'July 2026'!$D34,'2026 Time Off Request'!$L:$L,'July 2026'!AI$6)</f>
        <v>1</v>
      </c>
      <c r="AJ34" s="148">
        <f>COUNTIFS('2026 Time Off Request'!$A:$A,'July 2026'!$D34,'2026 Time Off Request'!$L:$L,'July 2026'!AJ$6)</f>
        <v>1</v>
      </c>
    </row>
    <row r="35" spans="1:36" ht="15.75">
      <c r="A35" s="2">
        <v>26</v>
      </c>
      <c r="B35" s="104" t="s">
        <v>45</v>
      </c>
      <c r="C35" s="23" t="s">
        <v>73</v>
      </c>
      <c r="D35" s="2" t="s">
        <v>74</v>
      </c>
      <c r="E35" s="212">
        <f t="shared" ref="E35" si="5">SUM(F35:AI35)</f>
        <v>0</v>
      </c>
      <c r="F35" s="226">
        <f>COUNTIFS('2026 Time Off Request'!$A:$A,'July 2026'!$D35,'2026 Time Off Request'!$L:$L,'July 2026'!F$6)</f>
        <v>0</v>
      </c>
      <c r="G35" s="148">
        <f>COUNTIFS('2026 Time Off Request'!$A:$A,'July 2026'!$D35,'2026 Time Off Request'!$L:$L,'July 2026'!G$6)</f>
        <v>0</v>
      </c>
      <c r="H35" s="148">
        <f>COUNTIFS('2026 Time Off Request'!$A:$A,'July 2026'!$D35,'2026 Time Off Request'!$L:$L,'July 2026'!H$6)</f>
        <v>0</v>
      </c>
      <c r="I35" s="147">
        <f>COUNTIFS('2026 Time Off Request'!$A:$A,'July 2026'!$D35,'2026 Time Off Request'!$L:$L,'July 2026'!I$6)</f>
        <v>0</v>
      </c>
      <c r="J35" s="147">
        <f>COUNTIFS('2026 Time Off Request'!$A:$A,'July 2026'!$D35,'2026 Time Off Request'!$L:$L,'July 2026'!J$6)</f>
        <v>0</v>
      </c>
      <c r="K35" s="148">
        <f>COUNTIFS('2026 Time Off Request'!$A:$A,'July 2026'!$D35,'2026 Time Off Request'!$L:$L,'July 2026'!K$6)</f>
        <v>0</v>
      </c>
      <c r="L35" s="148">
        <f>COUNTIFS('2026 Time Off Request'!$A:$A,'July 2026'!$D35,'2026 Time Off Request'!$L:$L,'July 2026'!L$6)</f>
        <v>0</v>
      </c>
      <c r="M35" s="148">
        <f>COUNTIFS('2026 Time Off Request'!$A:$A,'July 2026'!$D35,'2026 Time Off Request'!$L:$L,'July 2026'!M$6)</f>
        <v>0</v>
      </c>
      <c r="N35" s="148">
        <f>COUNTIFS('2026 Time Off Request'!$A:$A,'July 2026'!$D35,'2026 Time Off Request'!$L:$L,'July 2026'!N$6)</f>
        <v>0</v>
      </c>
      <c r="O35" s="148">
        <f>COUNTIFS('2026 Time Off Request'!$A:$A,'July 2026'!$D35,'2026 Time Off Request'!$L:$L,'July 2026'!O$6)</f>
        <v>0</v>
      </c>
      <c r="P35" s="147">
        <f>COUNTIFS('2026 Time Off Request'!$A:$A,'July 2026'!$D35,'2026 Time Off Request'!$L:$L,'July 2026'!P$6)</f>
        <v>0</v>
      </c>
      <c r="Q35" s="147">
        <f>COUNTIFS('2026 Time Off Request'!$A:$A,'July 2026'!$D35,'2026 Time Off Request'!$L:$L,'July 2026'!Q$6)</f>
        <v>0</v>
      </c>
      <c r="R35" s="148">
        <f>COUNTIFS('2026 Time Off Request'!$A:$A,'July 2026'!$D35,'2026 Time Off Request'!$L:$L,'July 2026'!R$6)</f>
        <v>0</v>
      </c>
      <c r="S35" s="148">
        <f>COUNTIFS('2026 Time Off Request'!$A:$A,'July 2026'!$D35,'2026 Time Off Request'!$L:$L,'July 2026'!S$6)</f>
        <v>0</v>
      </c>
      <c r="T35" s="148">
        <f>COUNTIFS('2026 Time Off Request'!$A:$A,'July 2026'!$D35,'2026 Time Off Request'!$L:$L,'July 2026'!T$6)</f>
        <v>0</v>
      </c>
      <c r="U35" s="148">
        <f>COUNTIFS('2026 Time Off Request'!$A:$A,'July 2026'!$D35,'2026 Time Off Request'!$L:$L,'July 2026'!U$6)</f>
        <v>0</v>
      </c>
      <c r="V35" s="148">
        <f>COUNTIFS('2026 Time Off Request'!$A:$A,'July 2026'!$D35,'2026 Time Off Request'!$L:$L,'July 2026'!V$6)</f>
        <v>0</v>
      </c>
      <c r="W35" s="147">
        <f>COUNTIFS('2026 Time Off Request'!$A:$A,'July 2026'!$D35,'2026 Time Off Request'!$L:$L,'July 2026'!W$6)</f>
        <v>0</v>
      </c>
      <c r="X35" s="147">
        <f>COUNTIFS('2026 Time Off Request'!$A:$A,'July 2026'!$D35,'2026 Time Off Request'!$L:$L,'July 2026'!X$6)</f>
        <v>0</v>
      </c>
      <c r="Y35" s="148">
        <f>COUNTIFS('2026 Time Off Request'!$A:$A,'July 2026'!$D35,'2026 Time Off Request'!$L:$L,'July 2026'!Y$6)</f>
        <v>0</v>
      </c>
      <c r="Z35" s="148">
        <f>COUNTIFS('2026 Time Off Request'!$A:$A,'July 2026'!$D35,'2026 Time Off Request'!$L:$L,'July 2026'!Z$6)</f>
        <v>0</v>
      </c>
      <c r="AA35" s="148">
        <f>COUNTIFS('2026 Time Off Request'!$A:$A,'July 2026'!$D35,'2026 Time Off Request'!$L:$L,'July 2026'!AA$6)</f>
        <v>0</v>
      </c>
      <c r="AB35" s="148">
        <f>COUNTIFS('2026 Time Off Request'!$A:$A,'July 2026'!$D35,'2026 Time Off Request'!$L:$L,'July 2026'!AB$6)</f>
        <v>0</v>
      </c>
      <c r="AC35" s="148">
        <f>COUNTIFS('2026 Time Off Request'!$A:$A,'July 2026'!$D35,'2026 Time Off Request'!$L:$L,'July 2026'!AC$6)</f>
        <v>0</v>
      </c>
      <c r="AD35" s="147">
        <f>COUNTIFS('2026 Time Off Request'!$A:$A,'July 2026'!$D35,'2026 Time Off Request'!$L:$L,'July 2026'!AD$6)</f>
        <v>0</v>
      </c>
      <c r="AE35" s="147">
        <f>COUNTIFS('2026 Time Off Request'!$A:$A,'July 2026'!$D35,'2026 Time Off Request'!$L:$L,'July 2026'!AE$6)</f>
        <v>0</v>
      </c>
      <c r="AF35" s="148">
        <f>COUNTIFS('2026 Time Off Request'!$A:$A,'July 2026'!$D35,'2026 Time Off Request'!$L:$L,'July 2026'!AF$6)</f>
        <v>0</v>
      </c>
      <c r="AG35" s="148">
        <f>COUNTIFS('2026 Time Off Request'!$A:$A,'July 2026'!$D35,'2026 Time Off Request'!$L:$L,'July 2026'!AG$6)</f>
        <v>0</v>
      </c>
      <c r="AH35" s="148">
        <f>COUNTIFS('2026 Time Off Request'!$A:$A,'July 2026'!$D35,'2026 Time Off Request'!$L:$L,'July 2026'!AH$6)</f>
        <v>0</v>
      </c>
      <c r="AI35" s="148">
        <f>COUNTIFS('2026 Time Off Request'!$A:$A,'July 2026'!$D35,'2026 Time Off Request'!$L:$L,'July 2026'!AI$6)</f>
        <v>0</v>
      </c>
      <c r="AJ35" s="148">
        <f>COUNTIFS('2026 Time Off Request'!$A:$A,'July 2026'!$D35,'2026 Time Off Request'!$L:$L,'July 2026'!AJ$6)</f>
        <v>0</v>
      </c>
    </row>
    <row r="36" spans="1:36" ht="15.75">
      <c r="A36" s="2">
        <v>27</v>
      </c>
      <c r="B36" s="104" t="s">
        <v>49</v>
      </c>
      <c r="C36" s="23" t="s">
        <v>75</v>
      </c>
      <c r="D36" s="2" t="s">
        <v>76</v>
      </c>
      <c r="E36" s="212">
        <f t="shared" si="3"/>
        <v>0</v>
      </c>
      <c r="F36" s="226">
        <f>COUNTIFS('2026 Time Off Request'!$A:$A,'July 2026'!$D36,'2026 Time Off Request'!$L:$L,'July 2026'!F$6)</f>
        <v>0</v>
      </c>
      <c r="G36" s="148">
        <f>COUNTIFS('2026 Time Off Request'!$A:$A,'July 2026'!$D36,'2026 Time Off Request'!$L:$L,'July 2026'!G$6)</f>
        <v>0</v>
      </c>
      <c r="H36" s="148">
        <f>COUNTIFS('2026 Time Off Request'!$A:$A,'July 2026'!$D36,'2026 Time Off Request'!$L:$L,'July 2026'!H$6)</f>
        <v>0</v>
      </c>
      <c r="I36" s="147">
        <f>COUNTIFS('2026 Time Off Request'!$A:$A,'July 2026'!$D36,'2026 Time Off Request'!$L:$L,'July 2026'!I$6)</f>
        <v>0</v>
      </c>
      <c r="J36" s="147">
        <f>COUNTIFS('2026 Time Off Request'!$A:$A,'July 2026'!$D36,'2026 Time Off Request'!$L:$L,'July 2026'!J$6)</f>
        <v>0</v>
      </c>
      <c r="K36" s="148">
        <f>COUNTIFS('2026 Time Off Request'!$A:$A,'July 2026'!$D36,'2026 Time Off Request'!$L:$L,'July 2026'!K$6)</f>
        <v>0</v>
      </c>
      <c r="L36" s="148">
        <f>COUNTIFS('2026 Time Off Request'!$A:$A,'July 2026'!$D36,'2026 Time Off Request'!$L:$L,'July 2026'!L$6)</f>
        <v>0</v>
      </c>
      <c r="M36" s="148">
        <f>COUNTIFS('2026 Time Off Request'!$A:$A,'July 2026'!$D36,'2026 Time Off Request'!$L:$L,'July 2026'!M$6)</f>
        <v>0</v>
      </c>
      <c r="N36" s="148">
        <f>COUNTIFS('2026 Time Off Request'!$A:$A,'July 2026'!$D36,'2026 Time Off Request'!$L:$L,'July 2026'!N$6)</f>
        <v>0</v>
      </c>
      <c r="O36" s="148">
        <f>COUNTIFS('2026 Time Off Request'!$A:$A,'July 2026'!$D36,'2026 Time Off Request'!$L:$L,'July 2026'!O$6)</f>
        <v>0</v>
      </c>
      <c r="P36" s="147">
        <f>COUNTIFS('2026 Time Off Request'!$A:$A,'July 2026'!$D36,'2026 Time Off Request'!$L:$L,'July 2026'!P$6)</f>
        <v>0</v>
      </c>
      <c r="Q36" s="147">
        <f>COUNTIFS('2026 Time Off Request'!$A:$A,'July 2026'!$D36,'2026 Time Off Request'!$L:$L,'July 2026'!Q$6)</f>
        <v>0</v>
      </c>
      <c r="R36" s="148">
        <f>COUNTIFS('2026 Time Off Request'!$A:$A,'July 2026'!$D36,'2026 Time Off Request'!$L:$L,'July 2026'!R$6)</f>
        <v>0</v>
      </c>
      <c r="S36" s="148">
        <f>COUNTIFS('2026 Time Off Request'!$A:$A,'July 2026'!$D36,'2026 Time Off Request'!$L:$L,'July 2026'!S$6)</f>
        <v>0</v>
      </c>
      <c r="T36" s="148">
        <f>COUNTIFS('2026 Time Off Request'!$A:$A,'July 2026'!$D36,'2026 Time Off Request'!$L:$L,'July 2026'!T$6)</f>
        <v>0</v>
      </c>
      <c r="U36" s="148">
        <f>COUNTIFS('2026 Time Off Request'!$A:$A,'July 2026'!$D36,'2026 Time Off Request'!$L:$L,'July 2026'!U$6)</f>
        <v>0</v>
      </c>
      <c r="V36" s="148">
        <f>COUNTIFS('2026 Time Off Request'!$A:$A,'July 2026'!$D36,'2026 Time Off Request'!$L:$L,'July 2026'!V$6)</f>
        <v>0</v>
      </c>
      <c r="W36" s="147">
        <f>COUNTIFS('2026 Time Off Request'!$A:$A,'July 2026'!$D36,'2026 Time Off Request'!$L:$L,'July 2026'!W$6)</f>
        <v>0</v>
      </c>
      <c r="X36" s="147">
        <f>COUNTIFS('2026 Time Off Request'!$A:$A,'July 2026'!$D36,'2026 Time Off Request'!$L:$L,'July 2026'!X$6)</f>
        <v>0</v>
      </c>
      <c r="Y36" s="148">
        <f>COUNTIFS('2026 Time Off Request'!$A:$A,'July 2026'!$D36,'2026 Time Off Request'!$L:$L,'July 2026'!Y$6)</f>
        <v>0</v>
      </c>
      <c r="Z36" s="148">
        <f>COUNTIFS('2026 Time Off Request'!$A:$A,'July 2026'!$D36,'2026 Time Off Request'!$L:$L,'July 2026'!Z$6)</f>
        <v>0</v>
      </c>
      <c r="AA36" s="148">
        <f>COUNTIFS('2026 Time Off Request'!$A:$A,'July 2026'!$D36,'2026 Time Off Request'!$L:$L,'July 2026'!AA$6)</f>
        <v>0</v>
      </c>
      <c r="AB36" s="148">
        <f>COUNTIFS('2026 Time Off Request'!$A:$A,'July 2026'!$D36,'2026 Time Off Request'!$L:$L,'July 2026'!AB$6)</f>
        <v>0</v>
      </c>
      <c r="AC36" s="148">
        <f>COUNTIFS('2026 Time Off Request'!$A:$A,'July 2026'!$D36,'2026 Time Off Request'!$L:$L,'July 2026'!AC$6)</f>
        <v>0</v>
      </c>
      <c r="AD36" s="147">
        <f>COUNTIFS('2026 Time Off Request'!$A:$A,'July 2026'!$D36,'2026 Time Off Request'!$L:$L,'July 2026'!AD$6)</f>
        <v>0</v>
      </c>
      <c r="AE36" s="147">
        <f>COUNTIFS('2026 Time Off Request'!$A:$A,'July 2026'!$D36,'2026 Time Off Request'!$L:$L,'July 2026'!AE$6)</f>
        <v>0</v>
      </c>
      <c r="AF36" s="148">
        <f>COUNTIFS('2026 Time Off Request'!$A:$A,'July 2026'!$D36,'2026 Time Off Request'!$L:$L,'July 2026'!AF$6)</f>
        <v>0</v>
      </c>
      <c r="AG36" s="148">
        <f>COUNTIFS('2026 Time Off Request'!$A:$A,'July 2026'!$D36,'2026 Time Off Request'!$L:$L,'July 2026'!AG$6)</f>
        <v>0</v>
      </c>
      <c r="AH36" s="148">
        <f>COUNTIFS('2026 Time Off Request'!$A:$A,'July 2026'!$D36,'2026 Time Off Request'!$L:$L,'July 2026'!AH$6)</f>
        <v>0</v>
      </c>
      <c r="AI36" s="148">
        <f>COUNTIFS('2026 Time Off Request'!$A:$A,'July 2026'!$D36,'2026 Time Off Request'!$L:$L,'July 2026'!AI$6)</f>
        <v>0</v>
      </c>
      <c r="AJ36" s="148">
        <f>COUNTIFS('2026 Time Off Request'!$A:$A,'July 2026'!$D36,'2026 Time Off Request'!$L:$L,'July 2026'!AJ$6)</f>
        <v>0</v>
      </c>
    </row>
    <row r="37" spans="1:36" ht="15.75">
      <c r="A37" s="2">
        <v>28</v>
      </c>
      <c r="B37" s="104" t="s">
        <v>45</v>
      </c>
      <c r="C37" s="23" t="s">
        <v>77</v>
      </c>
      <c r="D37" s="2" t="s">
        <v>78</v>
      </c>
      <c r="E37" s="212">
        <f t="shared" si="3"/>
        <v>0</v>
      </c>
      <c r="F37" s="226">
        <f>COUNTIFS('2026 Time Off Request'!$A:$A,'July 2026'!$D37,'2026 Time Off Request'!$L:$L,'July 2026'!F$6)</f>
        <v>0</v>
      </c>
      <c r="G37" s="148">
        <f>COUNTIFS('2026 Time Off Request'!$A:$A,'July 2026'!$D37,'2026 Time Off Request'!$L:$L,'July 2026'!G$6)</f>
        <v>0</v>
      </c>
      <c r="H37" s="148">
        <f>COUNTIFS('2026 Time Off Request'!$A:$A,'July 2026'!$D37,'2026 Time Off Request'!$L:$L,'July 2026'!H$6)</f>
        <v>0</v>
      </c>
      <c r="I37" s="147">
        <f>COUNTIFS('2026 Time Off Request'!$A:$A,'July 2026'!$D37,'2026 Time Off Request'!$L:$L,'July 2026'!I$6)</f>
        <v>0</v>
      </c>
      <c r="J37" s="147">
        <f>COUNTIFS('2026 Time Off Request'!$A:$A,'July 2026'!$D37,'2026 Time Off Request'!$L:$L,'July 2026'!J$6)</f>
        <v>0</v>
      </c>
      <c r="K37" s="148">
        <f>COUNTIFS('2026 Time Off Request'!$A:$A,'July 2026'!$D37,'2026 Time Off Request'!$L:$L,'July 2026'!K$6)</f>
        <v>0</v>
      </c>
      <c r="L37" s="148">
        <f>COUNTIFS('2026 Time Off Request'!$A:$A,'July 2026'!$D37,'2026 Time Off Request'!$L:$L,'July 2026'!L$6)</f>
        <v>0</v>
      </c>
      <c r="M37" s="148">
        <f>COUNTIFS('2026 Time Off Request'!$A:$A,'July 2026'!$D37,'2026 Time Off Request'!$L:$L,'July 2026'!M$6)</f>
        <v>0</v>
      </c>
      <c r="N37" s="148">
        <f>COUNTIFS('2026 Time Off Request'!$A:$A,'July 2026'!$D37,'2026 Time Off Request'!$L:$L,'July 2026'!N$6)</f>
        <v>0</v>
      </c>
      <c r="O37" s="148">
        <f>COUNTIFS('2026 Time Off Request'!$A:$A,'July 2026'!$D37,'2026 Time Off Request'!$L:$L,'July 2026'!O$6)</f>
        <v>0</v>
      </c>
      <c r="P37" s="147">
        <f>COUNTIFS('2026 Time Off Request'!$A:$A,'July 2026'!$D37,'2026 Time Off Request'!$L:$L,'July 2026'!P$6)</f>
        <v>0</v>
      </c>
      <c r="Q37" s="147">
        <f>COUNTIFS('2026 Time Off Request'!$A:$A,'July 2026'!$D37,'2026 Time Off Request'!$L:$L,'July 2026'!Q$6)</f>
        <v>0</v>
      </c>
      <c r="R37" s="148">
        <f>COUNTIFS('2026 Time Off Request'!$A:$A,'July 2026'!$D37,'2026 Time Off Request'!$L:$L,'July 2026'!R$6)</f>
        <v>0</v>
      </c>
      <c r="S37" s="148">
        <f>COUNTIFS('2026 Time Off Request'!$A:$A,'July 2026'!$D37,'2026 Time Off Request'!$L:$L,'July 2026'!S$6)</f>
        <v>0</v>
      </c>
      <c r="T37" s="148">
        <f>COUNTIFS('2026 Time Off Request'!$A:$A,'July 2026'!$D37,'2026 Time Off Request'!$L:$L,'July 2026'!T$6)</f>
        <v>0</v>
      </c>
      <c r="U37" s="148">
        <f>COUNTIFS('2026 Time Off Request'!$A:$A,'July 2026'!$D37,'2026 Time Off Request'!$L:$L,'July 2026'!U$6)</f>
        <v>0</v>
      </c>
      <c r="V37" s="148">
        <f>COUNTIFS('2026 Time Off Request'!$A:$A,'July 2026'!$D37,'2026 Time Off Request'!$L:$L,'July 2026'!V$6)</f>
        <v>0</v>
      </c>
      <c r="W37" s="147">
        <f>COUNTIFS('2026 Time Off Request'!$A:$A,'July 2026'!$D37,'2026 Time Off Request'!$L:$L,'July 2026'!W$6)</f>
        <v>0</v>
      </c>
      <c r="X37" s="147">
        <f>COUNTIFS('2026 Time Off Request'!$A:$A,'July 2026'!$D37,'2026 Time Off Request'!$L:$L,'July 2026'!X$6)</f>
        <v>0</v>
      </c>
      <c r="Y37" s="148">
        <f>COUNTIFS('2026 Time Off Request'!$A:$A,'July 2026'!$D37,'2026 Time Off Request'!$L:$L,'July 2026'!Y$6)</f>
        <v>0</v>
      </c>
      <c r="Z37" s="148">
        <f>COUNTIFS('2026 Time Off Request'!$A:$A,'July 2026'!$D37,'2026 Time Off Request'!$L:$L,'July 2026'!Z$6)</f>
        <v>0</v>
      </c>
      <c r="AA37" s="148">
        <f>COUNTIFS('2026 Time Off Request'!$A:$A,'July 2026'!$D37,'2026 Time Off Request'!$L:$L,'July 2026'!AA$6)</f>
        <v>0</v>
      </c>
      <c r="AB37" s="148">
        <f>COUNTIFS('2026 Time Off Request'!$A:$A,'July 2026'!$D37,'2026 Time Off Request'!$L:$L,'July 2026'!AB$6)</f>
        <v>0</v>
      </c>
      <c r="AC37" s="148">
        <f>COUNTIFS('2026 Time Off Request'!$A:$A,'July 2026'!$D37,'2026 Time Off Request'!$L:$L,'July 2026'!AC$6)</f>
        <v>0</v>
      </c>
      <c r="AD37" s="147">
        <f>COUNTIFS('2026 Time Off Request'!$A:$A,'July 2026'!$D37,'2026 Time Off Request'!$L:$L,'July 2026'!AD$6)</f>
        <v>0</v>
      </c>
      <c r="AE37" s="147">
        <f>COUNTIFS('2026 Time Off Request'!$A:$A,'July 2026'!$D37,'2026 Time Off Request'!$L:$L,'July 2026'!AE$6)</f>
        <v>0</v>
      </c>
      <c r="AF37" s="148">
        <f>COUNTIFS('2026 Time Off Request'!$A:$A,'July 2026'!$D37,'2026 Time Off Request'!$L:$L,'July 2026'!AF$6)</f>
        <v>0</v>
      </c>
      <c r="AG37" s="148">
        <f>COUNTIFS('2026 Time Off Request'!$A:$A,'July 2026'!$D37,'2026 Time Off Request'!$L:$L,'July 2026'!AG$6)</f>
        <v>0</v>
      </c>
      <c r="AH37" s="148">
        <f>COUNTIFS('2026 Time Off Request'!$A:$A,'July 2026'!$D37,'2026 Time Off Request'!$L:$L,'July 2026'!AH$6)</f>
        <v>0</v>
      </c>
      <c r="AI37" s="148">
        <f>COUNTIFS('2026 Time Off Request'!$A:$A,'July 2026'!$D37,'2026 Time Off Request'!$L:$L,'July 2026'!AI$6)</f>
        <v>0</v>
      </c>
      <c r="AJ37" s="148">
        <f>COUNTIFS('2026 Time Off Request'!$A:$A,'July 2026'!$D37,'2026 Time Off Request'!$L:$L,'July 2026'!AJ$6)</f>
        <v>0</v>
      </c>
    </row>
    <row r="38" spans="1:36" ht="15.75">
      <c r="A38" s="2">
        <v>29</v>
      </c>
      <c r="B38" s="104" t="s">
        <v>45</v>
      </c>
      <c r="C38" s="23" t="s">
        <v>77</v>
      </c>
      <c r="D38" s="2" t="s">
        <v>79</v>
      </c>
      <c r="E38" s="212">
        <f t="shared" si="3"/>
        <v>0</v>
      </c>
      <c r="F38" s="226">
        <f>COUNTIFS('2026 Time Off Request'!$A:$A,'July 2026'!$D38,'2026 Time Off Request'!$L:$L,'July 2026'!F$6)</f>
        <v>0</v>
      </c>
      <c r="G38" s="148">
        <f>COUNTIFS('2026 Time Off Request'!$A:$A,'July 2026'!$D38,'2026 Time Off Request'!$L:$L,'July 2026'!G$6)</f>
        <v>0</v>
      </c>
      <c r="H38" s="148">
        <f>COUNTIFS('2026 Time Off Request'!$A:$A,'July 2026'!$D38,'2026 Time Off Request'!$L:$L,'July 2026'!H$6)</f>
        <v>0</v>
      </c>
      <c r="I38" s="147">
        <f>COUNTIFS('2026 Time Off Request'!$A:$A,'July 2026'!$D38,'2026 Time Off Request'!$L:$L,'July 2026'!I$6)</f>
        <v>0</v>
      </c>
      <c r="J38" s="147">
        <f>COUNTIFS('2026 Time Off Request'!$A:$A,'July 2026'!$D38,'2026 Time Off Request'!$L:$L,'July 2026'!J$6)</f>
        <v>0</v>
      </c>
      <c r="K38" s="148">
        <f>COUNTIFS('2026 Time Off Request'!$A:$A,'July 2026'!$D38,'2026 Time Off Request'!$L:$L,'July 2026'!K$6)</f>
        <v>0</v>
      </c>
      <c r="L38" s="148">
        <f>COUNTIFS('2026 Time Off Request'!$A:$A,'July 2026'!$D38,'2026 Time Off Request'!$L:$L,'July 2026'!L$6)</f>
        <v>0</v>
      </c>
      <c r="M38" s="148">
        <f>COUNTIFS('2026 Time Off Request'!$A:$A,'July 2026'!$D38,'2026 Time Off Request'!$L:$L,'July 2026'!M$6)</f>
        <v>0</v>
      </c>
      <c r="N38" s="148">
        <f>COUNTIFS('2026 Time Off Request'!$A:$A,'July 2026'!$D38,'2026 Time Off Request'!$L:$L,'July 2026'!N$6)</f>
        <v>0</v>
      </c>
      <c r="O38" s="148">
        <f>COUNTIFS('2026 Time Off Request'!$A:$A,'July 2026'!$D38,'2026 Time Off Request'!$L:$L,'July 2026'!O$6)</f>
        <v>0</v>
      </c>
      <c r="P38" s="147">
        <f>COUNTIFS('2026 Time Off Request'!$A:$A,'July 2026'!$D38,'2026 Time Off Request'!$L:$L,'July 2026'!P$6)</f>
        <v>0</v>
      </c>
      <c r="Q38" s="147">
        <f>COUNTIFS('2026 Time Off Request'!$A:$A,'July 2026'!$D38,'2026 Time Off Request'!$L:$L,'July 2026'!Q$6)</f>
        <v>0</v>
      </c>
      <c r="R38" s="148">
        <f>COUNTIFS('2026 Time Off Request'!$A:$A,'July 2026'!$D38,'2026 Time Off Request'!$L:$L,'July 2026'!R$6)</f>
        <v>0</v>
      </c>
      <c r="S38" s="148">
        <f>COUNTIFS('2026 Time Off Request'!$A:$A,'July 2026'!$D38,'2026 Time Off Request'!$L:$L,'July 2026'!S$6)</f>
        <v>0</v>
      </c>
      <c r="T38" s="148">
        <f>COUNTIFS('2026 Time Off Request'!$A:$A,'July 2026'!$D38,'2026 Time Off Request'!$L:$L,'July 2026'!T$6)</f>
        <v>0</v>
      </c>
      <c r="U38" s="148">
        <f>COUNTIFS('2026 Time Off Request'!$A:$A,'July 2026'!$D38,'2026 Time Off Request'!$L:$L,'July 2026'!U$6)</f>
        <v>0</v>
      </c>
      <c r="V38" s="148">
        <f>COUNTIFS('2026 Time Off Request'!$A:$A,'July 2026'!$D38,'2026 Time Off Request'!$L:$L,'July 2026'!V$6)</f>
        <v>0</v>
      </c>
      <c r="W38" s="147">
        <f>COUNTIFS('2026 Time Off Request'!$A:$A,'July 2026'!$D38,'2026 Time Off Request'!$L:$L,'July 2026'!W$6)</f>
        <v>0</v>
      </c>
      <c r="X38" s="147">
        <f>COUNTIFS('2026 Time Off Request'!$A:$A,'July 2026'!$D38,'2026 Time Off Request'!$L:$L,'July 2026'!X$6)</f>
        <v>0</v>
      </c>
      <c r="Y38" s="148">
        <f>COUNTIFS('2026 Time Off Request'!$A:$A,'July 2026'!$D38,'2026 Time Off Request'!$L:$L,'July 2026'!Y$6)</f>
        <v>0</v>
      </c>
      <c r="Z38" s="148">
        <f>COUNTIFS('2026 Time Off Request'!$A:$A,'July 2026'!$D38,'2026 Time Off Request'!$L:$L,'July 2026'!Z$6)</f>
        <v>0</v>
      </c>
      <c r="AA38" s="148">
        <f>COUNTIFS('2026 Time Off Request'!$A:$A,'July 2026'!$D38,'2026 Time Off Request'!$L:$L,'July 2026'!AA$6)</f>
        <v>0</v>
      </c>
      <c r="AB38" s="148">
        <f>COUNTIFS('2026 Time Off Request'!$A:$A,'July 2026'!$D38,'2026 Time Off Request'!$L:$L,'July 2026'!AB$6)</f>
        <v>0</v>
      </c>
      <c r="AC38" s="148">
        <f>COUNTIFS('2026 Time Off Request'!$A:$A,'July 2026'!$D38,'2026 Time Off Request'!$L:$L,'July 2026'!AC$6)</f>
        <v>0</v>
      </c>
      <c r="AD38" s="147">
        <f>COUNTIFS('2026 Time Off Request'!$A:$A,'July 2026'!$D38,'2026 Time Off Request'!$L:$L,'July 2026'!AD$6)</f>
        <v>0</v>
      </c>
      <c r="AE38" s="147">
        <f>COUNTIFS('2026 Time Off Request'!$A:$A,'July 2026'!$D38,'2026 Time Off Request'!$L:$L,'July 2026'!AE$6)</f>
        <v>0</v>
      </c>
      <c r="AF38" s="148">
        <f>COUNTIFS('2026 Time Off Request'!$A:$A,'July 2026'!$D38,'2026 Time Off Request'!$L:$L,'July 2026'!AF$6)</f>
        <v>0</v>
      </c>
      <c r="AG38" s="148">
        <f>COUNTIFS('2026 Time Off Request'!$A:$A,'July 2026'!$D38,'2026 Time Off Request'!$L:$L,'July 2026'!AG$6)</f>
        <v>0</v>
      </c>
      <c r="AH38" s="148">
        <f>COUNTIFS('2026 Time Off Request'!$A:$A,'July 2026'!$D38,'2026 Time Off Request'!$L:$L,'July 2026'!AH$6)</f>
        <v>0</v>
      </c>
      <c r="AI38" s="148">
        <f>COUNTIFS('2026 Time Off Request'!$A:$A,'July 2026'!$D38,'2026 Time Off Request'!$L:$L,'July 2026'!AI$6)</f>
        <v>0</v>
      </c>
      <c r="AJ38" s="148">
        <f>COUNTIFS('2026 Time Off Request'!$A:$A,'July 2026'!$D38,'2026 Time Off Request'!$L:$L,'July 2026'!AJ$6)</f>
        <v>0</v>
      </c>
    </row>
    <row r="39" spans="1:36" ht="15.75">
      <c r="A39" s="2">
        <v>30</v>
      </c>
      <c r="B39" s="104" t="s">
        <v>45</v>
      </c>
      <c r="C39" s="23" t="s">
        <v>77</v>
      </c>
      <c r="D39" s="2" t="s">
        <v>80</v>
      </c>
      <c r="E39" s="212">
        <f t="shared" si="3"/>
        <v>0</v>
      </c>
      <c r="F39" s="226">
        <f>COUNTIFS('2026 Time Off Request'!$A:$A,'July 2026'!$D39,'2026 Time Off Request'!$L:$L,'July 2026'!F$6)</f>
        <v>0</v>
      </c>
      <c r="G39" s="148">
        <f>COUNTIFS('2026 Time Off Request'!$A:$A,'July 2026'!$D39,'2026 Time Off Request'!$L:$L,'July 2026'!G$6)</f>
        <v>0</v>
      </c>
      <c r="H39" s="148">
        <f>COUNTIFS('2026 Time Off Request'!$A:$A,'July 2026'!$D39,'2026 Time Off Request'!$L:$L,'July 2026'!H$6)</f>
        <v>0</v>
      </c>
      <c r="I39" s="147">
        <f>COUNTIFS('2026 Time Off Request'!$A:$A,'July 2026'!$D39,'2026 Time Off Request'!$L:$L,'July 2026'!I$6)</f>
        <v>0</v>
      </c>
      <c r="J39" s="147">
        <f>COUNTIFS('2026 Time Off Request'!$A:$A,'July 2026'!$D39,'2026 Time Off Request'!$L:$L,'July 2026'!J$6)</f>
        <v>0</v>
      </c>
      <c r="K39" s="148">
        <f>COUNTIFS('2026 Time Off Request'!$A:$A,'July 2026'!$D39,'2026 Time Off Request'!$L:$L,'July 2026'!K$6)</f>
        <v>0</v>
      </c>
      <c r="L39" s="148">
        <f>COUNTIFS('2026 Time Off Request'!$A:$A,'July 2026'!$D39,'2026 Time Off Request'!$L:$L,'July 2026'!L$6)</f>
        <v>0</v>
      </c>
      <c r="M39" s="148">
        <f>COUNTIFS('2026 Time Off Request'!$A:$A,'July 2026'!$D39,'2026 Time Off Request'!$L:$L,'July 2026'!M$6)</f>
        <v>0</v>
      </c>
      <c r="N39" s="148">
        <f>COUNTIFS('2026 Time Off Request'!$A:$A,'July 2026'!$D39,'2026 Time Off Request'!$L:$L,'July 2026'!N$6)</f>
        <v>0</v>
      </c>
      <c r="O39" s="148">
        <f>COUNTIFS('2026 Time Off Request'!$A:$A,'July 2026'!$D39,'2026 Time Off Request'!$L:$L,'July 2026'!O$6)</f>
        <v>0</v>
      </c>
      <c r="P39" s="147">
        <f>COUNTIFS('2026 Time Off Request'!$A:$A,'July 2026'!$D39,'2026 Time Off Request'!$L:$L,'July 2026'!P$6)</f>
        <v>0</v>
      </c>
      <c r="Q39" s="147">
        <f>COUNTIFS('2026 Time Off Request'!$A:$A,'July 2026'!$D39,'2026 Time Off Request'!$L:$L,'July 2026'!Q$6)</f>
        <v>0</v>
      </c>
      <c r="R39" s="148">
        <f>COUNTIFS('2026 Time Off Request'!$A:$A,'July 2026'!$D39,'2026 Time Off Request'!$L:$L,'July 2026'!R$6)</f>
        <v>0</v>
      </c>
      <c r="S39" s="148">
        <f>COUNTIFS('2026 Time Off Request'!$A:$A,'July 2026'!$D39,'2026 Time Off Request'!$L:$L,'July 2026'!S$6)</f>
        <v>0</v>
      </c>
      <c r="T39" s="148">
        <f>COUNTIFS('2026 Time Off Request'!$A:$A,'July 2026'!$D39,'2026 Time Off Request'!$L:$L,'July 2026'!T$6)</f>
        <v>0</v>
      </c>
      <c r="U39" s="148">
        <f>COUNTIFS('2026 Time Off Request'!$A:$A,'July 2026'!$D39,'2026 Time Off Request'!$L:$L,'July 2026'!U$6)</f>
        <v>0</v>
      </c>
      <c r="V39" s="148">
        <f>COUNTIFS('2026 Time Off Request'!$A:$A,'July 2026'!$D39,'2026 Time Off Request'!$L:$L,'July 2026'!V$6)</f>
        <v>0</v>
      </c>
      <c r="W39" s="147">
        <f>COUNTIFS('2026 Time Off Request'!$A:$A,'July 2026'!$D39,'2026 Time Off Request'!$L:$L,'July 2026'!W$6)</f>
        <v>0</v>
      </c>
      <c r="X39" s="147">
        <f>COUNTIFS('2026 Time Off Request'!$A:$A,'July 2026'!$D39,'2026 Time Off Request'!$L:$L,'July 2026'!X$6)</f>
        <v>0</v>
      </c>
      <c r="Y39" s="148">
        <f>COUNTIFS('2026 Time Off Request'!$A:$A,'July 2026'!$D39,'2026 Time Off Request'!$L:$L,'July 2026'!Y$6)</f>
        <v>0</v>
      </c>
      <c r="Z39" s="148">
        <f>COUNTIFS('2026 Time Off Request'!$A:$A,'July 2026'!$D39,'2026 Time Off Request'!$L:$L,'July 2026'!Z$6)</f>
        <v>0</v>
      </c>
      <c r="AA39" s="148">
        <f>COUNTIFS('2026 Time Off Request'!$A:$A,'July 2026'!$D39,'2026 Time Off Request'!$L:$L,'July 2026'!AA$6)</f>
        <v>0</v>
      </c>
      <c r="AB39" s="148">
        <f>COUNTIFS('2026 Time Off Request'!$A:$A,'July 2026'!$D39,'2026 Time Off Request'!$L:$L,'July 2026'!AB$6)</f>
        <v>0</v>
      </c>
      <c r="AC39" s="148">
        <f>COUNTIFS('2026 Time Off Request'!$A:$A,'July 2026'!$D39,'2026 Time Off Request'!$L:$L,'July 2026'!AC$6)</f>
        <v>0</v>
      </c>
      <c r="AD39" s="147">
        <f>COUNTIFS('2026 Time Off Request'!$A:$A,'July 2026'!$D39,'2026 Time Off Request'!$L:$L,'July 2026'!AD$6)</f>
        <v>0</v>
      </c>
      <c r="AE39" s="147">
        <f>COUNTIFS('2026 Time Off Request'!$A:$A,'July 2026'!$D39,'2026 Time Off Request'!$L:$L,'July 2026'!AE$6)</f>
        <v>0</v>
      </c>
      <c r="AF39" s="148">
        <f>COUNTIFS('2026 Time Off Request'!$A:$A,'July 2026'!$D39,'2026 Time Off Request'!$L:$L,'July 2026'!AF$6)</f>
        <v>0</v>
      </c>
      <c r="AG39" s="148">
        <f>COUNTIFS('2026 Time Off Request'!$A:$A,'July 2026'!$D39,'2026 Time Off Request'!$L:$L,'July 2026'!AG$6)</f>
        <v>0</v>
      </c>
      <c r="AH39" s="148">
        <f>COUNTIFS('2026 Time Off Request'!$A:$A,'July 2026'!$D39,'2026 Time Off Request'!$L:$L,'July 2026'!AH$6)</f>
        <v>0</v>
      </c>
      <c r="AI39" s="148">
        <f>COUNTIFS('2026 Time Off Request'!$A:$A,'July 2026'!$D39,'2026 Time Off Request'!$L:$L,'July 2026'!AI$6)</f>
        <v>0</v>
      </c>
      <c r="AJ39" s="148">
        <f>COUNTIFS('2026 Time Off Request'!$A:$A,'July 2026'!$D39,'2026 Time Off Request'!$L:$L,'July 2026'!AJ$6)</f>
        <v>0</v>
      </c>
    </row>
    <row r="40" spans="1:36" ht="15.75">
      <c r="A40" s="2">
        <v>31</v>
      </c>
      <c r="B40" s="104" t="s">
        <v>49</v>
      </c>
      <c r="C40" s="23" t="s">
        <v>81</v>
      </c>
      <c r="D40" s="2" t="s">
        <v>82</v>
      </c>
      <c r="E40" s="212">
        <f t="shared" si="3"/>
        <v>0</v>
      </c>
      <c r="F40" s="226">
        <f>COUNTIFS('2026 Time Off Request'!$A:$A,'July 2026'!$D40,'2026 Time Off Request'!$L:$L,'July 2026'!F$6)</f>
        <v>0</v>
      </c>
      <c r="G40" s="148">
        <f>COUNTIFS('2026 Time Off Request'!$A:$A,'July 2026'!$D40,'2026 Time Off Request'!$L:$L,'July 2026'!G$6)</f>
        <v>0</v>
      </c>
      <c r="H40" s="148">
        <f>COUNTIFS('2026 Time Off Request'!$A:$A,'July 2026'!$D40,'2026 Time Off Request'!$L:$L,'July 2026'!H$6)</f>
        <v>0</v>
      </c>
      <c r="I40" s="147">
        <f>COUNTIFS('2026 Time Off Request'!$A:$A,'July 2026'!$D40,'2026 Time Off Request'!$L:$L,'July 2026'!I$6)</f>
        <v>0</v>
      </c>
      <c r="J40" s="147">
        <f>COUNTIFS('2026 Time Off Request'!$A:$A,'July 2026'!$D40,'2026 Time Off Request'!$L:$L,'July 2026'!J$6)</f>
        <v>0</v>
      </c>
      <c r="K40" s="148">
        <f>COUNTIFS('2026 Time Off Request'!$A:$A,'July 2026'!$D40,'2026 Time Off Request'!$L:$L,'July 2026'!K$6)</f>
        <v>0</v>
      </c>
      <c r="L40" s="148">
        <f>COUNTIFS('2026 Time Off Request'!$A:$A,'July 2026'!$D40,'2026 Time Off Request'!$L:$L,'July 2026'!L$6)</f>
        <v>0</v>
      </c>
      <c r="M40" s="148">
        <f>COUNTIFS('2026 Time Off Request'!$A:$A,'July 2026'!$D40,'2026 Time Off Request'!$L:$L,'July 2026'!M$6)</f>
        <v>0</v>
      </c>
      <c r="N40" s="148">
        <f>COUNTIFS('2026 Time Off Request'!$A:$A,'July 2026'!$D40,'2026 Time Off Request'!$L:$L,'July 2026'!N$6)</f>
        <v>0</v>
      </c>
      <c r="O40" s="148">
        <f>COUNTIFS('2026 Time Off Request'!$A:$A,'July 2026'!$D40,'2026 Time Off Request'!$L:$L,'July 2026'!O$6)</f>
        <v>0</v>
      </c>
      <c r="P40" s="147">
        <f>COUNTIFS('2026 Time Off Request'!$A:$A,'July 2026'!$D40,'2026 Time Off Request'!$L:$L,'July 2026'!P$6)</f>
        <v>0</v>
      </c>
      <c r="Q40" s="147">
        <f>COUNTIFS('2026 Time Off Request'!$A:$A,'July 2026'!$D40,'2026 Time Off Request'!$L:$L,'July 2026'!Q$6)</f>
        <v>0</v>
      </c>
      <c r="R40" s="148">
        <f>COUNTIFS('2026 Time Off Request'!$A:$A,'July 2026'!$D40,'2026 Time Off Request'!$L:$L,'July 2026'!R$6)</f>
        <v>0</v>
      </c>
      <c r="S40" s="148">
        <f>COUNTIFS('2026 Time Off Request'!$A:$A,'July 2026'!$D40,'2026 Time Off Request'!$L:$L,'July 2026'!S$6)</f>
        <v>0</v>
      </c>
      <c r="T40" s="148">
        <f>COUNTIFS('2026 Time Off Request'!$A:$A,'July 2026'!$D40,'2026 Time Off Request'!$L:$L,'July 2026'!T$6)</f>
        <v>0</v>
      </c>
      <c r="U40" s="148">
        <f>COUNTIFS('2026 Time Off Request'!$A:$A,'July 2026'!$D40,'2026 Time Off Request'!$L:$L,'July 2026'!U$6)</f>
        <v>0</v>
      </c>
      <c r="V40" s="148">
        <f>COUNTIFS('2026 Time Off Request'!$A:$A,'July 2026'!$D40,'2026 Time Off Request'!$L:$L,'July 2026'!V$6)</f>
        <v>0</v>
      </c>
      <c r="W40" s="147">
        <f>COUNTIFS('2026 Time Off Request'!$A:$A,'July 2026'!$D40,'2026 Time Off Request'!$L:$L,'July 2026'!W$6)</f>
        <v>0</v>
      </c>
      <c r="X40" s="147">
        <f>COUNTIFS('2026 Time Off Request'!$A:$A,'July 2026'!$D40,'2026 Time Off Request'!$L:$L,'July 2026'!X$6)</f>
        <v>0</v>
      </c>
      <c r="Y40" s="148">
        <f>COUNTIFS('2026 Time Off Request'!$A:$A,'July 2026'!$D40,'2026 Time Off Request'!$L:$L,'July 2026'!Y$6)</f>
        <v>0</v>
      </c>
      <c r="Z40" s="148">
        <f>COUNTIFS('2026 Time Off Request'!$A:$A,'July 2026'!$D40,'2026 Time Off Request'!$L:$L,'July 2026'!Z$6)</f>
        <v>0</v>
      </c>
      <c r="AA40" s="148">
        <f>COUNTIFS('2026 Time Off Request'!$A:$A,'July 2026'!$D40,'2026 Time Off Request'!$L:$L,'July 2026'!AA$6)</f>
        <v>0</v>
      </c>
      <c r="AB40" s="148">
        <f>COUNTIFS('2026 Time Off Request'!$A:$A,'July 2026'!$D40,'2026 Time Off Request'!$L:$L,'July 2026'!AB$6)</f>
        <v>0</v>
      </c>
      <c r="AC40" s="148">
        <f>COUNTIFS('2026 Time Off Request'!$A:$A,'July 2026'!$D40,'2026 Time Off Request'!$L:$L,'July 2026'!AC$6)</f>
        <v>0</v>
      </c>
      <c r="AD40" s="147">
        <f>COUNTIFS('2026 Time Off Request'!$A:$A,'July 2026'!$D40,'2026 Time Off Request'!$L:$L,'July 2026'!AD$6)</f>
        <v>0</v>
      </c>
      <c r="AE40" s="147">
        <f>COUNTIFS('2026 Time Off Request'!$A:$A,'July 2026'!$D40,'2026 Time Off Request'!$L:$L,'July 2026'!AE$6)</f>
        <v>0</v>
      </c>
      <c r="AF40" s="148">
        <f>COUNTIFS('2026 Time Off Request'!$A:$A,'July 2026'!$D40,'2026 Time Off Request'!$L:$L,'July 2026'!AF$6)</f>
        <v>0</v>
      </c>
      <c r="AG40" s="148">
        <f>COUNTIFS('2026 Time Off Request'!$A:$A,'July 2026'!$D40,'2026 Time Off Request'!$L:$L,'July 2026'!AG$6)</f>
        <v>0</v>
      </c>
      <c r="AH40" s="148">
        <f>COUNTIFS('2026 Time Off Request'!$A:$A,'July 2026'!$D40,'2026 Time Off Request'!$L:$L,'July 2026'!AH$6)</f>
        <v>0</v>
      </c>
      <c r="AI40" s="148">
        <f>COUNTIFS('2026 Time Off Request'!$A:$A,'July 2026'!$D40,'2026 Time Off Request'!$L:$L,'July 2026'!AI$6)</f>
        <v>0</v>
      </c>
      <c r="AJ40" s="148">
        <f>COUNTIFS('2026 Time Off Request'!$A:$A,'July 2026'!$D40,'2026 Time Off Request'!$L:$L,'July 2026'!AJ$6)</f>
        <v>0</v>
      </c>
    </row>
    <row r="41" spans="1:36" ht="15.75">
      <c r="A41" s="2">
        <v>32</v>
      </c>
      <c r="B41" s="104" t="s">
        <v>45</v>
      </c>
      <c r="C41" s="23" t="s">
        <v>83</v>
      </c>
      <c r="D41" s="2" t="s">
        <v>84</v>
      </c>
      <c r="E41" s="212">
        <f t="shared" si="3"/>
        <v>0</v>
      </c>
      <c r="F41" s="226">
        <f>COUNTIFS('2026 Time Off Request'!$A:$A,'July 2026'!$D41,'2026 Time Off Request'!$L:$L,'July 2026'!F$6)</f>
        <v>0</v>
      </c>
      <c r="G41" s="148">
        <f>COUNTIFS('2026 Time Off Request'!$A:$A,'July 2026'!$D41,'2026 Time Off Request'!$L:$L,'July 2026'!G$6)</f>
        <v>0</v>
      </c>
      <c r="H41" s="148">
        <f>COUNTIFS('2026 Time Off Request'!$A:$A,'July 2026'!$D41,'2026 Time Off Request'!$L:$L,'July 2026'!H$6)</f>
        <v>0</v>
      </c>
      <c r="I41" s="147">
        <f>COUNTIFS('2026 Time Off Request'!$A:$A,'July 2026'!$D41,'2026 Time Off Request'!$L:$L,'July 2026'!I$6)</f>
        <v>0</v>
      </c>
      <c r="J41" s="147">
        <f>COUNTIFS('2026 Time Off Request'!$A:$A,'July 2026'!$D41,'2026 Time Off Request'!$L:$L,'July 2026'!J$6)</f>
        <v>0</v>
      </c>
      <c r="K41" s="148">
        <f>COUNTIFS('2026 Time Off Request'!$A:$A,'July 2026'!$D41,'2026 Time Off Request'!$L:$L,'July 2026'!K$6)</f>
        <v>0</v>
      </c>
      <c r="L41" s="148">
        <f>COUNTIFS('2026 Time Off Request'!$A:$A,'July 2026'!$D41,'2026 Time Off Request'!$L:$L,'July 2026'!L$6)</f>
        <v>0</v>
      </c>
      <c r="M41" s="148">
        <f>COUNTIFS('2026 Time Off Request'!$A:$A,'July 2026'!$D41,'2026 Time Off Request'!$L:$L,'July 2026'!M$6)</f>
        <v>0</v>
      </c>
      <c r="N41" s="148">
        <f>COUNTIFS('2026 Time Off Request'!$A:$A,'July 2026'!$D41,'2026 Time Off Request'!$L:$L,'July 2026'!N$6)</f>
        <v>0</v>
      </c>
      <c r="O41" s="148">
        <f>COUNTIFS('2026 Time Off Request'!$A:$A,'July 2026'!$D41,'2026 Time Off Request'!$L:$L,'July 2026'!O$6)</f>
        <v>0</v>
      </c>
      <c r="P41" s="147">
        <f>COUNTIFS('2026 Time Off Request'!$A:$A,'July 2026'!$D41,'2026 Time Off Request'!$L:$L,'July 2026'!P$6)</f>
        <v>0</v>
      </c>
      <c r="Q41" s="147">
        <f>COUNTIFS('2026 Time Off Request'!$A:$A,'July 2026'!$D41,'2026 Time Off Request'!$L:$L,'July 2026'!Q$6)</f>
        <v>0</v>
      </c>
      <c r="R41" s="148">
        <f>COUNTIFS('2026 Time Off Request'!$A:$A,'July 2026'!$D41,'2026 Time Off Request'!$L:$L,'July 2026'!R$6)</f>
        <v>0</v>
      </c>
      <c r="S41" s="148">
        <f>COUNTIFS('2026 Time Off Request'!$A:$A,'July 2026'!$D41,'2026 Time Off Request'!$L:$L,'July 2026'!S$6)</f>
        <v>0</v>
      </c>
      <c r="T41" s="148">
        <f>COUNTIFS('2026 Time Off Request'!$A:$A,'July 2026'!$D41,'2026 Time Off Request'!$L:$L,'July 2026'!T$6)</f>
        <v>0</v>
      </c>
      <c r="U41" s="148">
        <f>COUNTIFS('2026 Time Off Request'!$A:$A,'July 2026'!$D41,'2026 Time Off Request'!$L:$L,'July 2026'!U$6)</f>
        <v>0</v>
      </c>
      <c r="V41" s="148">
        <f>COUNTIFS('2026 Time Off Request'!$A:$A,'July 2026'!$D41,'2026 Time Off Request'!$L:$L,'July 2026'!V$6)</f>
        <v>0</v>
      </c>
      <c r="W41" s="147">
        <f>COUNTIFS('2026 Time Off Request'!$A:$A,'July 2026'!$D41,'2026 Time Off Request'!$L:$L,'July 2026'!W$6)</f>
        <v>0</v>
      </c>
      <c r="X41" s="147">
        <f>COUNTIFS('2026 Time Off Request'!$A:$A,'July 2026'!$D41,'2026 Time Off Request'!$L:$L,'July 2026'!X$6)</f>
        <v>0</v>
      </c>
      <c r="Y41" s="148">
        <f>COUNTIFS('2026 Time Off Request'!$A:$A,'July 2026'!$D41,'2026 Time Off Request'!$L:$L,'July 2026'!Y$6)</f>
        <v>0</v>
      </c>
      <c r="Z41" s="148">
        <f>COUNTIFS('2026 Time Off Request'!$A:$A,'July 2026'!$D41,'2026 Time Off Request'!$L:$L,'July 2026'!Z$6)</f>
        <v>0</v>
      </c>
      <c r="AA41" s="148">
        <f>COUNTIFS('2026 Time Off Request'!$A:$A,'July 2026'!$D41,'2026 Time Off Request'!$L:$L,'July 2026'!AA$6)</f>
        <v>0</v>
      </c>
      <c r="AB41" s="148">
        <f>COUNTIFS('2026 Time Off Request'!$A:$A,'July 2026'!$D41,'2026 Time Off Request'!$L:$L,'July 2026'!AB$6)</f>
        <v>0</v>
      </c>
      <c r="AC41" s="148">
        <f>COUNTIFS('2026 Time Off Request'!$A:$A,'July 2026'!$D41,'2026 Time Off Request'!$L:$L,'July 2026'!AC$6)</f>
        <v>0</v>
      </c>
      <c r="AD41" s="147">
        <f>COUNTIFS('2026 Time Off Request'!$A:$A,'July 2026'!$D41,'2026 Time Off Request'!$L:$L,'July 2026'!AD$6)</f>
        <v>0</v>
      </c>
      <c r="AE41" s="147">
        <f>COUNTIFS('2026 Time Off Request'!$A:$A,'July 2026'!$D41,'2026 Time Off Request'!$L:$L,'July 2026'!AE$6)</f>
        <v>0</v>
      </c>
      <c r="AF41" s="148">
        <f>COUNTIFS('2026 Time Off Request'!$A:$A,'July 2026'!$D41,'2026 Time Off Request'!$L:$L,'July 2026'!AF$6)</f>
        <v>0</v>
      </c>
      <c r="AG41" s="148">
        <f>COUNTIFS('2026 Time Off Request'!$A:$A,'July 2026'!$D41,'2026 Time Off Request'!$L:$L,'July 2026'!AG$6)</f>
        <v>0</v>
      </c>
      <c r="AH41" s="148">
        <f>COUNTIFS('2026 Time Off Request'!$A:$A,'July 2026'!$D41,'2026 Time Off Request'!$L:$L,'July 2026'!AH$6)</f>
        <v>0</v>
      </c>
      <c r="AI41" s="148">
        <f>COUNTIFS('2026 Time Off Request'!$A:$A,'July 2026'!$D41,'2026 Time Off Request'!$L:$L,'July 2026'!AI$6)</f>
        <v>0</v>
      </c>
      <c r="AJ41" s="148">
        <f>COUNTIFS('2026 Time Off Request'!$A:$A,'July 2026'!$D41,'2026 Time Off Request'!$L:$L,'July 2026'!AJ$6)</f>
        <v>0</v>
      </c>
    </row>
    <row r="42" spans="1:36" ht="15.75">
      <c r="A42" s="2">
        <v>33</v>
      </c>
      <c r="B42" s="104" t="s">
        <v>45</v>
      </c>
      <c r="C42" s="23" t="s">
        <v>85</v>
      </c>
      <c r="D42" s="2" t="s">
        <v>86</v>
      </c>
      <c r="E42" s="212">
        <f t="shared" si="3"/>
        <v>0</v>
      </c>
      <c r="F42" s="226">
        <f>COUNTIFS('2026 Time Off Request'!$A:$A,'July 2026'!$D42,'2026 Time Off Request'!$L:$L,'July 2026'!F$6)</f>
        <v>0</v>
      </c>
      <c r="G42" s="148">
        <f>COUNTIFS('2026 Time Off Request'!$A:$A,'July 2026'!$D42,'2026 Time Off Request'!$L:$L,'July 2026'!G$6)</f>
        <v>0</v>
      </c>
      <c r="H42" s="148">
        <f>COUNTIFS('2026 Time Off Request'!$A:$A,'July 2026'!$D42,'2026 Time Off Request'!$L:$L,'July 2026'!H$6)</f>
        <v>0</v>
      </c>
      <c r="I42" s="147">
        <f>COUNTIFS('2026 Time Off Request'!$A:$A,'July 2026'!$D42,'2026 Time Off Request'!$L:$L,'July 2026'!I$6)</f>
        <v>0</v>
      </c>
      <c r="J42" s="147">
        <f>COUNTIFS('2026 Time Off Request'!$A:$A,'July 2026'!$D42,'2026 Time Off Request'!$L:$L,'July 2026'!J$6)</f>
        <v>0</v>
      </c>
      <c r="K42" s="148">
        <f>COUNTIFS('2026 Time Off Request'!$A:$A,'July 2026'!$D42,'2026 Time Off Request'!$L:$L,'July 2026'!K$6)</f>
        <v>0</v>
      </c>
      <c r="L42" s="148">
        <f>COUNTIFS('2026 Time Off Request'!$A:$A,'July 2026'!$D42,'2026 Time Off Request'!$L:$L,'July 2026'!L$6)</f>
        <v>0</v>
      </c>
      <c r="M42" s="148">
        <f>COUNTIFS('2026 Time Off Request'!$A:$A,'July 2026'!$D42,'2026 Time Off Request'!$L:$L,'July 2026'!M$6)</f>
        <v>0</v>
      </c>
      <c r="N42" s="148">
        <f>COUNTIFS('2026 Time Off Request'!$A:$A,'July 2026'!$D42,'2026 Time Off Request'!$L:$L,'July 2026'!N$6)</f>
        <v>0</v>
      </c>
      <c r="O42" s="148">
        <f>COUNTIFS('2026 Time Off Request'!$A:$A,'July 2026'!$D42,'2026 Time Off Request'!$L:$L,'July 2026'!O$6)</f>
        <v>0</v>
      </c>
      <c r="P42" s="147">
        <f>COUNTIFS('2026 Time Off Request'!$A:$A,'July 2026'!$D42,'2026 Time Off Request'!$L:$L,'July 2026'!P$6)</f>
        <v>0</v>
      </c>
      <c r="Q42" s="147">
        <f>COUNTIFS('2026 Time Off Request'!$A:$A,'July 2026'!$D42,'2026 Time Off Request'!$L:$L,'July 2026'!Q$6)</f>
        <v>0</v>
      </c>
      <c r="R42" s="148">
        <f>COUNTIFS('2026 Time Off Request'!$A:$A,'July 2026'!$D42,'2026 Time Off Request'!$L:$L,'July 2026'!R$6)</f>
        <v>0</v>
      </c>
      <c r="S42" s="148">
        <f>COUNTIFS('2026 Time Off Request'!$A:$A,'July 2026'!$D42,'2026 Time Off Request'!$L:$L,'July 2026'!S$6)</f>
        <v>0</v>
      </c>
      <c r="T42" s="148">
        <f>COUNTIFS('2026 Time Off Request'!$A:$A,'July 2026'!$D42,'2026 Time Off Request'!$L:$L,'July 2026'!T$6)</f>
        <v>0</v>
      </c>
      <c r="U42" s="148">
        <f>COUNTIFS('2026 Time Off Request'!$A:$A,'July 2026'!$D42,'2026 Time Off Request'!$L:$L,'July 2026'!U$6)</f>
        <v>0</v>
      </c>
      <c r="V42" s="148">
        <f>COUNTIFS('2026 Time Off Request'!$A:$A,'July 2026'!$D42,'2026 Time Off Request'!$L:$L,'July 2026'!V$6)</f>
        <v>0</v>
      </c>
      <c r="W42" s="147">
        <f>COUNTIFS('2026 Time Off Request'!$A:$A,'July 2026'!$D42,'2026 Time Off Request'!$L:$L,'July 2026'!W$6)</f>
        <v>0</v>
      </c>
      <c r="X42" s="147">
        <f>COUNTIFS('2026 Time Off Request'!$A:$A,'July 2026'!$D42,'2026 Time Off Request'!$L:$L,'July 2026'!X$6)</f>
        <v>0</v>
      </c>
      <c r="Y42" s="148">
        <f>COUNTIFS('2026 Time Off Request'!$A:$A,'July 2026'!$D42,'2026 Time Off Request'!$L:$L,'July 2026'!Y$6)</f>
        <v>0</v>
      </c>
      <c r="Z42" s="148">
        <f>COUNTIFS('2026 Time Off Request'!$A:$A,'July 2026'!$D42,'2026 Time Off Request'!$L:$L,'July 2026'!Z$6)</f>
        <v>0</v>
      </c>
      <c r="AA42" s="148">
        <f>COUNTIFS('2026 Time Off Request'!$A:$A,'July 2026'!$D42,'2026 Time Off Request'!$L:$L,'July 2026'!AA$6)</f>
        <v>0</v>
      </c>
      <c r="AB42" s="148">
        <f>COUNTIFS('2026 Time Off Request'!$A:$A,'July 2026'!$D42,'2026 Time Off Request'!$L:$L,'July 2026'!AB$6)</f>
        <v>0</v>
      </c>
      <c r="AC42" s="148">
        <f>COUNTIFS('2026 Time Off Request'!$A:$A,'July 2026'!$D42,'2026 Time Off Request'!$L:$L,'July 2026'!AC$6)</f>
        <v>0</v>
      </c>
      <c r="AD42" s="147">
        <f>COUNTIFS('2026 Time Off Request'!$A:$A,'July 2026'!$D42,'2026 Time Off Request'!$L:$L,'July 2026'!AD$6)</f>
        <v>0</v>
      </c>
      <c r="AE42" s="147">
        <f>COUNTIFS('2026 Time Off Request'!$A:$A,'July 2026'!$D42,'2026 Time Off Request'!$L:$L,'July 2026'!AE$6)</f>
        <v>0</v>
      </c>
      <c r="AF42" s="148">
        <f>COUNTIFS('2026 Time Off Request'!$A:$A,'July 2026'!$D42,'2026 Time Off Request'!$L:$L,'July 2026'!AF$6)</f>
        <v>0</v>
      </c>
      <c r="AG42" s="148">
        <f>COUNTIFS('2026 Time Off Request'!$A:$A,'July 2026'!$D42,'2026 Time Off Request'!$L:$L,'July 2026'!AG$6)</f>
        <v>0</v>
      </c>
      <c r="AH42" s="148">
        <f>COUNTIFS('2026 Time Off Request'!$A:$A,'July 2026'!$D42,'2026 Time Off Request'!$L:$L,'July 2026'!AH$6)</f>
        <v>0</v>
      </c>
      <c r="AI42" s="148">
        <f>COUNTIFS('2026 Time Off Request'!$A:$A,'July 2026'!$D42,'2026 Time Off Request'!$L:$L,'July 2026'!AI$6)</f>
        <v>0</v>
      </c>
      <c r="AJ42" s="148">
        <f>COUNTIFS('2026 Time Off Request'!$A:$A,'July 2026'!$D42,'2026 Time Off Request'!$L:$L,'July 2026'!AJ$6)</f>
        <v>0</v>
      </c>
    </row>
    <row r="43" spans="1:36" ht="15.75">
      <c r="A43" s="2">
        <v>34</v>
      </c>
      <c r="B43" s="104" t="s">
        <v>45</v>
      </c>
      <c r="C43" s="23" t="s">
        <v>87</v>
      </c>
      <c r="D43" s="2" t="s">
        <v>88</v>
      </c>
      <c r="E43" s="212">
        <f t="shared" si="3"/>
        <v>0</v>
      </c>
      <c r="F43" s="226">
        <f>COUNTIFS('2026 Time Off Request'!$A:$A,'July 2026'!$D43,'2026 Time Off Request'!$L:$L,'July 2026'!F$6)</f>
        <v>0</v>
      </c>
      <c r="G43" s="148">
        <f>COUNTIFS('2026 Time Off Request'!$A:$A,'July 2026'!$D43,'2026 Time Off Request'!$L:$L,'July 2026'!G$6)</f>
        <v>0</v>
      </c>
      <c r="H43" s="148">
        <f>COUNTIFS('2026 Time Off Request'!$A:$A,'July 2026'!$D43,'2026 Time Off Request'!$L:$L,'July 2026'!H$6)</f>
        <v>0</v>
      </c>
      <c r="I43" s="147">
        <f>COUNTIFS('2026 Time Off Request'!$A:$A,'July 2026'!$D43,'2026 Time Off Request'!$L:$L,'July 2026'!I$6)</f>
        <v>0</v>
      </c>
      <c r="J43" s="147">
        <f>COUNTIFS('2026 Time Off Request'!$A:$A,'July 2026'!$D43,'2026 Time Off Request'!$L:$L,'July 2026'!J$6)</f>
        <v>0</v>
      </c>
      <c r="K43" s="148">
        <f>COUNTIFS('2026 Time Off Request'!$A:$A,'July 2026'!$D43,'2026 Time Off Request'!$L:$L,'July 2026'!K$6)</f>
        <v>0</v>
      </c>
      <c r="L43" s="148">
        <f>COUNTIFS('2026 Time Off Request'!$A:$A,'July 2026'!$D43,'2026 Time Off Request'!$L:$L,'July 2026'!L$6)</f>
        <v>0</v>
      </c>
      <c r="M43" s="148">
        <f>COUNTIFS('2026 Time Off Request'!$A:$A,'July 2026'!$D43,'2026 Time Off Request'!$L:$L,'July 2026'!M$6)</f>
        <v>0</v>
      </c>
      <c r="N43" s="148">
        <f>COUNTIFS('2026 Time Off Request'!$A:$A,'July 2026'!$D43,'2026 Time Off Request'!$L:$L,'July 2026'!N$6)</f>
        <v>0</v>
      </c>
      <c r="O43" s="148">
        <f>COUNTIFS('2026 Time Off Request'!$A:$A,'July 2026'!$D43,'2026 Time Off Request'!$L:$L,'July 2026'!O$6)</f>
        <v>0</v>
      </c>
      <c r="P43" s="147">
        <f>COUNTIFS('2026 Time Off Request'!$A:$A,'July 2026'!$D43,'2026 Time Off Request'!$L:$L,'July 2026'!P$6)</f>
        <v>0</v>
      </c>
      <c r="Q43" s="147">
        <f>COUNTIFS('2026 Time Off Request'!$A:$A,'July 2026'!$D43,'2026 Time Off Request'!$L:$L,'July 2026'!Q$6)</f>
        <v>0</v>
      </c>
      <c r="R43" s="148">
        <f>COUNTIFS('2026 Time Off Request'!$A:$A,'July 2026'!$D43,'2026 Time Off Request'!$L:$L,'July 2026'!R$6)</f>
        <v>0</v>
      </c>
      <c r="S43" s="148">
        <f>COUNTIFS('2026 Time Off Request'!$A:$A,'July 2026'!$D43,'2026 Time Off Request'!$L:$L,'July 2026'!S$6)</f>
        <v>0</v>
      </c>
      <c r="T43" s="148">
        <f>COUNTIFS('2026 Time Off Request'!$A:$A,'July 2026'!$D43,'2026 Time Off Request'!$L:$L,'July 2026'!T$6)</f>
        <v>0</v>
      </c>
      <c r="U43" s="148">
        <f>COUNTIFS('2026 Time Off Request'!$A:$A,'July 2026'!$D43,'2026 Time Off Request'!$L:$L,'July 2026'!U$6)</f>
        <v>0</v>
      </c>
      <c r="V43" s="148">
        <f>COUNTIFS('2026 Time Off Request'!$A:$A,'July 2026'!$D43,'2026 Time Off Request'!$L:$L,'July 2026'!V$6)</f>
        <v>0</v>
      </c>
      <c r="W43" s="147">
        <f>COUNTIFS('2026 Time Off Request'!$A:$A,'July 2026'!$D43,'2026 Time Off Request'!$L:$L,'July 2026'!W$6)</f>
        <v>0</v>
      </c>
      <c r="X43" s="147">
        <f>COUNTIFS('2026 Time Off Request'!$A:$A,'July 2026'!$D43,'2026 Time Off Request'!$L:$L,'July 2026'!X$6)</f>
        <v>0</v>
      </c>
      <c r="Y43" s="148">
        <f>COUNTIFS('2026 Time Off Request'!$A:$A,'July 2026'!$D43,'2026 Time Off Request'!$L:$L,'July 2026'!Y$6)</f>
        <v>0</v>
      </c>
      <c r="Z43" s="148">
        <f>COUNTIFS('2026 Time Off Request'!$A:$A,'July 2026'!$D43,'2026 Time Off Request'!$L:$L,'July 2026'!Z$6)</f>
        <v>0</v>
      </c>
      <c r="AA43" s="148">
        <f>COUNTIFS('2026 Time Off Request'!$A:$A,'July 2026'!$D43,'2026 Time Off Request'!$L:$L,'July 2026'!AA$6)</f>
        <v>0</v>
      </c>
      <c r="AB43" s="148">
        <f>COUNTIFS('2026 Time Off Request'!$A:$A,'July 2026'!$D43,'2026 Time Off Request'!$L:$L,'July 2026'!AB$6)</f>
        <v>0</v>
      </c>
      <c r="AC43" s="148">
        <f>COUNTIFS('2026 Time Off Request'!$A:$A,'July 2026'!$D43,'2026 Time Off Request'!$L:$L,'July 2026'!AC$6)</f>
        <v>0</v>
      </c>
      <c r="AD43" s="147">
        <f>COUNTIFS('2026 Time Off Request'!$A:$A,'July 2026'!$D43,'2026 Time Off Request'!$L:$L,'July 2026'!AD$6)</f>
        <v>0</v>
      </c>
      <c r="AE43" s="147">
        <f>COUNTIFS('2026 Time Off Request'!$A:$A,'July 2026'!$D43,'2026 Time Off Request'!$L:$L,'July 2026'!AE$6)</f>
        <v>0</v>
      </c>
      <c r="AF43" s="148">
        <f>COUNTIFS('2026 Time Off Request'!$A:$A,'July 2026'!$D43,'2026 Time Off Request'!$L:$L,'July 2026'!AF$6)</f>
        <v>0</v>
      </c>
      <c r="AG43" s="148">
        <f>COUNTIFS('2026 Time Off Request'!$A:$A,'July 2026'!$D43,'2026 Time Off Request'!$L:$L,'July 2026'!AG$6)</f>
        <v>0</v>
      </c>
      <c r="AH43" s="148">
        <f>COUNTIFS('2026 Time Off Request'!$A:$A,'July 2026'!$D43,'2026 Time Off Request'!$L:$L,'July 2026'!AH$6)</f>
        <v>0</v>
      </c>
      <c r="AI43" s="148">
        <f>COUNTIFS('2026 Time Off Request'!$A:$A,'July 2026'!$D43,'2026 Time Off Request'!$L:$L,'July 2026'!AI$6)</f>
        <v>0</v>
      </c>
      <c r="AJ43" s="148">
        <f>COUNTIFS('2026 Time Off Request'!$A:$A,'July 2026'!$D43,'2026 Time Off Request'!$L:$L,'July 2026'!AJ$6)</f>
        <v>0</v>
      </c>
    </row>
    <row r="44" spans="1:36" ht="15.75">
      <c r="A44" s="2">
        <v>35</v>
      </c>
      <c r="B44" s="104" t="s">
        <v>45</v>
      </c>
      <c r="C44" s="23" t="s">
        <v>89</v>
      </c>
      <c r="D44" s="2" t="s">
        <v>90</v>
      </c>
      <c r="E44" s="212">
        <f t="shared" si="3"/>
        <v>0</v>
      </c>
      <c r="F44" s="226">
        <f>COUNTIFS('2026 Time Off Request'!$A:$A,'July 2026'!$D44,'2026 Time Off Request'!$L:$L,'July 2026'!F$6)</f>
        <v>0</v>
      </c>
      <c r="G44" s="148">
        <f>COUNTIFS('2026 Time Off Request'!$A:$A,'July 2026'!$D44,'2026 Time Off Request'!$L:$L,'July 2026'!G$6)</f>
        <v>0</v>
      </c>
      <c r="H44" s="148">
        <f>COUNTIFS('2026 Time Off Request'!$A:$A,'July 2026'!$D44,'2026 Time Off Request'!$L:$L,'July 2026'!H$6)</f>
        <v>0</v>
      </c>
      <c r="I44" s="147">
        <f>COUNTIFS('2026 Time Off Request'!$A:$A,'July 2026'!$D44,'2026 Time Off Request'!$L:$L,'July 2026'!I$6)</f>
        <v>0</v>
      </c>
      <c r="J44" s="147">
        <f>COUNTIFS('2026 Time Off Request'!$A:$A,'July 2026'!$D44,'2026 Time Off Request'!$L:$L,'July 2026'!J$6)</f>
        <v>0</v>
      </c>
      <c r="K44" s="148">
        <f>COUNTIFS('2026 Time Off Request'!$A:$A,'July 2026'!$D44,'2026 Time Off Request'!$L:$L,'July 2026'!K$6)</f>
        <v>0</v>
      </c>
      <c r="L44" s="148">
        <f>COUNTIFS('2026 Time Off Request'!$A:$A,'July 2026'!$D44,'2026 Time Off Request'!$L:$L,'July 2026'!L$6)</f>
        <v>0</v>
      </c>
      <c r="M44" s="148">
        <f>COUNTIFS('2026 Time Off Request'!$A:$A,'July 2026'!$D44,'2026 Time Off Request'!$L:$L,'July 2026'!M$6)</f>
        <v>0</v>
      </c>
      <c r="N44" s="148">
        <f>COUNTIFS('2026 Time Off Request'!$A:$A,'July 2026'!$D44,'2026 Time Off Request'!$L:$L,'July 2026'!N$6)</f>
        <v>0</v>
      </c>
      <c r="O44" s="148">
        <f>COUNTIFS('2026 Time Off Request'!$A:$A,'July 2026'!$D44,'2026 Time Off Request'!$L:$L,'July 2026'!O$6)</f>
        <v>0</v>
      </c>
      <c r="P44" s="147">
        <f>COUNTIFS('2026 Time Off Request'!$A:$A,'July 2026'!$D44,'2026 Time Off Request'!$L:$L,'July 2026'!P$6)</f>
        <v>0</v>
      </c>
      <c r="Q44" s="147">
        <f>COUNTIFS('2026 Time Off Request'!$A:$A,'July 2026'!$D44,'2026 Time Off Request'!$L:$L,'July 2026'!Q$6)</f>
        <v>0</v>
      </c>
      <c r="R44" s="148">
        <f>COUNTIFS('2026 Time Off Request'!$A:$A,'July 2026'!$D44,'2026 Time Off Request'!$L:$L,'July 2026'!R$6)</f>
        <v>0</v>
      </c>
      <c r="S44" s="148">
        <f>COUNTIFS('2026 Time Off Request'!$A:$A,'July 2026'!$D44,'2026 Time Off Request'!$L:$L,'July 2026'!S$6)</f>
        <v>0</v>
      </c>
      <c r="T44" s="148">
        <f>COUNTIFS('2026 Time Off Request'!$A:$A,'July 2026'!$D44,'2026 Time Off Request'!$L:$L,'July 2026'!T$6)</f>
        <v>0</v>
      </c>
      <c r="U44" s="148">
        <f>COUNTIFS('2026 Time Off Request'!$A:$A,'July 2026'!$D44,'2026 Time Off Request'!$L:$L,'July 2026'!U$6)</f>
        <v>0</v>
      </c>
      <c r="V44" s="148">
        <f>COUNTIFS('2026 Time Off Request'!$A:$A,'July 2026'!$D44,'2026 Time Off Request'!$L:$L,'July 2026'!V$6)</f>
        <v>0</v>
      </c>
      <c r="W44" s="147">
        <f>COUNTIFS('2026 Time Off Request'!$A:$A,'July 2026'!$D44,'2026 Time Off Request'!$L:$L,'July 2026'!W$6)</f>
        <v>0</v>
      </c>
      <c r="X44" s="147">
        <f>COUNTIFS('2026 Time Off Request'!$A:$A,'July 2026'!$D44,'2026 Time Off Request'!$L:$L,'July 2026'!X$6)</f>
        <v>0</v>
      </c>
      <c r="Y44" s="148">
        <f>COUNTIFS('2026 Time Off Request'!$A:$A,'July 2026'!$D44,'2026 Time Off Request'!$L:$L,'July 2026'!Y$6)</f>
        <v>0</v>
      </c>
      <c r="Z44" s="148">
        <f>COUNTIFS('2026 Time Off Request'!$A:$A,'July 2026'!$D44,'2026 Time Off Request'!$L:$L,'July 2026'!Z$6)</f>
        <v>0</v>
      </c>
      <c r="AA44" s="148">
        <f>COUNTIFS('2026 Time Off Request'!$A:$A,'July 2026'!$D44,'2026 Time Off Request'!$L:$L,'July 2026'!AA$6)</f>
        <v>0</v>
      </c>
      <c r="AB44" s="148">
        <f>COUNTIFS('2026 Time Off Request'!$A:$A,'July 2026'!$D44,'2026 Time Off Request'!$L:$L,'July 2026'!AB$6)</f>
        <v>0</v>
      </c>
      <c r="AC44" s="148">
        <f>COUNTIFS('2026 Time Off Request'!$A:$A,'July 2026'!$D44,'2026 Time Off Request'!$L:$L,'July 2026'!AC$6)</f>
        <v>0</v>
      </c>
      <c r="AD44" s="147">
        <f>COUNTIFS('2026 Time Off Request'!$A:$A,'July 2026'!$D44,'2026 Time Off Request'!$L:$L,'July 2026'!AD$6)</f>
        <v>0</v>
      </c>
      <c r="AE44" s="147">
        <f>COUNTIFS('2026 Time Off Request'!$A:$A,'July 2026'!$D44,'2026 Time Off Request'!$L:$L,'July 2026'!AE$6)</f>
        <v>0</v>
      </c>
      <c r="AF44" s="148">
        <f>COUNTIFS('2026 Time Off Request'!$A:$A,'July 2026'!$D44,'2026 Time Off Request'!$L:$L,'July 2026'!AF$6)</f>
        <v>0</v>
      </c>
      <c r="AG44" s="148">
        <f>COUNTIFS('2026 Time Off Request'!$A:$A,'July 2026'!$D44,'2026 Time Off Request'!$L:$L,'July 2026'!AG$6)</f>
        <v>0</v>
      </c>
      <c r="AH44" s="148">
        <f>COUNTIFS('2026 Time Off Request'!$A:$A,'July 2026'!$D44,'2026 Time Off Request'!$L:$L,'July 2026'!AH$6)</f>
        <v>0</v>
      </c>
      <c r="AI44" s="148">
        <f>COUNTIFS('2026 Time Off Request'!$A:$A,'July 2026'!$D44,'2026 Time Off Request'!$L:$L,'July 2026'!AI$6)</f>
        <v>0</v>
      </c>
      <c r="AJ44" s="148">
        <f>COUNTIFS('2026 Time Off Request'!$A:$A,'July 2026'!$D44,'2026 Time Off Request'!$L:$L,'July 2026'!AJ$6)</f>
        <v>0</v>
      </c>
    </row>
    <row r="45" spans="1:36" ht="15.75">
      <c r="A45" s="2">
        <v>36</v>
      </c>
      <c r="B45" s="104" t="s">
        <v>45</v>
      </c>
      <c r="C45" s="23" t="s">
        <v>89</v>
      </c>
      <c r="D45" s="2" t="s">
        <v>91</v>
      </c>
      <c r="E45" s="212">
        <f t="shared" si="3"/>
        <v>0</v>
      </c>
      <c r="F45" s="226">
        <f>COUNTIFS('2026 Time Off Request'!$A:$A,'July 2026'!$D45,'2026 Time Off Request'!$L:$L,'July 2026'!F$6)</f>
        <v>0</v>
      </c>
      <c r="G45" s="148">
        <f>COUNTIFS('2026 Time Off Request'!$A:$A,'July 2026'!$D45,'2026 Time Off Request'!$L:$L,'July 2026'!G$6)</f>
        <v>0</v>
      </c>
      <c r="H45" s="148">
        <f>COUNTIFS('2026 Time Off Request'!$A:$A,'July 2026'!$D45,'2026 Time Off Request'!$L:$L,'July 2026'!H$6)</f>
        <v>0</v>
      </c>
      <c r="I45" s="147">
        <f>COUNTIFS('2026 Time Off Request'!$A:$A,'July 2026'!$D45,'2026 Time Off Request'!$L:$L,'July 2026'!I$6)</f>
        <v>0</v>
      </c>
      <c r="J45" s="147">
        <f>COUNTIFS('2026 Time Off Request'!$A:$A,'July 2026'!$D45,'2026 Time Off Request'!$L:$L,'July 2026'!J$6)</f>
        <v>0</v>
      </c>
      <c r="K45" s="148">
        <f>COUNTIFS('2026 Time Off Request'!$A:$A,'July 2026'!$D45,'2026 Time Off Request'!$L:$L,'July 2026'!K$6)</f>
        <v>0</v>
      </c>
      <c r="L45" s="148">
        <f>COUNTIFS('2026 Time Off Request'!$A:$A,'July 2026'!$D45,'2026 Time Off Request'!$L:$L,'July 2026'!L$6)</f>
        <v>0</v>
      </c>
      <c r="M45" s="148">
        <f>COUNTIFS('2026 Time Off Request'!$A:$A,'July 2026'!$D45,'2026 Time Off Request'!$L:$L,'July 2026'!M$6)</f>
        <v>0</v>
      </c>
      <c r="N45" s="148">
        <f>COUNTIFS('2026 Time Off Request'!$A:$A,'July 2026'!$D45,'2026 Time Off Request'!$L:$L,'July 2026'!N$6)</f>
        <v>0</v>
      </c>
      <c r="O45" s="148">
        <f>COUNTIFS('2026 Time Off Request'!$A:$A,'July 2026'!$D45,'2026 Time Off Request'!$L:$L,'July 2026'!O$6)</f>
        <v>0</v>
      </c>
      <c r="P45" s="147">
        <f>COUNTIFS('2026 Time Off Request'!$A:$A,'July 2026'!$D45,'2026 Time Off Request'!$L:$L,'July 2026'!P$6)</f>
        <v>0</v>
      </c>
      <c r="Q45" s="147">
        <f>COUNTIFS('2026 Time Off Request'!$A:$A,'July 2026'!$D45,'2026 Time Off Request'!$L:$L,'July 2026'!Q$6)</f>
        <v>0</v>
      </c>
      <c r="R45" s="148">
        <f>COUNTIFS('2026 Time Off Request'!$A:$A,'July 2026'!$D45,'2026 Time Off Request'!$L:$L,'July 2026'!R$6)</f>
        <v>0</v>
      </c>
      <c r="S45" s="148">
        <f>COUNTIFS('2026 Time Off Request'!$A:$A,'July 2026'!$D45,'2026 Time Off Request'!$L:$L,'July 2026'!S$6)</f>
        <v>0</v>
      </c>
      <c r="T45" s="148">
        <f>COUNTIFS('2026 Time Off Request'!$A:$A,'July 2026'!$D45,'2026 Time Off Request'!$L:$L,'July 2026'!T$6)</f>
        <v>0</v>
      </c>
      <c r="U45" s="148">
        <f>COUNTIFS('2026 Time Off Request'!$A:$A,'July 2026'!$D45,'2026 Time Off Request'!$L:$L,'July 2026'!U$6)</f>
        <v>0</v>
      </c>
      <c r="V45" s="148">
        <f>COUNTIFS('2026 Time Off Request'!$A:$A,'July 2026'!$D45,'2026 Time Off Request'!$L:$L,'July 2026'!V$6)</f>
        <v>0</v>
      </c>
      <c r="W45" s="147">
        <f>COUNTIFS('2026 Time Off Request'!$A:$A,'July 2026'!$D45,'2026 Time Off Request'!$L:$L,'July 2026'!W$6)</f>
        <v>0</v>
      </c>
      <c r="X45" s="147">
        <f>COUNTIFS('2026 Time Off Request'!$A:$A,'July 2026'!$D45,'2026 Time Off Request'!$L:$L,'July 2026'!X$6)</f>
        <v>0</v>
      </c>
      <c r="Y45" s="148">
        <f>COUNTIFS('2026 Time Off Request'!$A:$A,'July 2026'!$D45,'2026 Time Off Request'!$L:$L,'July 2026'!Y$6)</f>
        <v>0</v>
      </c>
      <c r="Z45" s="148">
        <f>COUNTIFS('2026 Time Off Request'!$A:$A,'July 2026'!$D45,'2026 Time Off Request'!$L:$L,'July 2026'!Z$6)</f>
        <v>0</v>
      </c>
      <c r="AA45" s="148">
        <f>COUNTIFS('2026 Time Off Request'!$A:$A,'July 2026'!$D45,'2026 Time Off Request'!$L:$L,'July 2026'!AA$6)</f>
        <v>0</v>
      </c>
      <c r="AB45" s="148">
        <f>COUNTIFS('2026 Time Off Request'!$A:$A,'July 2026'!$D45,'2026 Time Off Request'!$L:$L,'July 2026'!AB$6)</f>
        <v>0</v>
      </c>
      <c r="AC45" s="148">
        <f>COUNTIFS('2026 Time Off Request'!$A:$A,'July 2026'!$D45,'2026 Time Off Request'!$L:$L,'July 2026'!AC$6)</f>
        <v>0</v>
      </c>
      <c r="AD45" s="147">
        <f>COUNTIFS('2026 Time Off Request'!$A:$A,'July 2026'!$D45,'2026 Time Off Request'!$L:$L,'July 2026'!AD$6)</f>
        <v>0</v>
      </c>
      <c r="AE45" s="147">
        <f>COUNTIFS('2026 Time Off Request'!$A:$A,'July 2026'!$D45,'2026 Time Off Request'!$L:$L,'July 2026'!AE$6)</f>
        <v>0</v>
      </c>
      <c r="AF45" s="148">
        <f>COUNTIFS('2026 Time Off Request'!$A:$A,'July 2026'!$D45,'2026 Time Off Request'!$L:$L,'July 2026'!AF$6)</f>
        <v>0</v>
      </c>
      <c r="AG45" s="148">
        <f>COUNTIFS('2026 Time Off Request'!$A:$A,'July 2026'!$D45,'2026 Time Off Request'!$L:$L,'July 2026'!AG$6)</f>
        <v>0</v>
      </c>
      <c r="AH45" s="148">
        <f>COUNTIFS('2026 Time Off Request'!$A:$A,'July 2026'!$D45,'2026 Time Off Request'!$L:$L,'July 2026'!AH$6)</f>
        <v>0</v>
      </c>
      <c r="AI45" s="148">
        <f>COUNTIFS('2026 Time Off Request'!$A:$A,'July 2026'!$D45,'2026 Time Off Request'!$L:$L,'July 2026'!AI$6)</f>
        <v>0</v>
      </c>
      <c r="AJ45" s="148">
        <f>COUNTIFS('2026 Time Off Request'!$A:$A,'July 2026'!$D45,'2026 Time Off Request'!$L:$L,'July 2026'!AJ$6)</f>
        <v>0</v>
      </c>
    </row>
    <row r="46" spans="1:36" ht="15.75">
      <c r="A46" s="2"/>
      <c r="B46" s="29"/>
      <c r="C46" s="23"/>
      <c r="D46" s="2"/>
      <c r="E46" s="3"/>
    </row>
    <row r="47" spans="1:36" ht="15.6">
      <c r="A47" s="2"/>
      <c r="B47" s="29"/>
      <c r="C47" s="23"/>
      <c r="D47" s="2"/>
      <c r="E47" s="3"/>
    </row>
    <row r="48" spans="1:36" ht="15.6">
      <c r="A48" s="2"/>
      <c r="B48" s="29"/>
      <c r="C48" s="23"/>
      <c r="D48" s="2"/>
      <c r="E48" s="3"/>
    </row>
    <row r="49" spans="1:5" ht="15.6">
      <c r="A49" s="2"/>
      <c r="B49" s="29"/>
      <c r="C49" s="105"/>
      <c r="D49" s="2"/>
      <c r="E49" s="3"/>
    </row>
    <row r="50" spans="1:5" ht="15.6">
      <c r="A50" s="2"/>
      <c r="B50" s="29"/>
      <c r="C50" s="23"/>
      <c r="D50" s="2"/>
      <c r="E50" s="2"/>
    </row>
    <row r="51" spans="1:5" ht="15.6">
      <c r="A51" s="2"/>
      <c r="B51" s="29"/>
      <c r="C51" s="23"/>
      <c r="D51" s="2"/>
      <c r="E51" s="2"/>
    </row>
    <row r="52" spans="1:5" ht="15.6">
      <c r="A52" s="2"/>
      <c r="B52" s="29"/>
      <c r="C52" s="23"/>
      <c r="D52" s="2"/>
      <c r="E52" s="2"/>
    </row>
    <row r="53" spans="1:5" ht="15.6">
      <c r="A53" s="2"/>
      <c r="B53" s="29"/>
      <c r="C53" s="23"/>
      <c r="D53" s="2"/>
      <c r="E53" s="2"/>
    </row>
    <row r="54" spans="1:5" ht="15.6">
      <c r="A54" s="2"/>
      <c r="B54" s="29"/>
      <c r="C54" s="23"/>
      <c r="D54" s="2"/>
      <c r="E54" s="2"/>
    </row>
    <row r="55" spans="1:5" ht="15.6">
      <c r="A55" s="2"/>
      <c r="B55" s="29"/>
      <c r="C55" s="23"/>
      <c r="D55" s="2"/>
      <c r="E55" s="2"/>
    </row>
    <row r="56" spans="1:5" ht="15.6">
      <c r="A56" s="2"/>
      <c r="B56" s="29"/>
      <c r="C56" s="23"/>
      <c r="D56" s="2"/>
      <c r="E56" s="2"/>
    </row>
    <row r="57" spans="1:5" ht="15.6">
      <c r="A57" s="2"/>
      <c r="B57" s="29"/>
      <c r="C57" s="23"/>
      <c r="D57" s="2"/>
      <c r="E57" s="2"/>
    </row>
    <row r="58" spans="1:5" ht="15.6">
      <c r="A58" s="2"/>
      <c r="B58" s="29"/>
      <c r="C58" s="23"/>
      <c r="D58" s="2"/>
      <c r="E58" s="2"/>
    </row>
    <row r="59" spans="1:5" ht="15.6">
      <c r="A59" s="2"/>
      <c r="B59" s="29"/>
      <c r="C59" s="23"/>
      <c r="D59" s="2"/>
      <c r="E59" s="2"/>
    </row>
    <row r="60" spans="1:5" ht="15"/>
    <row r="61" spans="1:5" ht="15"/>
  </sheetData>
  <mergeCells count="1">
    <mergeCell ref="B6:D6"/>
  </mergeCells>
  <conditionalFormatting sqref="E8:AJ45">
    <cfRule type="cellIs" dxfId="5" priority="1" operator="greaterThan">
      <formula>0</formula>
    </cfRule>
  </conditionalFormatting>
  <dataValidations count="1">
    <dataValidation allowBlank="1" showInputMessage="1" showErrorMessage="1" sqref="A3:A59" xr:uid="{C54C3AC0-4912-4D86-87EA-B2AEA7B57268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6410-67A4-42D2-B675-D6B6B19C0474}">
  <sheetPr>
    <tabColor rgb="FF00B050"/>
  </sheetPr>
  <dimension ref="A2:AM61"/>
  <sheetViews>
    <sheetView showGridLines="0" workbookViewId="0">
      <pane xSplit="4" ySplit="7" topLeftCell="E17" activePane="bottomRight" state="frozen"/>
      <selection pane="bottomRight" activeCell="E23" sqref="E23:AJ29"/>
      <selection pane="bottomLeft"/>
      <selection pane="topRight"/>
    </sheetView>
  </sheetViews>
  <sheetFormatPr defaultColWidth="9.140625" defaultRowHeight="14.45"/>
  <cols>
    <col min="1" max="1" width="3.28515625" bestFit="1" customWidth="1"/>
    <col min="3" max="3" width="22.7109375" bestFit="1" customWidth="1"/>
    <col min="4" max="4" width="27.140625" customWidth="1"/>
    <col min="5" max="5" width="15" customWidth="1"/>
    <col min="6" max="6" width="17.140625" style="106" customWidth="1"/>
    <col min="7" max="7" width="17.42578125" style="48" bestFit="1" customWidth="1"/>
    <col min="8" max="8" width="17.42578125" style="51" bestFit="1" customWidth="1"/>
    <col min="9" max="12" width="17.42578125" bestFit="1" customWidth="1"/>
    <col min="13" max="14" width="17.42578125" style="48" bestFit="1" customWidth="1"/>
    <col min="15" max="19" width="18.42578125" bestFit="1" customWidth="1"/>
    <col min="20" max="21" width="18.42578125" style="48" bestFit="1" customWidth="1"/>
    <col min="22" max="26" width="18.42578125" bestFit="1" customWidth="1"/>
    <col min="27" max="28" width="18.42578125" style="48" bestFit="1" customWidth="1"/>
    <col min="29" max="33" width="18.42578125" bestFit="1" customWidth="1"/>
    <col min="34" max="35" width="18.42578125" style="48" bestFit="1" customWidth="1"/>
    <col min="36" max="36" width="16.5703125" customWidth="1"/>
  </cols>
  <sheetData>
    <row r="2" spans="1:39" s="80" customFormat="1" ht="18.75" customHeight="1">
      <c r="D2" s="96" t="s">
        <v>95</v>
      </c>
      <c r="F2" s="107">
        <f>COUNTA($D$8:$D$52)</f>
        <v>38</v>
      </c>
      <c r="G2" s="46">
        <f t="shared" ref="G2:AJ2" si="0">COUNTA($D$8:$D$52)</f>
        <v>38</v>
      </c>
      <c r="H2" s="49">
        <f t="shared" si="0"/>
        <v>38</v>
      </c>
      <c r="I2" s="80">
        <f t="shared" si="0"/>
        <v>38</v>
      </c>
      <c r="J2" s="80">
        <f t="shared" si="0"/>
        <v>38</v>
      </c>
      <c r="K2" s="80">
        <f t="shared" si="0"/>
        <v>38</v>
      </c>
      <c r="L2" s="80">
        <f t="shared" si="0"/>
        <v>38</v>
      </c>
      <c r="M2" s="46">
        <f t="shared" si="0"/>
        <v>38</v>
      </c>
      <c r="N2" s="46">
        <f t="shared" si="0"/>
        <v>38</v>
      </c>
      <c r="O2" s="80">
        <f t="shared" si="0"/>
        <v>38</v>
      </c>
      <c r="P2" s="80">
        <f t="shared" si="0"/>
        <v>38</v>
      </c>
      <c r="Q2" s="80">
        <f t="shared" si="0"/>
        <v>38</v>
      </c>
      <c r="R2" s="80">
        <f t="shared" si="0"/>
        <v>38</v>
      </c>
      <c r="S2" s="80">
        <f t="shared" si="0"/>
        <v>38</v>
      </c>
      <c r="T2" s="46">
        <f t="shared" si="0"/>
        <v>38</v>
      </c>
      <c r="U2" s="46">
        <f t="shared" si="0"/>
        <v>38</v>
      </c>
      <c r="V2" s="80">
        <f t="shared" si="0"/>
        <v>38</v>
      </c>
      <c r="W2" s="80">
        <f t="shared" si="0"/>
        <v>38</v>
      </c>
      <c r="X2" s="80">
        <f t="shared" si="0"/>
        <v>38</v>
      </c>
      <c r="Y2" s="80">
        <f t="shared" si="0"/>
        <v>38</v>
      </c>
      <c r="Z2" s="80">
        <f t="shared" si="0"/>
        <v>38</v>
      </c>
      <c r="AA2" s="46">
        <f t="shared" si="0"/>
        <v>38</v>
      </c>
      <c r="AB2" s="46">
        <f t="shared" si="0"/>
        <v>38</v>
      </c>
      <c r="AC2" s="80">
        <f t="shared" si="0"/>
        <v>38</v>
      </c>
      <c r="AD2" s="80">
        <f t="shared" si="0"/>
        <v>38</v>
      </c>
      <c r="AE2" s="80">
        <f t="shared" si="0"/>
        <v>38</v>
      </c>
      <c r="AF2" s="80">
        <f t="shared" si="0"/>
        <v>38</v>
      </c>
      <c r="AG2" s="80">
        <f t="shared" si="0"/>
        <v>38</v>
      </c>
      <c r="AH2" s="46">
        <f t="shared" si="0"/>
        <v>38</v>
      </c>
      <c r="AI2" s="46">
        <f t="shared" si="0"/>
        <v>38</v>
      </c>
      <c r="AJ2" s="80">
        <f t="shared" si="0"/>
        <v>38</v>
      </c>
    </row>
    <row r="3" spans="1:39" s="80" customFormat="1" ht="12">
      <c r="A3" s="96"/>
      <c r="C3" s="96"/>
      <c r="D3" s="96" t="s">
        <v>96</v>
      </c>
      <c r="E3" s="96"/>
      <c r="F3" s="107">
        <f>SUM(F8:F49)</f>
        <v>0</v>
      </c>
      <c r="G3" s="46">
        <f t="shared" ref="G3:AJ3" si="1">SUM(G8:G49)</f>
        <v>0</v>
      </c>
      <c r="H3" s="49">
        <f t="shared" si="1"/>
        <v>0</v>
      </c>
      <c r="I3" s="80">
        <f t="shared" si="1"/>
        <v>1</v>
      </c>
      <c r="J3" s="80">
        <f t="shared" si="1"/>
        <v>1</v>
      </c>
      <c r="K3" s="80">
        <f t="shared" si="1"/>
        <v>0</v>
      </c>
      <c r="L3" s="80">
        <f t="shared" si="1"/>
        <v>0</v>
      </c>
      <c r="M3" s="46">
        <f>SUM(M8:M49)</f>
        <v>0</v>
      </c>
      <c r="N3" s="46">
        <f t="shared" si="1"/>
        <v>0</v>
      </c>
      <c r="O3" s="80">
        <f t="shared" si="1"/>
        <v>0</v>
      </c>
      <c r="P3" s="80">
        <f t="shared" si="1"/>
        <v>0</v>
      </c>
      <c r="Q3" s="80">
        <f t="shared" si="1"/>
        <v>0</v>
      </c>
      <c r="R3" s="80">
        <f>SUM(R8:R49)</f>
        <v>0</v>
      </c>
      <c r="S3" s="80">
        <f t="shared" si="1"/>
        <v>0</v>
      </c>
      <c r="T3" s="46">
        <f t="shared" si="1"/>
        <v>0</v>
      </c>
      <c r="U3" s="46">
        <f t="shared" si="1"/>
        <v>0</v>
      </c>
      <c r="V3" s="80">
        <f t="shared" si="1"/>
        <v>0</v>
      </c>
      <c r="W3" s="80">
        <f>SUM(W8:W49)</f>
        <v>0</v>
      </c>
      <c r="X3" s="80">
        <f t="shared" si="1"/>
        <v>0</v>
      </c>
      <c r="Y3" s="80">
        <f t="shared" si="1"/>
        <v>0</v>
      </c>
      <c r="Z3" s="80">
        <f t="shared" si="1"/>
        <v>0</v>
      </c>
      <c r="AA3" s="46">
        <f t="shared" si="1"/>
        <v>0</v>
      </c>
      <c r="AB3" s="46">
        <f t="shared" si="1"/>
        <v>0</v>
      </c>
      <c r="AC3" s="80">
        <f t="shared" si="1"/>
        <v>0</v>
      </c>
      <c r="AD3" s="80">
        <f>SUM(AD8:AD49)</f>
        <v>0</v>
      </c>
      <c r="AE3" s="80">
        <f t="shared" si="1"/>
        <v>0</v>
      </c>
      <c r="AF3" s="80">
        <f>SUM(AF8:AF49)</f>
        <v>0</v>
      </c>
      <c r="AG3" s="80">
        <f t="shared" si="1"/>
        <v>0</v>
      </c>
      <c r="AH3" s="46">
        <f t="shared" si="1"/>
        <v>0</v>
      </c>
      <c r="AI3" s="46">
        <f t="shared" si="1"/>
        <v>0</v>
      </c>
      <c r="AJ3" s="80">
        <f t="shared" si="1"/>
        <v>0</v>
      </c>
    </row>
    <row r="4" spans="1:39" s="80" customFormat="1" ht="12">
      <c r="A4" s="96"/>
      <c r="B4" s="97"/>
      <c r="C4" s="96"/>
      <c r="D4" s="96" t="s">
        <v>97</v>
      </c>
      <c r="E4" s="96"/>
      <c r="F4" s="108">
        <f>(COUNTA($D$8:$D$49)-F$3)/(COUNTA($D$8:$D$49))</f>
        <v>1</v>
      </c>
      <c r="G4" s="47">
        <f>(COUNTA($D$8:$D$49)-G$3)/(COUNTA($D$8:$D$49))</f>
        <v>1</v>
      </c>
      <c r="H4" s="50">
        <f>(COUNTA($D$8:$D$49)-H$3)/(COUNTA($D$8:$D$49))</f>
        <v>1</v>
      </c>
      <c r="I4" s="81">
        <f>(COUNTA($D$8:$D$49)-I$3)/(COUNTA($D$8:$D$49))</f>
        <v>0.97368421052631582</v>
      </c>
      <c r="J4" s="81">
        <f>(COUNTA($D$8:$D$49)-J$3)/(COUNTA($D$8:$D$49))</f>
        <v>0.97368421052631582</v>
      </c>
      <c r="K4" s="81">
        <f>(COUNTA($D$8:$D$49)-K$3)/(COUNTA($D$8:$D$49))</f>
        <v>1</v>
      </c>
      <c r="L4" s="81">
        <f>(COUNTA($D$8:$D$49)-L$3)/(COUNTA($D$8:$D$49))</f>
        <v>1</v>
      </c>
      <c r="M4" s="47">
        <f>(COUNTA($D$8:$D$49)-M$3)/(COUNTA($D$8:$D$49))</f>
        <v>1</v>
      </c>
      <c r="N4" s="47">
        <f>(COUNTA($D$8:$D$49)-N$3)/(COUNTA($D$8:$D$49))</f>
        <v>1</v>
      </c>
      <c r="O4" s="81">
        <f>(COUNTA($D$8:$D$49)-O$3)/(COUNTA($D$8:$D$49))</f>
        <v>1</v>
      </c>
      <c r="P4" s="81">
        <f>(COUNTA($D$8:$D$49)-P$3)/(COUNTA($D$8:$D$49))</f>
        <v>1</v>
      </c>
      <c r="Q4" s="81">
        <f>(COUNTA($D$8:$D$49)-Q$3)/(COUNTA($D$8:$D$49))</f>
        <v>1</v>
      </c>
      <c r="R4" s="81">
        <f>(COUNTA($D$8:$D$49)-R$3)/(COUNTA($D$8:$D$49))</f>
        <v>1</v>
      </c>
      <c r="S4" s="81">
        <f>(COUNTA($D$8:$D$49)-S$3)/(COUNTA($D$8:$D$49))</f>
        <v>1</v>
      </c>
      <c r="T4" s="47">
        <f>(COUNTA($D$8:$D$49)-T$3)/(COUNTA($D$8:$D$49))</f>
        <v>1</v>
      </c>
      <c r="U4" s="47">
        <f>(COUNTA($D$8:$D$49)-U$3)/(COUNTA($D$8:$D$49))</f>
        <v>1</v>
      </c>
      <c r="V4" s="81">
        <f>(COUNTA($D$8:$D$49)-V$3)/(COUNTA($D$8:$D$49))</f>
        <v>1</v>
      </c>
      <c r="W4" s="81">
        <f>(COUNTA($D$8:$D$49)-W$3)/(COUNTA($D$8:$D$49))</f>
        <v>1</v>
      </c>
      <c r="X4" s="81">
        <f>(COUNTA($D$8:$D$49)-X$3)/(COUNTA($D$8:$D$49))</f>
        <v>1</v>
      </c>
      <c r="Y4" s="81">
        <f>(COUNTA($D$8:$D$49)-Y$3)/(COUNTA($D$8:$D$49))</f>
        <v>1</v>
      </c>
      <c r="Z4" s="81">
        <f>(COUNTA($D$8:$D$49)-Z$3)/(COUNTA($D$8:$D$49))</f>
        <v>1</v>
      </c>
      <c r="AA4" s="47">
        <f>(COUNTA($D$8:$D$49)-AA$3)/(COUNTA($D$8:$D$49))</f>
        <v>1</v>
      </c>
      <c r="AB4" s="47">
        <f>(COUNTA($D$8:$D$49)-AB$3)/(COUNTA($D$8:$D$49))</f>
        <v>1</v>
      </c>
      <c r="AC4" s="81">
        <f>(COUNTA($D$8:$D$49)-AC$3)/(COUNTA($D$8:$D$49))</f>
        <v>1</v>
      </c>
      <c r="AD4" s="81">
        <f>(COUNTA($D$8:$D$49)-AD$3)/(COUNTA($D$8:$D$49))</f>
        <v>1</v>
      </c>
      <c r="AE4" s="81">
        <f>(COUNTA($D$8:$D$49)-AE$3)/(COUNTA($D$8:$D$49))</f>
        <v>1</v>
      </c>
      <c r="AF4" s="81">
        <f>(COUNTA($D$8:$D$49)-AF$3)/(COUNTA($D$8:$D$49))</f>
        <v>1</v>
      </c>
      <c r="AG4" s="81">
        <f>(COUNTA($D$8:$D$49)-AG$3)/(COUNTA($D$8:$D$49))</f>
        <v>1</v>
      </c>
      <c r="AH4" s="47">
        <f>(COUNTA($D$8:$D$49)-AH$3)/(COUNTA($D$8:$D$49))</f>
        <v>1</v>
      </c>
      <c r="AI4" s="47">
        <f>(COUNTA($D$8:$D$49)-AI$3)/(COUNTA($D$8:$D$49))</f>
        <v>1</v>
      </c>
      <c r="AJ4" s="81">
        <f>(COUNTA($D$8:$D$49)-AJ$3)/(COUNTA($D$8:$D$49))</f>
        <v>1</v>
      </c>
    </row>
    <row r="5" spans="1:39" s="80" customFormat="1" ht="8.25" customHeight="1">
      <c r="A5" s="96"/>
      <c r="B5" s="97"/>
      <c r="C5" s="96"/>
      <c r="D5" s="96"/>
      <c r="E5" s="96"/>
      <c r="F5" s="108"/>
      <c r="G5" s="47"/>
      <c r="H5" s="50"/>
      <c r="I5" s="81"/>
      <c r="J5" s="81"/>
      <c r="K5" s="81"/>
      <c r="L5" s="81"/>
      <c r="M5" s="47"/>
      <c r="N5" s="47"/>
      <c r="O5" s="81"/>
      <c r="P5" s="81"/>
      <c r="Q5" s="81"/>
      <c r="R5" s="81"/>
      <c r="S5" s="81"/>
      <c r="T5" s="47"/>
      <c r="U5" s="47"/>
      <c r="V5" s="81"/>
      <c r="W5" s="81"/>
      <c r="X5" s="81"/>
      <c r="Y5" s="81"/>
      <c r="Z5" s="81"/>
      <c r="AA5" s="47"/>
      <c r="AB5" s="47"/>
      <c r="AC5" s="81"/>
      <c r="AD5" s="81"/>
      <c r="AE5" s="81"/>
      <c r="AF5" s="81"/>
      <c r="AG5" s="81"/>
      <c r="AH5" s="47"/>
      <c r="AI5" s="47"/>
    </row>
    <row r="6" spans="1:39" s="100" customFormat="1" ht="34.5" customHeight="1">
      <c r="A6" s="98"/>
      <c r="B6" s="246" t="s">
        <v>0</v>
      </c>
      <c r="C6" s="247"/>
      <c r="D6" s="247"/>
      <c r="E6" s="16" t="s">
        <v>98</v>
      </c>
      <c r="F6" s="109">
        <v>46235</v>
      </c>
      <c r="G6" s="109">
        <v>46236</v>
      </c>
      <c r="H6" s="85">
        <v>46237</v>
      </c>
      <c r="I6" s="95">
        <v>46238</v>
      </c>
      <c r="J6" s="95">
        <v>46239</v>
      </c>
      <c r="K6" s="95">
        <v>46240</v>
      </c>
      <c r="L6" s="95">
        <v>46241</v>
      </c>
      <c r="M6" s="109">
        <v>46242</v>
      </c>
      <c r="N6" s="109">
        <v>46243</v>
      </c>
      <c r="O6" s="95">
        <v>46244</v>
      </c>
      <c r="P6" s="95">
        <v>46245</v>
      </c>
      <c r="Q6" s="95">
        <v>46246</v>
      </c>
      <c r="R6" s="95">
        <v>46247</v>
      </c>
      <c r="S6" s="95">
        <v>46248</v>
      </c>
      <c r="T6" s="109">
        <v>46249</v>
      </c>
      <c r="U6" s="109">
        <v>46250</v>
      </c>
      <c r="V6" s="95">
        <v>46251</v>
      </c>
      <c r="W6" s="95">
        <v>46252</v>
      </c>
      <c r="X6" s="95">
        <v>46253</v>
      </c>
      <c r="Y6" s="95">
        <v>46254</v>
      </c>
      <c r="Z6" s="95">
        <v>46255</v>
      </c>
      <c r="AA6" s="109">
        <v>46256</v>
      </c>
      <c r="AB6" s="109">
        <v>46257</v>
      </c>
      <c r="AC6" s="95">
        <v>46258</v>
      </c>
      <c r="AD6" s="95">
        <v>46259</v>
      </c>
      <c r="AE6" s="95">
        <v>46260</v>
      </c>
      <c r="AF6" s="95">
        <v>46261</v>
      </c>
      <c r="AG6" s="95">
        <v>46262</v>
      </c>
      <c r="AH6" s="109">
        <v>46263</v>
      </c>
      <c r="AI6" s="109">
        <v>46264</v>
      </c>
      <c r="AJ6" s="117">
        <v>46265</v>
      </c>
      <c r="AK6" s="99"/>
      <c r="AL6" s="99"/>
      <c r="AM6" s="99"/>
    </row>
    <row r="7" spans="1:39" ht="15.75">
      <c r="A7" s="1"/>
      <c r="B7" s="28" t="s">
        <v>3</v>
      </c>
      <c r="C7" s="24" t="s">
        <v>4</v>
      </c>
      <c r="D7" s="1" t="s">
        <v>5</v>
      </c>
      <c r="E7" s="5" t="s">
        <v>99</v>
      </c>
      <c r="F7" s="216" t="s">
        <v>105</v>
      </c>
      <c r="G7" s="216" t="s">
        <v>106</v>
      </c>
      <c r="H7" s="225" t="s">
        <v>100</v>
      </c>
      <c r="I7" s="218" t="s">
        <v>101</v>
      </c>
      <c r="J7" s="218" t="s">
        <v>102</v>
      </c>
      <c r="K7" s="218" t="s">
        <v>103</v>
      </c>
      <c r="L7" s="218" t="s">
        <v>104</v>
      </c>
      <c r="M7" s="216" t="s">
        <v>105</v>
      </c>
      <c r="N7" s="216" t="s">
        <v>106</v>
      </c>
      <c r="O7" s="218" t="s">
        <v>100</v>
      </c>
      <c r="P7" s="218" t="s">
        <v>101</v>
      </c>
      <c r="Q7" s="218" t="s">
        <v>102</v>
      </c>
      <c r="R7" s="218" t="s">
        <v>103</v>
      </c>
      <c r="S7" s="218" t="s">
        <v>104</v>
      </c>
      <c r="T7" s="216" t="s">
        <v>105</v>
      </c>
      <c r="U7" s="216" t="s">
        <v>106</v>
      </c>
      <c r="V7" s="218" t="s">
        <v>100</v>
      </c>
      <c r="W7" s="218" t="s">
        <v>101</v>
      </c>
      <c r="X7" s="218" t="s">
        <v>102</v>
      </c>
      <c r="Y7" s="218" t="s">
        <v>103</v>
      </c>
      <c r="Z7" s="218" t="s">
        <v>104</v>
      </c>
      <c r="AA7" s="216" t="s">
        <v>105</v>
      </c>
      <c r="AB7" s="216" t="s">
        <v>106</v>
      </c>
      <c r="AC7" s="218" t="s">
        <v>100</v>
      </c>
      <c r="AD7" s="218" t="s">
        <v>101</v>
      </c>
      <c r="AE7" s="218" t="s">
        <v>102</v>
      </c>
      <c r="AF7" s="218" t="s">
        <v>103</v>
      </c>
      <c r="AG7" s="218" t="s">
        <v>104</v>
      </c>
      <c r="AH7" s="216" t="s">
        <v>105</v>
      </c>
      <c r="AI7" s="216" t="s">
        <v>106</v>
      </c>
      <c r="AJ7" s="222" t="s">
        <v>100</v>
      </c>
    </row>
    <row r="8" spans="1:39" ht="15.75">
      <c r="A8" s="2">
        <v>1</v>
      </c>
      <c r="B8" s="209" t="s">
        <v>25</v>
      </c>
      <c r="C8" s="210" t="s">
        <v>26</v>
      </c>
      <c r="D8" s="211" t="s">
        <v>27</v>
      </c>
      <c r="E8" s="212">
        <f t="shared" ref="E8:E45" si="2">SUM(F8:AI8)</f>
        <v>0</v>
      </c>
      <c r="F8" s="213">
        <f>COUNTIFS('2026 Time Off Request'!$A:$A,'Aug 2026'!$D8,'2026 Time Off Request'!$L:$L,'Aug 2026'!F$6)</f>
        <v>0</v>
      </c>
      <c r="G8" s="147">
        <f>COUNTIFS('2026 Time Off Request'!$A:$A,'Aug 2026'!$D8,'2026 Time Off Request'!$L:$L,'Aug 2026'!G$6)</f>
        <v>0</v>
      </c>
      <c r="H8" s="224">
        <f>COUNTIFS('2026 Time Off Request'!$A:$A,'Aug 2026'!$D8,'2026 Time Off Request'!$L:$L,'Aug 2026'!H$6)</f>
        <v>0</v>
      </c>
      <c r="I8" s="148">
        <f>COUNTIFS('2026 Time Off Request'!$A:$A,'Aug 2026'!$D8,'2026 Time Off Request'!$L:$L,'Aug 2026'!I$6)</f>
        <v>0</v>
      </c>
      <c r="J8" s="148">
        <f>COUNTIFS('2026 Time Off Request'!$A:$A,'Aug 2026'!$D8,'2026 Time Off Request'!$L:$L,'Aug 2026'!J$6)</f>
        <v>0</v>
      </c>
      <c r="K8" s="148">
        <f>COUNTIFS('2026 Time Off Request'!$A:$A,'Aug 2026'!$D8,'2026 Time Off Request'!$L:$L,'Aug 2026'!K$6)</f>
        <v>0</v>
      </c>
      <c r="L8" s="148">
        <f>COUNTIFS('2026 Time Off Request'!$A:$A,'Aug 2026'!$D8,'2026 Time Off Request'!$L:$L,'Aug 2026'!L$6)</f>
        <v>0</v>
      </c>
      <c r="M8" s="147">
        <f>COUNTIFS('2026 Time Off Request'!$A:$A,'Aug 2026'!$D8,'2026 Time Off Request'!$L:$L,'Aug 2026'!M$6)</f>
        <v>0</v>
      </c>
      <c r="N8" s="147">
        <f>COUNTIFS('2026 Time Off Request'!$A:$A,'Aug 2026'!$D8,'2026 Time Off Request'!$L:$L,'Aug 2026'!N$6)</f>
        <v>0</v>
      </c>
      <c r="O8" s="148">
        <f>COUNTIFS('2026 Time Off Request'!$A:$A,'Aug 2026'!$D8,'2026 Time Off Request'!$L:$L,'Aug 2026'!O$6)</f>
        <v>0</v>
      </c>
      <c r="P8" s="148">
        <f>COUNTIFS('2026 Time Off Request'!$A:$A,'Aug 2026'!$D8,'2026 Time Off Request'!$L:$L,'Aug 2026'!P$6)</f>
        <v>0</v>
      </c>
      <c r="Q8" s="148">
        <f>COUNTIFS('2026 Time Off Request'!$A:$A,'Aug 2026'!$D8,'2026 Time Off Request'!$L:$L,'Aug 2026'!Q$6)</f>
        <v>0</v>
      </c>
      <c r="R8" s="148">
        <f>COUNTIFS('2026 Time Off Request'!$A:$A,'Aug 2026'!$D8,'2026 Time Off Request'!$L:$L,'Aug 2026'!R$6)</f>
        <v>0</v>
      </c>
      <c r="S8" s="148">
        <f>COUNTIFS('2026 Time Off Request'!$A:$A,'Aug 2026'!$D8,'2026 Time Off Request'!$L:$L,'Aug 2026'!S$6)</f>
        <v>0</v>
      </c>
      <c r="T8" s="147">
        <f>COUNTIFS('2026 Time Off Request'!$A:$A,'Aug 2026'!$D8,'2026 Time Off Request'!$L:$L,'Aug 2026'!T$6)</f>
        <v>0</v>
      </c>
      <c r="U8" s="147">
        <f>COUNTIFS('2026 Time Off Request'!$A:$A,'Aug 2026'!$D8,'2026 Time Off Request'!$L:$L,'Aug 2026'!U$6)</f>
        <v>0</v>
      </c>
      <c r="V8" s="148">
        <f>COUNTIFS('2026 Time Off Request'!$A:$A,'Aug 2026'!$D8,'2026 Time Off Request'!$L:$L,'Aug 2026'!V$6)</f>
        <v>0</v>
      </c>
      <c r="W8" s="148">
        <f>COUNTIFS('2026 Time Off Request'!$A:$A,'Aug 2026'!$D8,'2026 Time Off Request'!$L:$L,'Aug 2026'!W$6)</f>
        <v>0</v>
      </c>
      <c r="X8" s="148">
        <f>COUNTIFS('2026 Time Off Request'!$A:$A,'Aug 2026'!$D8,'2026 Time Off Request'!$L:$L,'Aug 2026'!X$6)</f>
        <v>0</v>
      </c>
      <c r="Y8" s="148">
        <f>COUNTIFS('2026 Time Off Request'!$A:$A,'Aug 2026'!$D8,'2026 Time Off Request'!$L:$L,'Aug 2026'!Y$6)</f>
        <v>0</v>
      </c>
      <c r="Z8" s="148">
        <f>COUNTIFS('2026 Time Off Request'!$A:$A,'Aug 2026'!$D8,'2026 Time Off Request'!$L:$L,'Aug 2026'!Z$6)</f>
        <v>0</v>
      </c>
      <c r="AA8" s="147">
        <f>COUNTIFS('2026 Time Off Request'!$A:$A,'Aug 2026'!$D8,'2026 Time Off Request'!$L:$L,'Aug 2026'!AA$6)</f>
        <v>0</v>
      </c>
      <c r="AB8" s="147">
        <f>COUNTIFS('2026 Time Off Request'!$A:$A,'Aug 2026'!$D8,'2026 Time Off Request'!$L:$L,'Aug 2026'!AB$6)</f>
        <v>0</v>
      </c>
      <c r="AC8" s="148">
        <f>COUNTIFS('2026 Time Off Request'!$A:$A,'Aug 2026'!$D8,'2026 Time Off Request'!$L:$L,'Aug 2026'!AC$6)</f>
        <v>0</v>
      </c>
      <c r="AD8" s="148">
        <f>COUNTIFS('2026 Time Off Request'!$A:$A,'Aug 2026'!$D8,'2026 Time Off Request'!$L:$L,'Aug 2026'!AD$6)</f>
        <v>0</v>
      </c>
      <c r="AE8" s="148">
        <f>COUNTIFS('2026 Time Off Request'!$A:$A,'Aug 2026'!$D8,'2026 Time Off Request'!$L:$L,'Aug 2026'!AE$6)</f>
        <v>0</v>
      </c>
      <c r="AF8" s="148">
        <f>COUNTIFS('2026 Time Off Request'!$A:$A,'Aug 2026'!$D8,'2026 Time Off Request'!$L:$L,'Aug 2026'!AF$6)</f>
        <v>0</v>
      </c>
      <c r="AG8" s="148">
        <f>COUNTIFS('2026 Time Off Request'!$A:$A,'Aug 2026'!$D8,'2026 Time Off Request'!$L:$L,'Aug 2026'!AG$6)</f>
        <v>0</v>
      </c>
      <c r="AH8" s="147">
        <f>COUNTIFS('2026 Time Off Request'!$A:$A,'Aug 2026'!$D8,'2026 Time Off Request'!$L:$L,'Aug 2026'!AH$6)</f>
        <v>0</v>
      </c>
      <c r="AI8" s="147">
        <f>COUNTIFS('2026 Time Off Request'!$A:$A,'Aug 2026'!$D8,'2026 Time Off Request'!$L:$L,'Aug 2026'!AI$6)</f>
        <v>0</v>
      </c>
      <c r="AJ8" s="148">
        <f>COUNTIFS('2026 Time Off Request'!$A:$A,'Aug 2026'!$D8,'2026 Time Off Request'!$L:$L,'Aug 2026'!AJ$6)</f>
        <v>0</v>
      </c>
    </row>
    <row r="9" spans="1:39" ht="15.75">
      <c r="A9" s="2">
        <v>2</v>
      </c>
      <c r="B9" s="209" t="s">
        <v>25</v>
      </c>
      <c r="C9" s="210" t="s">
        <v>28</v>
      </c>
      <c r="D9" s="215" t="s">
        <v>29</v>
      </c>
      <c r="E9" s="212">
        <f t="shared" si="2"/>
        <v>0</v>
      </c>
      <c r="F9" s="213">
        <f>COUNTIFS('2026 Time Off Request'!$A:$A,'Aug 2026'!$D9,'2026 Time Off Request'!$L:$L,'Aug 2026'!F$6)</f>
        <v>0</v>
      </c>
      <c r="G9" s="147">
        <f>COUNTIFS('2026 Time Off Request'!$A:$A,'Aug 2026'!$D9,'2026 Time Off Request'!$L:$L,'Aug 2026'!G$6)</f>
        <v>0</v>
      </c>
      <c r="H9" s="224">
        <f>COUNTIFS('2026 Time Off Request'!$A:$A,'Aug 2026'!$D9,'2026 Time Off Request'!$L:$L,'Aug 2026'!H$6)</f>
        <v>0</v>
      </c>
      <c r="I9" s="148">
        <f>COUNTIFS('2026 Time Off Request'!$A:$A,'Aug 2026'!$D9,'2026 Time Off Request'!$L:$L,'Aug 2026'!I$6)</f>
        <v>0</v>
      </c>
      <c r="J9" s="148">
        <f>COUNTIFS('2026 Time Off Request'!$A:$A,'Aug 2026'!$D9,'2026 Time Off Request'!$L:$L,'Aug 2026'!J$6)</f>
        <v>0</v>
      </c>
      <c r="K9" s="148">
        <f>COUNTIFS('2026 Time Off Request'!$A:$A,'Aug 2026'!$D9,'2026 Time Off Request'!$L:$L,'Aug 2026'!K$6)</f>
        <v>0</v>
      </c>
      <c r="L9" s="148">
        <f>COUNTIFS('2026 Time Off Request'!$A:$A,'Aug 2026'!$D9,'2026 Time Off Request'!$L:$L,'Aug 2026'!L$6)</f>
        <v>0</v>
      </c>
      <c r="M9" s="147">
        <f>COUNTIFS('2026 Time Off Request'!$A:$A,'Aug 2026'!$D9,'2026 Time Off Request'!$L:$L,'Aug 2026'!M$6)</f>
        <v>0</v>
      </c>
      <c r="N9" s="147">
        <f>COUNTIFS('2026 Time Off Request'!$A:$A,'Aug 2026'!$D9,'2026 Time Off Request'!$L:$L,'Aug 2026'!N$6)</f>
        <v>0</v>
      </c>
      <c r="O9" s="148">
        <f>COUNTIFS('2026 Time Off Request'!$A:$A,'Aug 2026'!$D9,'2026 Time Off Request'!$L:$L,'Aug 2026'!O$6)</f>
        <v>0</v>
      </c>
      <c r="P9" s="148">
        <f>COUNTIFS('2026 Time Off Request'!$A:$A,'Aug 2026'!$D9,'2026 Time Off Request'!$L:$L,'Aug 2026'!P$6)</f>
        <v>0</v>
      </c>
      <c r="Q9" s="148">
        <f>COUNTIFS('2026 Time Off Request'!$A:$A,'Aug 2026'!$D9,'2026 Time Off Request'!$L:$L,'Aug 2026'!Q$6)</f>
        <v>0</v>
      </c>
      <c r="R9" s="148">
        <f>COUNTIFS('2026 Time Off Request'!$A:$A,'Aug 2026'!$D9,'2026 Time Off Request'!$L:$L,'Aug 2026'!R$6)</f>
        <v>0</v>
      </c>
      <c r="S9" s="148">
        <f>COUNTIFS('2026 Time Off Request'!$A:$A,'Aug 2026'!$D9,'2026 Time Off Request'!$L:$L,'Aug 2026'!S$6)</f>
        <v>0</v>
      </c>
      <c r="T9" s="147">
        <f>COUNTIFS('2026 Time Off Request'!$A:$A,'Aug 2026'!$D9,'2026 Time Off Request'!$L:$L,'Aug 2026'!T$6)</f>
        <v>0</v>
      </c>
      <c r="U9" s="147">
        <f>COUNTIFS('2026 Time Off Request'!$A:$A,'Aug 2026'!$D9,'2026 Time Off Request'!$L:$L,'Aug 2026'!U$6)</f>
        <v>0</v>
      </c>
      <c r="V9" s="148">
        <f>COUNTIFS('2026 Time Off Request'!$A:$A,'Aug 2026'!$D9,'2026 Time Off Request'!$L:$L,'Aug 2026'!V$6)</f>
        <v>0</v>
      </c>
      <c r="W9" s="148">
        <f>COUNTIFS('2026 Time Off Request'!$A:$A,'Aug 2026'!$D9,'2026 Time Off Request'!$L:$L,'Aug 2026'!W$6)</f>
        <v>0</v>
      </c>
      <c r="X9" s="148">
        <f>COUNTIFS('2026 Time Off Request'!$A:$A,'Aug 2026'!$D9,'2026 Time Off Request'!$L:$L,'Aug 2026'!X$6)</f>
        <v>0</v>
      </c>
      <c r="Y9" s="148">
        <f>COUNTIFS('2026 Time Off Request'!$A:$A,'Aug 2026'!$D9,'2026 Time Off Request'!$L:$L,'Aug 2026'!Y$6)</f>
        <v>0</v>
      </c>
      <c r="Z9" s="148">
        <f>COUNTIFS('2026 Time Off Request'!$A:$A,'Aug 2026'!$D9,'2026 Time Off Request'!$L:$L,'Aug 2026'!Z$6)</f>
        <v>0</v>
      </c>
      <c r="AA9" s="147">
        <f>COUNTIFS('2026 Time Off Request'!$A:$A,'Aug 2026'!$D9,'2026 Time Off Request'!$L:$L,'Aug 2026'!AA$6)</f>
        <v>0</v>
      </c>
      <c r="AB9" s="147">
        <f>COUNTIFS('2026 Time Off Request'!$A:$A,'Aug 2026'!$D9,'2026 Time Off Request'!$L:$L,'Aug 2026'!AB$6)</f>
        <v>0</v>
      </c>
      <c r="AC9" s="148">
        <f>COUNTIFS('2026 Time Off Request'!$A:$A,'Aug 2026'!$D9,'2026 Time Off Request'!$L:$L,'Aug 2026'!AC$6)</f>
        <v>0</v>
      </c>
      <c r="AD9" s="148">
        <f>COUNTIFS('2026 Time Off Request'!$A:$A,'Aug 2026'!$D9,'2026 Time Off Request'!$L:$L,'Aug 2026'!AD$6)</f>
        <v>0</v>
      </c>
      <c r="AE9" s="148">
        <f>COUNTIFS('2026 Time Off Request'!$A:$A,'Aug 2026'!$D9,'2026 Time Off Request'!$L:$L,'Aug 2026'!AE$6)</f>
        <v>0</v>
      </c>
      <c r="AF9" s="148">
        <f>COUNTIFS('2026 Time Off Request'!$A:$A,'Aug 2026'!$D9,'2026 Time Off Request'!$L:$L,'Aug 2026'!AF$6)</f>
        <v>0</v>
      </c>
      <c r="AG9" s="148">
        <f>COUNTIFS('2026 Time Off Request'!$A:$A,'Aug 2026'!$D9,'2026 Time Off Request'!$L:$L,'Aug 2026'!AG$6)</f>
        <v>0</v>
      </c>
      <c r="AH9" s="147">
        <f>COUNTIFS('2026 Time Off Request'!$A:$A,'Aug 2026'!$D9,'2026 Time Off Request'!$L:$L,'Aug 2026'!AH$6)</f>
        <v>0</v>
      </c>
      <c r="AI9" s="147">
        <f>COUNTIFS('2026 Time Off Request'!$A:$A,'Aug 2026'!$D9,'2026 Time Off Request'!$L:$L,'Aug 2026'!AI$6)</f>
        <v>0</v>
      </c>
      <c r="AJ9" s="148">
        <f>COUNTIFS('2026 Time Off Request'!$A:$A,'Aug 2026'!$D9,'2026 Time Off Request'!$L:$L,'Aug 2026'!AJ$6)</f>
        <v>0</v>
      </c>
    </row>
    <row r="10" spans="1:39" ht="15.75">
      <c r="A10" s="2">
        <v>3</v>
      </c>
      <c r="B10" s="209" t="s">
        <v>25</v>
      </c>
      <c r="C10" s="210" t="s">
        <v>30</v>
      </c>
      <c r="D10" s="215" t="s">
        <v>31</v>
      </c>
      <c r="E10" s="212">
        <f t="shared" si="2"/>
        <v>0</v>
      </c>
      <c r="F10" s="213">
        <f>COUNTIFS('2026 Time Off Request'!$A:$A,'Aug 2026'!$D10,'2026 Time Off Request'!$L:$L,'Aug 2026'!F$6)</f>
        <v>0</v>
      </c>
      <c r="G10" s="147">
        <f>COUNTIFS('2026 Time Off Request'!$A:$A,'Aug 2026'!$D10,'2026 Time Off Request'!$L:$L,'Aug 2026'!G$6)</f>
        <v>0</v>
      </c>
      <c r="H10" s="224">
        <f>COUNTIFS('2026 Time Off Request'!$A:$A,'Aug 2026'!$D10,'2026 Time Off Request'!$L:$L,'Aug 2026'!H$6)</f>
        <v>0</v>
      </c>
      <c r="I10" s="148">
        <f>COUNTIFS('2026 Time Off Request'!$A:$A,'Aug 2026'!$D10,'2026 Time Off Request'!$L:$L,'Aug 2026'!I$6)</f>
        <v>0</v>
      </c>
      <c r="J10" s="148">
        <f>COUNTIFS('2026 Time Off Request'!$A:$A,'Aug 2026'!$D10,'2026 Time Off Request'!$L:$L,'Aug 2026'!J$6)</f>
        <v>0</v>
      </c>
      <c r="K10" s="148">
        <f>COUNTIFS('2026 Time Off Request'!$A:$A,'Aug 2026'!$D10,'2026 Time Off Request'!$L:$L,'Aug 2026'!K$6)</f>
        <v>0</v>
      </c>
      <c r="L10" s="148">
        <f>COUNTIFS('2026 Time Off Request'!$A:$A,'Aug 2026'!$D10,'2026 Time Off Request'!$L:$L,'Aug 2026'!L$6)</f>
        <v>0</v>
      </c>
      <c r="M10" s="147">
        <f>COUNTIFS('2026 Time Off Request'!$A:$A,'Aug 2026'!$D10,'2026 Time Off Request'!$L:$L,'Aug 2026'!M$6)</f>
        <v>0</v>
      </c>
      <c r="N10" s="147">
        <f>COUNTIFS('2026 Time Off Request'!$A:$A,'Aug 2026'!$D10,'2026 Time Off Request'!$L:$L,'Aug 2026'!N$6)</f>
        <v>0</v>
      </c>
      <c r="O10" s="148">
        <f>COUNTIFS('2026 Time Off Request'!$A:$A,'Aug 2026'!$D10,'2026 Time Off Request'!$L:$L,'Aug 2026'!O$6)</f>
        <v>0</v>
      </c>
      <c r="P10" s="148">
        <f>COUNTIFS('2026 Time Off Request'!$A:$A,'Aug 2026'!$D10,'2026 Time Off Request'!$L:$L,'Aug 2026'!P$6)</f>
        <v>0</v>
      </c>
      <c r="Q10" s="148">
        <f>COUNTIFS('2026 Time Off Request'!$A:$A,'Aug 2026'!$D10,'2026 Time Off Request'!$L:$L,'Aug 2026'!Q$6)</f>
        <v>0</v>
      </c>
      <c r="R10" s="148">
        <f>COUNTIFS('2026 Time Off Request'!$A:$A,'Aug 2026'!$D10,'2026 Time Off Request'!$L:$L,'Aug 2026'!R$6)</f>
        <v>0</v>
      </c>
      <c r="S10" s="148">
        <f>COUNTIFS('2026 Time Off Request'!$A:$A,'Aug 2026'!$D10,'2026 Time Off Request'!$L:$L,'Aug 2026'!S$6)</f>
        <v>0</v>
      </c>
      <c r="T10" s="147">
        <f>COUNTIFS('2026 Time Off Request'!$A:$A,'Aug 2026'!$D10,'2026 Time Off Request'!$L:$L,'Aug 2026'!T$6)</f>
        <v>0</v>
      </c>
      <c r="U10" s="147">
        <f>COUNTIFS('2026 Time Off Request'!$A:$A,'Aug 2026'!$D10,'2026 Time Off Request'!$L:$L,'Aug 2026'!U$6)</f>
        <v>0</v>
      </c>
      <c r="V10" s="148">
        <f>COUNTIFS('2026 Time Off Request'!$A:$A,'Aug 2026'!$D10,'2026 Time Off Request'!$L:$L,'Aug 2026'!V$6)</f>
        <v>0</v>
      </c>
      <c r="W10" s="148">
        <f>COUNTIFS('2026 Time Off Request'!$A:$A,'Aug 2026'!$D10,'2026 Time Off Request'!$L:$L,'Aug 2026'!W$6)</f>
        <v>0</v>
      </c>
      <c r="X10" s="148">
        <f>COUNTIFS('2026 Time Off Request'!$A:$A,'Aug 2026'!$D10,'2026 Time Off Request'!$L:$L,'Aug 2026'!X$6)</f>
        <v>0</v>
      </c>
      <c r="Y10" s="148">
        <f>COUNTIFS('2026 Time Off Request'!$A:$A,'Aug 2026'!$D10,'2026 Time Off Request'!$L:$L,'Aug 2026'!Y$6)</f>
        <v>0</v>
      </c>
      <c r="Z10" s="148">
        <f>COUNTIFS('2026 Time Off Request'!$A:$A,'Aug 2026'!$D10,'2026 Time Off Request'!$L:$L,'Aug 2026'!Z$6)</f>
        <v>0</v>
      </c>
      <c r="AA10" s="147">
        <f>COUNTIFS('2026 Time Off Request'!$A:$A,'Aug 2026'!$D10,'2026 Time Off Request'!$L:$L,'Aug 2026'!AA$6)</f>
        <v>0</v>
      </c>
      <c r="AB10" s="147">
        <f>COUNTIFS('2026 Time Off Request'!$A:$A,'Aug 2026'!$D10,'2026 Time Off Request'!$L:$L,'Aug 2026'!AB$6)</f>
        <v>0</v>
      </c>
      <c r="AC10" s="148">
        <f>COUNTIFS('2026 Time Off Request'!$A:$A,'Aug 2026'!$D10,'2026 Time Off Request'!$L:$L,'Aug 2026'!AC$6)</f>
        <v>0</v>
      </c>
      <c r="AD10" s="148">
        <f>COUNTIFS('2026 Time Off Request'!$A:$A,'Aug 2026'!$D10,'2026 Time Off Request'!$L:$L,'Aug 2026'!AD$6)</f>
        <v>0</v>
      </c>
      <c r="AE10" s="148">
        <f>COUNTIFS('2026 Time Off Request'!$A:$A,'Aug 2026'!$D10,'2026 Time Off Request'!$L:$L,'Aug 2026'!AE$6)</f>
        <v>0</v>
      </c>
      <c r="AF10" s="148">
        <f>COUNTIFS('2026 Time Off Request'!$A:$A,'Aug 2026'!$D10,'2026 Time Off Request'!$L:$L,'Aug 2026'!AF$6)</f>
        <v>0</v>
      </c>
      <c r="AG10" s="148">
        <f>COUNTIFS('2026 Time Off Request'!$A:$A,'Aug 2026'!$D10,'2026 Time Off Request'!$L:$L,'Aug 2026'!AG$6)</f>
        <v>0</v>
      </c>
      <c r="AH10" s="147">
        <f>COUNTIFS('2026 Time Off Request'!$A:$A,'Aug 2026'!$D10,'2026 Time Off Request'!$L:$L,'Aug 2026'!AH$6)</f>
        <v>0</v>
      </c>
      <c r="AI10" s="147">
        <f>COUNTIFS('2026 Time Off Request'!$A:$A,'Aug 2026'!$D10,'2026 Time Off Request'!$L:$L,'Aug 2026'!AI$6)</f>
        <v>0</v>
      </c>
      <c r="AJ10" s="148">
        <f>COUNTIFS('2026 Time Off Request'!$A:$A,'Aug 2026'!$D10,'2026 Time Off Request'!$L:$L,'Aug 2026'!AJ$6)</f>
        <v>0</v>
      </c>
    </row>
    <row r="11" spans="1:39" ht="15.75">
      <c r="A11" s="2">
        <v>4</v>
      </c>
      <c r="B11" s="209" t="s">
        <v>25</v>
      </c>
      <c r="C11" s="210" t="s">
        <v>32</v>
      </c>
      <c r="D11" s="215" t="s">
        <v>33</v>
      </c>
      <c r="E11" s="212">
        <f t="shared" si="2"/>
        <v>0</v>
      </c>
      <c r="F11" s="213">
        <f>COUNTIFS('2026 Time Off Request'!$A:$A,'Aug 2026'!$D11,'2026 Time Off Request'!$L:$L,'Aug 2026'!F$6)</f>
        <v>0</v>
      </c>
      <c r="G11" s="147">
        <f>COUNTIFS('2026 Time Off Request'!$A:$A,'Aug 2026'!$D11,'2026 Time Off Request'!$L:$L,'Aug 2026'!G$6)</f>
        <v>0</v>
      </c>
      <c r="H11" s="224">
        <f>COUNTIFS('2026 Time Off Request'!$A:$A,'Aug 2026'!$D11,'2026 Time Off Request'!$L:$L,'Aug 2026'!H$6)</f>
        <v>0</v>
      </c>
      <c r="I11" s="148">
        <f>COUNTIFS('2026 Time Off Request'!$A:$A,'Aug 2026'!$D11,'2026 Time Off Request'!$L:$L,'Aug 2026'!I$6)</f>
        <v>0</v>
      </c>
      <c r="J11" s="148">
        <f>COUNTIFS('2026 Time Off Request'!$A:$A,'Aug 2026'!$D11,'2026 Time Off Request'!$L:$L,'Aug 2026'!J$6)</f>
        <v>0</v>
      </c>
      <c r="K11" s="148">
        <f>COUNTIFS('2026 Time Off Request'!$A:$A,'Aug 2026'!$D11,'2026 Time Off Request'!$L:$L,'Aug 2026'!K$6)</f>
        <v>0</v>
      </c>
      <c r="L11" s="148">
        <f>COUNTIFS('2026 Time Off Request'!$A:$A,'Aug 2026'!$D11,'2026 Time Off Request'!$L:$L,'Aug 2026'!L$6)</f>
        <v>0</v>
      </c>
      <c r="M11" s="147">
        <f>COUNTIFS('2026 Time Off Request'!$A:$A,'Aug 2026'!$D11,'2026 Time Off Request'!$L:$L,'Aug 2026'!M$6)</f>
        <v>0</v>
      </c>
      <c r="N11" s="147">
        <f>COUNTIFS('2026 Time Off Request'!$A:$A,'Aug 2026'!$D11,'2026 Time Off Request'!$L:$L,'Aug 2026'!N$6)</f>
        <v>0</v>
      </c>
      <c r="O11" s="148">
        <f>COUNTIFS('2026 Time Off Request'!$A:$A,'Aug 2026'!$D11,'2026 Time Off Request'!$L:$L,'Aug 2026'!O$6)</f>
        <v>0</v>
      </c>
      <c r="P11" s="148">
        <f>COUNTIFS('2026 Time Off Request'!$A:$A,'Aug 2026'!$D11,'2026 Time Off Request'!$L:$L,'Aug 2026'!P$6)</f>
        <v>0</v>
      </c>
      <c r="Q11" s="148">
        <f>COUNTIFS('2026 Time Off Request'!$A:$A,'Aug 2026'!$D11,'2026 Time Off Request'!$L:$L,'Aug 2026'!Q$6)</f>
        <v>0</v>
      </c>
      <c r="R11" s="148">
        <f>COUNTIFS('2026 Time Off Request'!$A:$A,'Aug 2026'!$D11,'2026 Time Off Request'!$L:$L,'Aug 2026'!R$6)</f>
        <v>0</v>
      </c>
      <c r="S11" s="148">
        <f>COUNTIFS('2026 Time Off Request'!$A:$A,'Aug 2026'!$D11,'2026 Time Off Request'!$L:$L,'Aug 2026'!S$6)</f>
        <v>0</v>
      </c>
      <c r="T11" s="147">
        <f>COUNTIFS('2026 Time Off Request'!$A:$A,'Aug 2026'!$D11,'2026 Time Off Request'!$L:$L,'Aug 2026'!T$6)</f>
        <v>0</v>
      </c>
      <c r="U11" s="147">
        <f>COUNTIFS('2026 Time Off Request'!$A:$A,'Aug 2026'!$D11,'2026 Time Off Request'!$L:$L,'Aug 2026'!U$6)</f>
        <v>0</v>
      </c>
      <c r="V11" s="148">
        <f>COUNTIFS('2026 Time Off Request'!$A:$A,'Aug 2026'!$D11,'2026 Time Off Request'!$L:$L,'Aug 2026'!V$6)</f>
        <v>0</v>
      </c>
      <c r="W11" s="148">
        <f>COUNTIFS('2026 Time Off Request'!$A:$A,'Aug 2026'!$D11,'2026 Time Off Request'!$L:$L,'Aug 2026'!W$6)</f>
        <v>0</v>
      </c>
      <c r="X11" s="148">
        <f>COUNTIFS('2026 Time Off Request'!$A:$A,'Aug 2026'!$D11,'2026 Time Off Request'!$L:$L,'Aug 2026'!X$6)</f>
        <v>0</v>
      </c>
      <c r="Y11" s="148">
        <f>COUNTIFS('2026 Time Off Request'!$A:$A,'Aug 2026'!$D11,'2026 Time Off Request'!$L:$L,'Aug 2026'!Y$6)</f>
        <v>0</v>
      </c>
      <c r="Z11" s="148">
        <f>COUNTIFS('2026 Time Off Request'!$A:$A,'Aug 2026'!$D11,'2026 Time Off Request'!$L:$L,'Aug 2026'!Z$6)</f>
        <v>0</v>
      </c>
      <c r="AA11" s="147">
        <f>COUNTIFS('2026 Time Off Request'!$A:$A,'Aug 2026'!$D11,'2026 Time Off Request'!$L:$L,'Aug 2026'!AA$6)</f>
        <v>0</v>
      </c>
      <c r="AB11" s="147">
        <f>COUNTIFS('2026 Time Off Request'!$A:$A,'Aug 2026'!$D11,'2026 Time Off Request'!$L:$L,'Aug 2026'!AB$6)</f>
        <v>0</v>
      </c>
      <c r="AC11" s="148">
        <f>COUNTIFS('2026 Time Off Request'!$A:$A,'Aug 2026'!$D11,'2026 Time Off Request'!$L:$L,'Aug 2026'!AC$6)</f>
        <v>0</v>
      </c>
      <c r="AD11" s="148">
        <f>COUNTIFS('2026 Time Off Request'!$A:$A,'Aug 2026'!$D11,'2026 Time Off Request'!$L:$L,'Aug 2026'!AD$6)</f>
        <v>0</v>
      </c>
      <c r="AE11" s="148">
        <f>COUNTIFS('2026 Time Off Request'!$A:$A,'Aug 2026'!$D11,'2026 Time Off Request'!$L:$L,'Aug 2026'!AE$6)</f>
        <v>0</v>
      </c>
      <c r="AF11" s="148">
        <f>COUNTIFS('2026 Time Off Request'!$A:$A,'Aug 2026'!$D11,'2026 Time Off Request'!$L:$L,'Aug 2026'!AF$6)</f>
        <v>0</v>
      </c>
      <c r="AG11" s="148">
        <f>COUNTIFS('2026 Time Off Request'!$A:$A,'Aug 2026'!$D11,'2026 Time Off Request'!$L:$L,'Aug 2026'!AG$6)</f>
        <v>0</v>
      </c>
      <c r="AH11" s="147">
        <f>COUNTIFS('2026 Time Off Request'!$A:$A,'Aug 2026'!$D11,'2026 Time Off Request'!$L:$L,'Aug 2026'!AH$6)</f>
        <v>0</v>
      </c>
      <c r="AI11" s="147">
        <f>COUNTIFS('2026 Time Off Request'!$A:$A,'Aug 2026'!$D11,'2026 Time Off Request'!$L:$L,'Aug 2026'!AI$6)</f>
        <v>0</v>
      </c>
      <c r="AJ11" s="148">
        <f>COUNTIFS('2026 Time Off Request'!$A:$A,'Aug 2026'!$D11,'2026 Time Off Request'!$L:$L,'Aug 2026'!AJ$6)</f>
        <v>0</v>
      </c>
    </row>
    <row r="12" spans="1:39" ht="15.75">
      <c r="A12" s="2">
        <v>5</v>
      </c>
      <c r="B12" s="209" t="s">
        <v>25</v>
      </c>
      <c r="C12" s="210" t="s">
        <v>34</v>
      </c>
      <c r="D12" s="215" t="s">
        <v>35</v>
      </c>
      <c r="E12" s="212">
        <f t="shared" si="2"/>
        <v>0</v>
      </c>
      <c r="F12" s="213">
        <f>COUNTIFS('2026 Time Off Request'!$A:$A,'Aug 2026'!$D12,'2026 Time Off Request'!$L:$L,'Aug 2026'!F$6)</f>
        <v>0</v>
      </c>
      <c r="G12" s="147">
        <f>COUNTIFS('2026 Time Off Request'!$A:$A,'Aug 2026'!$D12,'2026 Time Off Request'!$L:$L,'Aug 2026'!G$6)</f>
        <v>0</v>
      </c>
      <c r="H12" s="224">
        <f>COUNTIFS('2026 Time Off Request'!$A:$A,'Aug 2026'!$D12,'2026 Time Off Request'!$L:$L,'Aug 2026'!H$6)</f>
        <v>0</v>
      </c>
      <c r="I12" s="148">
        <f>COUNTIFS('2026 Time Off Request'!$A:$A,'Aug 2026'!$D12,'2026 Time Off Request'!$L:$L,'Aug 2026'!I$6)</f>
        <v>0</v>
      </c>
      <c r="J12" s="148">
        <f>COUNTIFS('2026 Time Off Request'!$A:$A,'Aug 2026'!$D12,'2026 Time Off Request'!$L:$L,'Aug 2026'!J$6)</f>
        <v>0</v>
      </c>
      <c r="K12" s="148">
        <f>COUNTIFS('2026 Time Off Request'!$A:$A,'Aug 2026'!$D12,'2026 Time Off Request'!$L:$L,'Aug 2026'!K$6)</f>
        <v>0</v>
      </c>
      <c r="L12" s="148">
        <f>COUNTIFS('2026 Time Off Request'!$A:$A,'Aug 2026'!$D12,'2026 Time Off Request'!$L:$L,'Aug 2026'!L$6)</f>
        <v>0</v>
      </c>
      <c r="M12" s="147">
        <f>COUNTIFS('2026 Time Off Request'!$A:$A,'Aug 2026'!$D12,'2026 Time Off Request'!$L:$L,'Aug 2026'!M$6)</f>
        <v>0</v>
      </c>
      <c r="N12" s="147">
        <f>COUNTIFS('2026 Time Off Request'!$A:$A,'Aug 2026'!$D12,'2026 Time Off Request'!$L:$L,'Aug 2026'!N$6)</f>
        <v>0</v>
      </c>
      <c r="O12" s="148">
        <f>COUNTIFS('2026 Time Off Request'!$A:$A,'Aug 2026'!$D12,'2026 Time Off Request'!$L:$L,'Aug 2026'!O$6)</f>
        <v>0</v>
      </c>
      <c r="P12" s="148">
        <f>COUNTIFS('2026 Time Off Request'!$A:$A,'Aug 2026'!$D12,'2026 Time Off Request'!$L:$L,'Aug 2026'!P$6)</f>
        <v>0</v>
      </c>
      <c r="Q12" s="148">
        <f>COUNTIFS('2026 Time Off Request'!$A:$A,'Aug 2026'!$D12,'2026 Time Off Request'!$L:$L,'Aug 2026'!Q$6)</f>
        <v>0</v>
      </c>
      <c r="R12" s="148">
        <f>COUNTIFS('2026 Time Off Request'!$A:$A,'Aug 2026'!$D12,'2026 Time Off Request'!$L:$L,'Aug 2026'!R$6)</f>
        <v>0</v>
      </c>
      <c r="S12" s="148">
        <f>COUNTIFS('2026 Time Off Request'!$A:$A,'Aug 2026'!$D12,'2026 Time Off Request'!$L:$L,'Aug 2026'!S$6)</f>
        <v>0</v>
      </c>
      <c r="T12" s="147">
        <f>COUNTIFS('2026 Time Off Request'!$A:$A,'Aug 2026'!$D12,'2026 Time Off Request'!$L:$L,'Aug 2026'!T$6)</f>
        <v>0</v>
      </c>
      <c r="U12" s="147">
        <f>COUNTIFS('2026 Time Off Request'!$A:$A,'Aug 2026'!$D12,'2026 Time Off Request'!$L:$L,'Aug 2026'!U$6)</f>
        <v>0</v>
      </c>
      <c r="V12" s="148">
        <f>COUNTIFS('2026 Time Off Request'!$A:$A,'Aug 2026'!$D12,'2026 Time Off Request'!$L:$L,'Aug 2026'!V$6)</f>
        <v>0</v>
      </c>
      <c r="W12" s="148">
        <f>COUNTIFS('2026 Time Off Request'!$A:$A,'Aug 2026'!$D12,'2026 Time Off Request'!$L:$L,'Aug 2026'!W$6)</f>
        <v>0</v>
      </c>
      <c r="X12" s="148">
        <f>COUNTIFS('2026 Time Off Request'!$A:$A,'Aug 2026'!$D12,'2026 Time Off Request'!$L:$L,'Aug 2026'!X$6)</f>
        <v>0</v>
      </c>
      <c r="Y12" s="148">
        <f>COUNTIFS('2026 Time Off Request'!$A:$A,'Aug 2026'!$D12,'2026 Time Off Request'!$L:$L,'Aug 2026'!Y$6)</f>
        <v>0</v>
      </c>
      <c r="Z12" s="148">
        <f>COUNTIFS('2026 Time Off Request'!$A:$A,'Aug 2026'!$D12,'2026 Time Off Request'!$L:$L,'Aug 2026'!Z$6)</f>
        <v>0</v>
      </c>
      <c r="AA12" s="147">
        <f>COUNTIFS('2026 Time Off Request'!$A:$A,'Aug 2026'!$D12,'2026 Time Off Request'!$L:$L,'Aug 2026'!AA$6)</f>
        <v>0</v>
      </c>
      <c r="AB12" s="147">
        <f>COUNTIFS('2026 Time Off Request'!$A:$A,'Aug 2026'!$D12,'2026 Time Off Request'!$L:$L,'Aug 2026'!AB$6)</f>
        <v>0</v>
      </c>
      <c r="AC12" s="148">
        <f>COUNTIFS('2026 Time Off Request'!$A:$A,'Aug 2026'!$D12,'2026 Time Off Request'!$L:$L,'Aug 2026'!AC$6)</f>
        <v>0</v>
      </c>
      <c r="AD12" s="148">
        <f>COUNTIFS('2026 Time Off Request'!$A:$A,'Aug 2026'!$D12,'2026 Time Off Request'!$L:$L,'Aug 2026'!AD$6)</f>
        <v>0</v>
      </c>
      <c r="AE12" s="148">
        <f>COUNTIFS('2026 Time Off Request'!$A:$A,'Aug 2026'!$D12,'2026 Time Off Request'!$L:$L,'Aug 2026'!AE$6)</f>
        <v>0</v>
      </c>
      <c r="AF12" s="148">
        <f>COUNTIFS('2026 Time Off Request'!$A:$A,'Aug 2026'!$D12,'2026 Time Off Request'!$L:$L,'Aug 2026'!AF$6)</f>
        <v>0</v>
      </c>
      <c r="AG12" s="148">
        <f>COUNTIFS('2026 Time Off Request'!$A:$A,'Aug 2026'!$D12,'2026 Time Off Request'!$L:$L,'Aug 2026'!AG$6)</f>
        <v>0</v>
      </c>
      <c r="AH12" s="147">
        <f>COUNTIFS('2026 Time Off Request'!$A:$A,'Aug 2026'!$D12,'2026 Time Off Request'!$L:$L,'Aug 2026'!AH$6)</f>
        <v>0</v>
      </c>
      <c r="AI12" s="147">
        <f>COUNTIFS('2026 Time Off Request'!$A:$A,'Aug 2026'!$D12,'2026 Time Off Request'!$L:$L,'Aug 2026'!AI$6)</f>
        <v>0</v>
      </c>
      <c r="AJ12" s="148">
        <f>COUNTIFS('2026 Time Off Request'!$A:$A,'Aug 2026'!$D12,'2026 Time Off Request'!$L:$L,'Aug 2026'!AJ$6)</f>
        <v>0</v>
      </c>
    </row>
    <row r="13" spans="1:39" ht="15.75">
      <c r="A13" s="2">
        <v>7</v>
      </c>
      <c r="B13" s="209" t="s">
        <v>36</v>
      </c>
      <c r="C13" s="210" t="s">
        <v>37</v>
      </c>
      <c r="D13" s="215" t="s">
        <v>38</v>
      </c>
      <c r="E13" s="212">
        <f t="shared" si="2"/>
        <v>0</v>
      </c>
      <c r="F13" s="213">
        <f>COUNTIFS('2026 Time Off Request'!$A:$A,'Aug 2026'!$D13,'2026 Time Off Request'!$L:$L,'Aug 2026'!F$6)</f>
        <v>0</v>
      </c>
      <c r="G13" s="147">
        <f>COUNTIFS('2026 Time Off Request'!$A:$A,'Aug 2026'!$D13,'2026 Time Off Request'!$L:$L,'Aug 2026'!G$6)</f>
        <v>0</v>
      </c>
      <c r="H13" s="224">
        <f>COUNTIFS('2026 Time Off Request'!$A:$A,'Aug 2026'!$D13,'2026 Time Off Request'!$L:$L,'Aug 2026'!H$6)</f>
        <v>0</v>
      </c>
      <c r="I13" s="148">
        <f>COUNTIFS('2026 Time Off Request'!$A:$A,'Aug 2026'!$D13,'2026 Time Off Request'!$L:$L,'Aug 2026'!I$6)</f>
        <v>0</v>
      </c>
      <c r="J13" s="148">
        <f>COUNTIFS('2026 Time Off Request'!$A:$A,'Aug 2026'!$D13,'2026 Time Off Request'!$L:$L,'Aug 2026'!J$6)</f>
        <v>0</v>
      </c>
      <c r="K13" s="148">
        <f>COUNTIFS('2026 Time Off Request'!$A:$A,'Aug 2026'!$D13,'2026 Time Off Request'!$L:$L,'Aug 2026'!K$6)</f>
        <v>0</v>
      </c>
      <c r="L13" s="148">
        <f>COUNTIFS('2026 Time Off Request'!$A:$A,'Aug 2026'!$D13,'2026 Time Off Request'!$L:$L,'Aug 2026'!L$6)</f>
        <v>0</v>
      </c>
      <c r="M13" s="147">
        <f>COUNTIFS('2026 Time Off Request'!$A:$A,'Aug 2026'!$D13,'2026 Time Off Request'!$L:$L,'Aug 2026'!M$6)</f>
        <v>0</v>
      </c>
      <c r="N13" s="147">
        <f>COUNTIFS('2026 Time Off Request'!$A:$A,'Aug 2026'!$D13,'2026 Time Off Request'!$L:$L,'Aug 2026'!N$6)</f>
        <v>0</v>
      </c>
      <c r="O13" s="148">
        <f>COUNTIFS('2026 Time Off Request'!$A:$A,'Aug 2026'!$D13,'2026 Time Off Request'!$L:$L,'Aug 2026'!O$6)</f>
        <v>0</v>
      </c>
      <c r="P13" s="148">
        <f>COUNTIFS('2026 Time Off Request'!$A:$A,'Aug 2026'!$D13,'2026 Time Off Request'!$L:$L,'Aug 2026'!P$6)</f>
        <v>0</v>
      </c>
      <c r="Q13" s="148">
        <f>COUNTIFS('2026 Time Off Request'!$A:$A,'Aug 2026'!$D13,'2026 Time Off Request'!$L:$L,'Aug 2026'!Q$6)</f>
        <v>0</v>
      </c>
      <c r="R13" s="148">
        <f>COUNTIFS('2026 Time Off Request'!$A:$A,'Aug 2026'!$D13,'2026 Time Off Request'!$L:$L,'Aug 2026'!R$6)</f>
        <v>0</v>
      </c>
      <c r="S13" s="148">
        <f>COUNTIFS('2026 Time Off Request'!$A:$A,'Aug 2026'!$D13,'2026 Time Off Request'!$L:$L,'Aug 2026'!S$6)</f>
        <v>0</v>
      </c>
      <c r="T13" s="147">
        <f>COUNTIFS('2026 Time Off Request'!$A:$A,'Aug 2026'!$D13,'2026 Time Off Request'!$L:$L,'Aug 2026'!T$6)</f>
        <v>0</v>
      </c>
      <c r="U13" s="147">
        <f>COUNTIFS('2026 Time Off Request'!$A:$A,'Aug 2026'!$D13,'2026 Time Off Request'!$L:$L,'Aug 2026'!U$6)</f>
        <v>0</v>
      </c>
      <c r="V13" s="148">
        <f>COUNTIFS('2026 Time Off Request'!$A:$A,'Aug 2026'!$D13,'2026 Time Off Request'!$L:$L,'Aug 2026'!V$6)</f>
        <v>0</v>
      </c>
      <c r="W13" s="148">
        <f>COUNTIFS('2026 Time Off Request'!$A:$A,'Aug 2026'!$D13,'2026 Time Off Request'!$L:$L,'Aug 2026'!W$6)</f>
        <v>0</v>
      </c>
      <c r="X13" s="148">
        <f>COUNTIFS('2026 Time Off Request'!$A:$A,'Aug 2026'!$D13,'2026 Time Off Request'!$L:$L,'Aug 2026'!X$6)</f>
        <v>0</v>
      </c>
      <c r="Y13" s="148">
        <f>COUNTIFS('2026 Time Off Request'!$A:$A,'Aug 2026'!$D13,'2026 Time Off Request'!$L:$L,'Aug 2026'!Y$6)</f>
        <v>0</v>
      </c>
      <c r="Z13" s="148">
        <f>COUNTIFS('2026 Time Off Request'!$A:$A,'Aug 2026'!$D13,'2026 Time Off Request'!$L:$L,'Aug 2026'!Z$6)</f>
        <v>0</v>
      </c>
      <c r="AA13" s="147">
        <f>COUNTIFS('2026 Time Off Request'!$A:$A,'Aug 2026'!$D13,'2026 Time Off Request'!$L:$L,'Aug 2026'!AA$6)</f>
        <v>0</v>
      </c>
      <c r="AB13" s="147">
        <f>COUNTIFS('2026 Time Off Request'!$A:$A,'Aug 2026'!$D13,'2026 Time Off Request'!$L:$L,'Aug 2026'!AB$6)</f>
        <v>0</v>
      </c>
      <c r="AC13" s="148">
        <f>COUNTIFS('2026 Time Off Request'!$A:$A,'Aug 2026'!$D13,'2026 Time Off Request'!$L:$L,'Aug 2026'!AC$6)</f>
        <v>0</v>
      </c>
      <c r="AD13" s="148">
        <f>COUNTIFS('2026 Time Off Request'!$A:$A,'Aug 2026'!$D13,'2026 Time Off Request'!$L:$L,'Aug 2026'!AD$6)</f>
        <v>0</v>
      </c>
      <c r="AE13" s="148">
        <f>COUNTIFS('2026 Time Off Request'!$A:$A,'Aug 2026'!$D13,'2026 Time Off Request'!$L:$L,'Aug 2026'!AE$6)</f>
        <v>0</v>
      </c>
      <c r="AF13" s="148">
        <f>COUNTIFS('2026 Time Off Request'!$A:$A,'Aug 2026'!$D13,'2026 Time Off Request'!$L:$L,'Aug 2026'!AF$6)</f>
        <v>0</v>
      </c>
      <c r="AG13" s="148">
        <f>COUNTIFS('2026 Time Off Request'!$A:$A,'Aug 2026'!$D13,'2026 Time Off Request'!$L:$L,'Aug 2026'!AG$6)</f>
        <v>0</v>
      </c>
      <c r="AH13" s="147">
        <f>COUNTIFS('2026 Time Off Request'!$A:$A,'Aug 2026'!$D13,'2026 Time Off Request'!$L:$L,'Aug 2026'!AH$6)</f>
        <v>0</v>
      </c>
      <c r="AI13" s="147">
        <f>COUNTIFS('2026 Time Off Request'!$A:$A,'Aug 2026'!$D13,'2026 Time Off Request'!$L:$L,'Aug 2026'!AI$6)</f>
        <v>0</v>
      </c>
      <c r="AJ13" s="148">
        <f>COUNTIFS('2026 Time Off Request'!$A:$A,'Aug 2026'!$D13,'2026 Time Off Request'!$L:$L,'Aug 2026'!AJ$6)</f>
        <v>0</v>
      </c>
    </row>
    <row r="14" spans="1:39" ht="15.75">
      <c r="A14" s="2">
        <v>8</v>
      </c>
      <c r="B14" s="209" t="s">
        <v>36</v>
      </c>
      <c r="C14" s="210" t="s">
        <v>37</v>
      </c>
      <c r="D14" s="215" t="s">
        <v>39</v>
      </c>
      <c r="E14" s="212">
        <f t="shared" si="2"/>
        <v>0</v>
      </c>
      <c r="F14" s="213">
        <f>COUNTIFS('2026 Time Off Request'!$A:$A,'Aug 2026'!$D14,'2026 Time Off Request'!$L:$L,'Aug 2026'!F$6)</f>
        <v>0</v>
      </c>
      <c r="G14" s="147">
        <f>COUNTIFS('2026 Time Off Request'!$A:$A,'Aug 2026'!$D14,'2026 Time Off Request'!$L:$L,'Aug 2026'!G$6)</f>
        <v>0</v>
      </c>
      <c r="H14" s="224">
        <f>COUNTIFS('2026 Time Off Request'!$A:$A,'Aug 2026'!$D14,'2026 Time Off Request'!$L:$L,'Aug 2026'!H$6)</f>
        <v>0</v>
      </c>
      <c r="I14" s="148">
        <f>COUNTIFS('2026 Time Off Request'!$A:$A,'Aug 2026'!$D14,'2026 Time Off Request'!$L:$L,'Aug 2026'!I$6)</f>
        <v>0</v>
      </c>
      <c r="J14" s="148">
        <f>COUNTIFS('2026 Time Off Request'!$A:$A,'Aug 2026'!$D14,'2026 Time Off Request'!$L:$L,'Aug 2026'!J$6)</f>
        <v>0</v>
      </c>
      <c r="K14" s="148">
        <f>COUNTIFS('2026 Time Off Request'!$A:$A,'Aug 2026'!$D14,'2026 Time Off Request'!$L:$L,'Aug 2026'!K$6)</f>
        <v>0</v>
      </c>
      <c r="L14" s="148">
        <f>COUNTIFS('2026 Time Off Request'!$A:$A,'Aug 2026'!$D14,'2026 Time Off Request'!$L:$L,'Aug 2026'!L$6)</f>
        <v>0</v>
      </c>
      <c r="M14" s="147">
        <f>COUNTIFS('2026 Time Off Request'!$A:$A,'Aug 2026'!$D14,'2026 Time Off Request'!$L:$L,'Aug 2026'!M$6)</f>
        <v>0</v>
      </c>
      <c r="N14" s="147">
        <f>COUNTIFS('2026 Time Off Request'!$A:$A,'Aug 2026'!$D14,'2026 Time Off Request'!$L:$L,'Aug 2026'!N$6)</f>
        <v>0</v>
      </c>
      <c r="O14" s="148">
        <f>COUNTIFS('2026 Time Off Request'!$A:$A,'Aug 2026'!$D14,'2026 Time Off Request'!$L:$L,'Aug 2026'!O$6)</f>
        <v>0</v>
      </c>
      <c r="P14" s="148">
        <f>COUNTIFS('2026 Time Off Request'!$A:$A,'Aug 2026'!$D14,'2026 Time Off Request'!$L:$L,'Aug 2026'!P$6)</f>
        <v>0</v>
      </c>
      <c r="Q14" s="148">
        <f>COUNTIFS('2026 Time Off Request'!$A:$A,'Aug 2026'!$D14,'2026 Time Off Request'!$L:$L,'Aug 2026'!Q$6)</f>
        <v>0</v>
      </c>
      <c r="R14" s="148">
        <f>COUNTIFS('2026 Time Off Request'!$A:$A,'Aug 2026'!$D14,'2026 Time Off Request'!$L:$L,'Aug 2026'!R$6)</f>
        <v>0</v>
      </c>
      <c r="S14" s="148">
        <f>COUNTIFS('2026 Time Off Request'!$A:$A,'Aug 2026'!$D14,'2026 Time Off Request'!$L:$L,'Aug 2026'!S$6)</f>
        <v>0</v>
      </c>
      <c r="T14" s="147">
        <f>COUNTIFS('2026 Time Off Request'!$A:$A,'Aug 2026'!$D14,'2026 Time Off Request'!$L:$L,'Aug 2026'!T$6)</f>
        <v>0</v>
      </c>
      <c r="U14" s="147">
        <f>COUNTIFS('2026 Time Off Request'!$A:$A,'Aug 2026'!$D14,'2026 Time Off Request'!$L:$L,'Aug 2026'!U$6)</f>
        <v>0</v>
      </c>
      <c r="V14" s="148">
        <f>COUNTIFS('2026 Time Off Request'!$A:$A,'Aug 2026'!$D14,'2026 Time Off Request'!$L:$L,'Aug 2026'!V$6)</f>
        <v>0</v>
      </c>
      <c r="W14" s="148">
        <f>COUNTIFS('2026 Time Off Request'!$A:$A,'Aug 2026'!$D14,'2026 Time Off Request'!$L:$L,'Aug 2026'!W$6)</f>
        <v>0</v>
      </c>
      <c r="X14" s="148">
        <f>COUNTIFS('2026 Time Off Request'!$A:$A,'Aug 2026'!$D14,'2026 Time Off Request'!$L:$L,'Aug 2026'!X$6)</f>
        <v>0</v>
      </c>
      <c r="Y14" s="148">
        <f>COUNTIFS('2026 Time Off Request'!$A:$A,'Aug 2026'!$D14,'2026 Time Off Request'!$L:$L,'Aug 2026'!Y$6)</f>
        <v>0</v>
      </c>
      <c r="Z14" s="148">
        <f>COUNTIFS('2026 Time Off Request'!$A:$A,'Aug 2026'!$D14,'2026 Time Off Request'!$L:$L,'Aug 2026'!Z$6)</f>
        <v>0</v>
      </c>
      <c r="AA14" s="147">
        <f>COUNTIFS('2026 Time Off Request'!$A:$A,'Aug 2026'!$D14,'2026 Time Off Request'!$L:$L,'Aug 2026'!AA$6)</f>
        <v>0</v>
      </c>
      <c r="AB14" s="147">
        <f>COUNTIFS('2026 Time Off Request'!$A:$A,'Aug 2026'!$D14,'2026 Time Off Request'!$L:$L,'Aug 2026'!AB$6)</f>
        <v>0</v>
      </c>
      <c r="AC14" s="148">
        <f>COUNTIFS('2026 Time Off Request'!$A:$A,'Aug 2026'!$D14,'2026 Time Off Request'!$L:$L,'Aug 2026'!AC$6)</f>
        <v>0</v>
      </c>
      <c r="AD14" s="148">
        <f>COUNTIFS('2026 Time Off Request'!$A:$A,'Aug 2026'!$D14,'2026 Time Off Request'!$L:$L,'Aug 2026'!AD$6)</f>
        <v>0</v>
      </c>
      <c r="AE14" s="148">
        <f>COUNTIFS('2026 Time Off Request'!$A:$A,'Aug 2026'!$D14,'2026 Time Off Request'!$L:$L,'Aug 2026'!AE$6)</f>
        <v>0</v>
      </c>
      <c r="AF14" s="148">
        <f>COUNTIFS('2026 Time Off Request'!$A:$A,'Aug 2026'!$D14,'2026 Time Off Request'!$L:$L,'Aug 2026'!AF$6)</f>
        <v>0</v>
      </c>
      <c r="AG14" s="148">
        <f>COUNTIFS('2026 Time Off Request'!$A:$A,'Aug 2026'!$D14,'2026 Time Off Request'!$L:$L,'Aug 2026'!AG$6)</f>
        <v>0</v>
      </c>
      <c r="AH14" s="147">
        <f>COUNTIFS('2026 Time Off Request'!$A:$A,'Aug 2026'!$D14,'2026 Time Off Request'!$L:$L,'Aug 2026'!AH$6)</f>
        <v>0</v>
      </c>
      <c r="AI14" s="147">
        <f>COUNTIFS('2026 Time Off Request'!$A:$A,'Aug 2026'!$D14,'2026 Time Off Request'!$L:$L,'Aug 2026'!AI$6)</f>
        <v>0</v>
      </c>
      <c r="AJ14" s="148">
        <f>COUNTIFS('2026 Time Off Request'!$A:$A,'Aug 2026'!$D14,'2026 Time Off Request'!$L:$L,'Aug 2026'!AJ$6)</f>
        <v>0</v>
      </c>
    </row>
    <row r="15" spans="1:39" ht="15.75">
      <c r="A15" s="2">
        <v>9</v>
      </c>
      <c r="B15" s="209" t="s">
        <v>36</v>
      </c>
      <c r="C15" s="210" t="s">
        <v>37</v>
      </c>
      <c r="D15" s="215" t="s">
        <v>40</v>
      </c>
      <c r="E15" s="212">
        <f t="shared" si="2"/>
        <v>0</v>
      </c>
      <c r="F15" s="213">
        <f>COUNTIFS('2026 Time Off Request'!$A:$A,'Aug 2026'!$D15,'2026 Time Off Request'!$L:$L,'Aug 2026'!F$6)</f>
        <v>0</v>
      </c>
      <c r="G15" s="147">
        <f>COUNTIFS('2026 Time Off Request'!$A:$A,'Aug 2026'!$D15,'2026 Time Off Request'!$L:$L,'Aug 2026'!G$6)</f>
        <v>0</v>
      </c>
      <c r="H15" s="224">
        <f>COUNTIFS('2026 Time Off Request'!$A:$A,'Aug 2026'!$D15,'2026 Time Off Request'!$L:$L,'Aug 2026'!H$6)</f>
        <v>0</v>
      </c>
      <c r="I15" s="148">
        <f>COUNTIFS('2026 Time Off Request'!$A:$A,'Aug 2026'!$D15,'2026 Time Off Request'!$L:$L,'Aug 2026'!I$6)</f>
        <v>0</v>
      </c>
      <c r="J15" s="148">
        <f>COUNTIFS('2026 Time Off Request'!$A:$A,'Aug 2026'!$D15,'2026 Time Off Request'!$L:$L,'Aug 2026'!J$6)</f>
        <v>0</v>
      </c>
      <c r="K15" s="148">
        <f>COUNTIFS('2026 Time Off Request'!$A:$A,'Aug 2026'!$D15,'2026 Time Off Request'!$L:$L,'Aug 2026'!K$6)</f>
        <v>0</v>
      </c>
      <c r="L15" s="148">
        <f>COUNTIFS('2026 Time Off Request'!$A:$A,'Aug 2026'!$D15,'2026 Time Off Request'!$L:$L,'Aug 2026'!L$6)</f>
        <v>0</v>
      </c>
      <c r="M15" s="147">
        <f>COUNTIFS('2026 Time Off Request'!$A:$A,'Aug 2026'!$D15,'2026 Time Off Request'!$L:$L,'Aug 2026'!M$6)</f>
        <v>0</v>
      </c>
      <c r="N15" s="147">
        <f>COUNTIFS('2026 Time Off Request'!$A:$A,'Aug 2026'!$D15,'2026 Time Off Request'!$L:$L,'Aug 2026'!N$6)</f>
        <v>0</v>
      </c>
      <c r="O15" s="148">
        <f>COUNTIFS('2026 Time Off Request'!$A:$A,'Aug 2026'!$D15,'2026 Time Off Request'!$L:$L,'Aug 2026'!O$6)</f>
        <v>0</v>
      </c>
      <c r="P15" s="148">
        <f>COUNTIFS('2026 Time Off Request'!$A:$A,'Aug 2026'!$D15,'2026 Time Off Request'!$L:$L,'Aug 2026'!P$6)</f>
        <v>0</v>
      </c>
      <c r="Q15" s="148">
        <f>COUNTIFS('2026 Time Off Request'!$A:$A,'Aug 2026'!$D15,'2026 Time Off Request'!$L:$L,'Aug 2026'!Q$6)</f>
        <v>0</v>
      </c>
      <c r="R15" s="148">
        <f>COUNTIFS('2026 Time Off Request'!$A:$A,'Aug 2026'!$D15,'2026 Time Off Request'!$L:$L,'Aug 2026'!R$6)</f>
        <v>0</v>
      </c>
      <c r="S15" s="148">
        <f>COUNTIFS('2026 Time Off Request'!$A:$A,'Aug 2026'!$D15,'2026 Time Off Request'!$L:$L,'Aug 2026'!S$6)</f>
        <v>0</v>
      </c>
      <c r="T15" s="147">
        <f>COUNTIFS('2026 Time Off Request'!$A:$A,'Aug 2026'!$D15,'2026 Time Off Request'!$L:$L,'Aug 2026'!T$6)</f>
        <v>0</v>
      </c>
      <c r="U15" s="147">
        <f>COUNTIFS('2026 Time Off Request'!$A:$A,'Aug 2026'!$D15,'2026 Time Off Request'!$L:$L,'Aug 2026'!U$6)</f>
        <v>0</v>
      </c>
      <c r="V15" s="148">
        <f>COUNTIFS('2026 Time Off Request'!$A:$A,'Aug 2026'!$D15,'2026 Time Off Request'!$L:$L,'Aug 2026'!V$6)</f>
        <v>0</v>
      </c>
      <c r="W15" s="148">
        <f>COUNTIFS('2026 Time Off Request'!$A:$A,'Aug 2026'!$D15,'2026 Time Off Request'!$L:$L,'Aug 2026'!W$6)</f>
        <v>0</v>
      </c>
      <c r="X15" s="148">
        <f>COUNTIFS('2026 Time Off Request'!$A:$A,'Aug 2026'!$D15,'2026 Time Off Request'!$L:$L,'Aug 2026'!X$6)</f>
        <v>0</v>
      </c>
      <c r="Y15" s="148">
        <f>COUNTIFS('2026 Time Off Request'!$A:$A,'Aug 2026'!$D15,'2026 Time Off Request'!$L:$L,'Aug 2026'!Y$6)</f>
        <v>0</v>
      </c>
      <c r="Z15" s="148">
        <f>COUNTIFS('2026 Time Off Request'!$A:$A,'Aug 2026'!$D15,'2026 Time Off Request'!$L:$L,'Aug 2026'!Z$6)</f>
        <v>0</v>
      </c>
      <c r="AA15" s="147">
        <f>COUNTIFS('2026 Time Off Request'!$A:$A,'Aug 2026'!$D15,'2026 Time Off Request'!$L:$L,'Aug 2026'!AA$6)</f>
        <v>0</v>
      </c>
      <c r="AB15" s="147">
        <f>COUNTIFS('2026 Time Off Request'!$A:$A,'Aug 2026'!$D15,'2026 Time Off Request'!$L:$L,'Aug 2026'!AB$6)</f>
        <v>0</v>
      </c>
      <c r="AC15" s="148">
        <f>COUNTIFS('2026 Time Off Request'!$A:$A,'Aug 2026'!$D15,'2026 Time Off Request'!$L:$L,'Aug 2026'!AC$6)</f>
        <v>0</v>
      </c>
      <c r="AD15" s="148">
        <f>COUNTIFS('2026 Time Off Request'!$A:$A,'Aug 2026'!$D15,'2026 Time Off Request'!$L:$L,'Aug 2026'!AD$6)</f>
        <v>0</v>
      </c>
      <c r="AE15" s="148">
        <f>COUNTIFS('2026 Time Off Request'!$A:$A,'Aug 2026'!$D15,'2026 Time Off Request'!$L:$L,'Aug 2026'!AE$6)</f>
        <v>0</v>
      </c>
      <c r="AF15" s="148">
        <f>COUNTIFS('2026 Time Off Request'!$A:$A,'Aug 2026'!$D15,'2026 Time Off Request'!$L:$L,'Aug 2026'!AF$6)</f>
        <v>0</v>
      </c>
      <c r="AG15" s="148">
        <f>COUNTIFS('2026 Time Off Request'!$A:$A,'Aug 2026'!$D15,'2026 Time Off Request'!$L:$L,'Aug 2026'!AG$6)</f>
        <v>0</v>
      </c>
      <c r="AH15" s="147">
        <f>COUNTIFS('2026 Time Off Request'!$A:$A,'Aug 2026'!$D15,'2026 Time Off Request'!$L:$L,'Aug 2026'!AH$6)</f>
        <v>0</v>
      </c>
      <c r="AI15" s="147">
        <f>COUNTIFS('2026 Time Off Request'!$A:$A,'Aug 2026'!$D15,'2026 Time Off Request'!$L:$L,'Aug 2026'!AI$6)</f>
        <v>0</v>
      </c>
      <c r="AJ15" s="148">
        <f>COUNTIFS('2026 Time Off Request'!$A:$A,'Aug 2026'!$D15,'2026 Time Off Request'!$L:$L,'Aug 2026'!AJ$6)</f>
        <v>0</v>
      </c>
    </row>
    <row r="16" spans="1:39" ht="15.75">
      <c r="A16" s="2">
        <v>10</v>
      </c>
      <c r="B16" s="209" t="s">
        <v>36</v>
      </c>
      <c r="C16" s="210" t="s">
        <v>37</v>
      </c>
      <c r="D16" s="215" t="s">
        <v>41</v>
      </c>
      <c r="E16" s="212">
        <f t="shared" si="2"/>
        <v>0</v>
      </c>
      <c r="F16" s="213">
        <f>COUNTIFS('2026 Time Off Request'!$A:$A,'Aug 2026'!$D16,'2026 Time Off Request'!$L:$L,'Aug 2026'!F$6)</f>
        <v>0</v>
      </c>
      <c r="G16" s="147">
        <f>COUNTIFS('2026 Time Off Request'!$A:$A,'Aug 2026'!$D16,'2026 Time Off Request'!$L:$L,'Aug 2026'!G$6)</f>
        <v>0</v>
      </c>
      <c r="H16" s="224">
        <f>COUNTIFS('2026 Time Off Request'!$A:$A,'Aug 2026'!$D16,'2026 Time Off Request'!$L:$L,'Aug 2026'!H$6)</f>
        <v>0</v>
      </c>
      <c r="I16" s="148">
        <f>COUNTIFS('2026 Time Off Request'!$A:$A,'Aug 2026'!$D16,'2026 Time Off Request'!$L:$L,'Aug 2026'!I$6)</f>
        <v>0</v>
      </c>
      <c r="J16" s="148">
        <f>COUNTIFS('2026 Time Off Request'!$A:$A,'Aug 2026'!$D16,'2026 Time Off Request'!$L:$L,'Aug 2026'!J$6)</f>
        <v>0</v>
      </c>
      <c r="K16" s="148">
        <f>COUNTIFS('2026 Time Off Request'!$A:$A,'Aug 2026'!$D16,'2026 Time Off Request'!$L:$L,'Aug 2026'!K$6)</f>
        <v>0</v>
      </c>
      <c r="L16" s="148">
        <f>COUNTIFS('2026 Time Off Request'!$A:$A,'Aug 2026'!$D16,'2026 Time Off Request'!$L:$L,'Aug 2026'!L$6)</f>
        <v>0</v>
      </c>
      <c r="M16" s="147">
        <f>COUNTIFS('2026 Time Off Request'!$A:$A,'Aug 2026'!$D16,'2026 Time Off Request'!$L:$L,'Aug 2026'!M$6)</f>
        <v>0</v>
      </c>
      <c r="N16" s="147">
        <f>COUNTIFS('2026 Time Off Request'!$A:$A,'Aug 2026'!$D16,'2026 Time Off Request'!$L:$L,'Aug 2026'!N$6)</f>
        <v>0</v>
      </c>
      <c r="O16" s="148">
        <f>COUNTIFS('2026 Time Off Request'!$A:$A,'Aug 2026'!$D16,'2026 Time Off Request'!$L:$L,'Aug 2026'!O$6)</f>
        <v>0</v>
      </c>
      <c r="P16" s="148">
        <f>COUNTIFS('2026 Time Off Request'!$A:$A,'Aug 2026'!$D16,'2026 Time Off Request'!$L:$L,'Aug 2026'!P$6)</f>
        <v>0</v>
      </c>
      <c r="Q16" s="148">
        <f>COUNTIFS('2026 Time Off Request'!$A:$A,'Aug 2026'!$D16,'2026 Time Off Request'!$L:$L,'Aug 2026'!Q$6)</f>
        <v>0</v>
      </c>
      <c r="R16" s="148">
        <f>COUNTIFS('2026 Time Off Request'!$A:$A,'Aug 2026'!$D16,'2026 Time Off Request'!$L:$L,'Aug 2026'!R$6)</f>
        <v>0</v>
      </c>
      <c r="S16" s="148">
        <f>COUNTIFS('2026 Time Off Request'!$A:$A,'Aug 2026'!$D16,'2026 Time Off Request'!$L:$L,'Aug 2026'!S$6)</f>
        <v>0</v>
      </c>
      <c r="T16" s="147">
        <f>COUNTIFS('2026 Time Off Request'!$A:$A,'Aug 2026'!$D16,'2026 Time Off Request'!$L:$L,'Aug 2026'!T$6)</f>
        <v>0</v>
      </c>
      <c r="U16" s="147">
        <f>COUNTIFS('2026 Time Off Request'!$A:$A,'Aug 2026'!$D16,'2026 Time Off Request'!$L:$L,'Aug 2026'!U$6)</f>
        <v>0</v>
      </c>
      <c r="V16" s="148">
        <f>COUNTIFS('2026 Time Off Request'!$A:$A,'Aug 2026'!$D16,'2026 Time Off Request'!$L:$L,'Aug 2026'!V$6)</f>
        <v>0</v>
      </c>
      <c r="W16" s="148">
        <f>COUNTIFS('2026 Time Off Request'!$A:$A,'Aug 2026'!$D16,'2026 Time Off Request'!$L:$L,'Aug 2026'!W$6)</f>
        <v>0</v>
      </c>
      <c r="X16" s="148">
        <f>COUNTIFS('2026 Time Off Request'!$A:$A,'Aug 2026'!$D16,'2026 Time Off Request'!$L:$L,'Aug 2026'!X$6)</f>
        <v>0</v>
      </c>
      <c r="Y16" s="148">
        <f>COUNTIFS('2026 Time Off Request'!$A:$A,'Aug 2026'!$D16,'2026 Time Off Request'!$L:$L,'Aug 2026'!Y$6)</f>
        <v>0</v>
      </c>
      <c r="Z16" s="148">
        <f>COUNTIFS('2026 Time Off Request'!$A:$A,'Aug 2026'!$D16,'2026 Time Off Request'!$L:$L,'Aug 2026'!Z$6)</f>
        <v>0</v>
      </c>
      <c r="AA16" s="147">
        <f>COUNTIFS('2026 Time Off Request'!$A:$A,'Aug 2026'!$D16,'2026 Time Off Request'!$L:$L,'Aug 2026'!AA$6)</f>
        <v>0</v>
      </c>
      <c r="AB16" s="147">
        <f>COUNTIFS('2026 Time Off Request'!$A:$A,'Aug 2026'!$D16,'2026 Time Off Request'!$L:$L,'Aug 2026'!AB$6)</f>
        <v>0</v>
      </c>
      <c r="AC16" s="148">
        <f>COUNTIFS('2026 Time Off Request'!$A:$A,'Aug 2026'!$D16,'2026 Time Off Request'!$L:$L,'Aug 2026'!AC$6)</f>
        <v>0</v>
      </c>
      <c r="AD16" s="148">
        <f>COUNTIFS('2026 Time Off Request'!$A:$A,'Aug 2026'!$D16,'2026 Time Off Request'!$L:$L,'Aug 2026'!AD$6)</f>
        <v>0</v>
      </c>
      <c r="AE16" s="148">
        <f>COUNTIFS('2026 Time Off Request'!$A:$A,'Aug 2026'!$D16,'2026 Time Off Request'!$L:$L,'Aug 2026'!AE$6)</f>
        <v>0</v>
      </c>
      <c r="AF16" s="148">
        <f>COUNTIFS('2026 Time Off Request'!$A:$A,'Aug 2026'!$D16,'2026 Time Off Request'!$L:$L,'Aug 2026'!AF$6)</f>
        <v>0</v>
      </c>
      <c r="AG16" s="148">
        <f>COUNTIFS('2026 Time Off Request'!$A:$A,'Aug 2026'!$D16,'2026 Time Off Request'!$L:$L,'Aug 2026'!AG$6)</f>
        <v>0</v>
      </c>
      <c r="AH16" s="147">
        <f>COUNTIFS('2026 Time Off Request'!$A:$A,'Aug 2026'!$D16,'2026 Time Off Request'!$L:$L,'Aug 2026'!AH$6)</f>
        <v>0</v>
      </c>
      <c r="AI16" s="147">
        <f>COUNTIFS('2026 Time Off Request'!$A:$A,'Aug 2026'!$D16,'2026 Time Off Request'!$L:$L,'Aug 2026'!AI$6)</f>
        <v>0</v>
      </c>
      <c r="AJ16" s="148">
        <f>COUNTIFS('2026 Time Off Request'!$A:$A,'Aug 2026'!$D16,'2026 Time Off Request'!$L:$L,'Aug 2026'!AJ$6)</f>
        <v>0</v>
      </c>
    </row>
    <row r="17" spans="1:36" ht="15.75">
      <c r="A17" s="2">
        <v>11</v>
      </c>
      <c r="B17" s="209" t="s">
        <v>36</v>
      </c>
      <c r="C17" s="210" t="s">
        <v>37</v>
      </c>
      <c r="D17" s="215" t="s">
        <v>42</v>
      </c>
      <c r="E17" s="212">
        <f t="shared" si="2"/>
        <v>0</v>
      </c>
      <c r="F17" s="213">
        <f>COUNTIFS('2026 Time Off Request'!$A:$A,'Aug 2026'!$D17,'2026 Time Off Request'!$L:$L,'Aug 2026'!F$6)</f>
        <v>0</v>
      </c>
      <c r="G17" s="147">
        <f>COUNTIFS('2026 Time Off Request'!$A:$A,'Aug 2026'!$D17,'2026 Time Off Request'!$L:$L,'Aug 2026'!G$6)</f>
        <v>0</v>
      </c>
      <c r="H17" s="224">
        <f>COUNTIFS('2026 Time Off Request'!$A:$A,'Aug 2026'!$D17,'2026 Time Off Request'!$L:$L,'Aug 2026'!H$6)</f>
        <v>0</v>
      </c>
      <c r="I17" s="148">
        <f>COUNTIFS('2026 Time Off Request'!$A:$A,'Aug 2026'!$D17,'2026 Time Off Request'!$L:$L,'Aug 2026'!I$6)</f>
        <v>0</v>
      </c>
      <c r="J17" s="148">
        <f>COUNTIFS('2026 Time Off Request'!$A:$A,'Aug 2026'!$D17,'2026 Time Off Request'!$L:$L,'Aug 2026'!J$6)</f>
        <v>0</v>
      </c>
      <c r="K17" s="148">
        <f>COUNTIFS('2026 Time Off Request'!$A:$A,'Aug 2026'!$D17,'2026 Time Off Request'!$L:$L,'Aug 2026'!K$6)</f>
        <v>0</v>
      </c>
      <c r="L17" s="148">
        <f>COUNTIFS('2026 Time Off Request'!$A:$A,'Aug 2026'!$D17,'2026 Time Off Request'!$L:$L,'Aug 2026'!L$6)</f>
        <v>0</v>
      </c>
      <c r="M17" s="147">
        <f>COUNTIFS('2026 Time Off Request'!$A:$A,'Aug 2026'!$D17,'2026 Time Off Request'!$L:$L,'Aug 2026'!M$6)</f>
        <v>0</v>
      </c>
      <c r="N17" s="147">
        <f>COUNTIFS('2026 Time Off Request'!$A:$A,'Aug 2026'!$D17,'2026 Time Off Request'!$L:$L,'Aug 2026'!N$6)</f>
        <v>0</v>
      </c>
      <c r="O17" s="148">
        <f>COUNTIFS('2026 Time Off Request'!$A:$A,'Aug 2026'!$D17,'2026 Time Off Request'!$L:$L,'Aug 2026'!O$6)</f>
        <v>0</v>
      </c>
      <c r="P17" s="148">
        <f>COUNTIFS('2026 Time Off Request'!$A:$A,'Aug 2026'!$D17,'2026 Time Off Request'!$L:$L,'Aug 2026'!P$6)</f>
        <v>0</v>
      </c>
      <c r="Q17" s="148">
        <f>COUNTIFS('2026 Time Off Request'!$A:$A,'Aug 2026'!$D17,'2026 Time Off Request'!$L:$L,'Aug 2026'!Q$6)</f>
        <v>0</v>
      </c>
      <c r="R17" s="148">
        <f>COUNTIFS('2026 Time Off Request'!$A:$A,'Aug 2026'!$D17,'2026 Time Off Request'!$L:$L,'Aug 2026'!R$6)</f>
        <v>0</v>
      </c>
      <c r="S17" s="148">
        <f>COUNTIFS('2026 Time Off Request'!$A:$A,'Aug 2026'!$D17,'2026 Time Off Request'!$L:$L,'Aug 2026'!S$6)</f>
        <v>0</v>
      </c>
      <c r="T17" s="147">
        <f>COUNTIFS('2026 Time Off Request'!$A:$A,'Aug 2026'!$D17,'2026 Time Off Request'!$L:$L,'Aug 2026'!T$6)</f>
        <v>0</v>
      </c>
      <c r="U17" s="147">
        <f>COUNTIFS('2026 Time Off Request'!$A:$A,'Aug 2026'!$D17,'2026 Time Off Request'!$L:$L,'Aug 2026'!U$6)</f>
        <v>0</v>
      </c>
      <c r="V17" s="148">
        <f>COUNTIFS('2026 Time Off Request'!$A:$A,'Aug 2026'!$D17,'2026 Time Off Request'!$L:$L,'Aug 2026'!V$6)</f>
        <v>0</v>
      </c>
      <c r="W17" s="148">
        <f>COUNTIFS('2026 Time Off Request'!$A:$A,'Aug 2026'!$D17,'2026 Time Off Request'!$L:$L,'Aug 2026'!W$6)</f>
        <v>0</v>
      </c>
      <c r="X17" s="148">
        <f>COUNTIFS('2026 Time Off Request'!$A:$A,'Aug 2026'!$D17,'2026 Time Off Request'!$L:$L,'Aug 2026'!X$6)</f>
        <v>0</v>
      </c>
      <c r="Y17" s="148">
        <f>COUNTIFS('2026 Time Off Request'!$A:$A,'Aug 2026'!$D17,'2026 Time Off Request'!$L:$L,'Aug 2026'!Y$6)</f>
        <v>0</v>
      </c>
      <c r="Z17" s="148">
        <f>COUNTIFS('2026 Time Off Request'!$A:$A,'Aug 2026'!$D17,'2026 Time Off Request'!$L:$L,'Aug 2026'!Z$6)</f>
        <v>0</v>
      </c>
      <c r="AA17" s="147">
        <f>COUNTIFS('2026 Time Off Request'!$A:$A,'Aug 2026'!$D17,'2026 Time Off Request'!$L:$L,'Aug 2026'!AA$6)</f>
        <v>0</v>
      </c>
      <c r="AB17" s="147">
        <f>COUNTIFS('2026 Time Off Request'!$A:$A,'Aug 2026'!$D17,'2026 Time Off Request'!$L:$L,'Aug 2026'!AB$6)</f>
        <v>0</v>
      </c>
      <c r="AC17" s="148">
        <f>COUNTIFS('2026 Time Off Request'!$A:$A,'Aug 2026'!$D17,'2026 Time Off Request'!$L:$L,'Aug 2026'!AC$6)</f>
        <v>0</v>
      </c>
      <c r="AD17" s="148">
        <f>COUNTIFS('2026 Time Off Request'!$A:$A,'Aug 2026'!$D17,'2026 Time Off Request'!$L:$L,'Aug 2026'!AD$6)</f>
        <v>0</v>
      </c>
      <c r="AE17" s="148">
        <f>COUNTIFS('2026 Time Off Request'!$A:$A,'Aug 2026'!$D17,'2026 Time Off Request'!$L:$L,'Aug 2026'!AE$6)</f>
        <v>0</v>
      </c>
      <c r="AF17" s="148">
        <f>COUNTIFS('2026 Time Off Request'!$A:$A,'Aug 2026'!$D17,'2026 Time Off Request'!$L:$L,'Aug 2026'!AF$6)</f>
        <v>0</v>
      </c>
      <c r="AG17" s="148">
        <f>COUNTIFS('2026 Time Off Request'!$A:$A,'Aug 2026'!$D17,'2026 Time Off Request'!$L:$L,'Aug 2026'!AG$6)</f>
        <v>0</v>
      </c>
      <c r="AH17" s="147">
        <f>COUNTIFS('2026 Time Off Request'!$A:$A,'Aug 2026'!$D17,'2026 Time Off Request'!$L:$L,'Aug 2026'!AH$6)</f>
        <v>0</v>
      </c>
      <c r="AI17" s="147">
        <f>COUNTIFS('2026 Time Off Request'!$A:$A,'Aug 2026'!$D17,'2026 Time Off Request'!$L:$L,'Aug 2026'!AI$6)</f>
        <v>0</v>
      </c>
      <c r="AJ17" s="148">
        <f>COUNTIFS('2026 Time Off Request'!$A:$A,'Aug 2026'!$D17,'2026 Time Off Request'!$L:$L,'Aug 2026'!AJ$6)</f>
        <v>0</v>
      </c>
    </row>
    <row r="18" spans="1:36" ht="15.75">
      <c r="A18" s="2">
        <v>12</v>
      </c>
      <c r="B18" s="209" t="s">
        <v>36</v>
      </c>
      <c r="C18" s="210" t="s">
        <v>37</v>
      </c>
      <c r="D18" s="215" t="s">
        <v>43</v>
      </c>
      <c r="E18" s="212">
        <f t="shared" si="2"/>
        <v>2</v>
      </c>
      <c r="F18" s="213">
        <f>COUNTIFS('2026 Time Off Request'!$A:$A,'Aug 2026'!$D18,'2026 Time Off Request'!$L:$L,'Aug 2026'!F$6)</f>
        <v>0</v>
      </c>
      <c r="G18" s="147">
        <f>COUNTIFS('2026 Time Off Request'!$A:$A,'Aug 2026'!$D18,'2026 Time Off Request'!$L:$L,'Aug 2026'!G$6)</f>
        <v>0</v>
      </c>
      <c r="H18" s="224">
        <f>COUNTIFS('2026 Time Off Request'!$A:$A,'Aug 2026'!$D18,'2026 Time Off Request'!$L:$L,'Aug 2026'!H$6)</f>
        <v>0</v>
      </c>
      <c r="I18" s="148">
        <f>COUNTIFS('2026 Time Off Request'!$A:$A,'Aug 2026'!$D18,'2026 Time Off Request'!$L:$L,'Aug 2026'!I$6)</f>
        <v>1</v>
      </c>
      <c r="J18" s="148">
        <f>COUNTIFS('2026 Time Off Request'!$A:$A,'Aug 2026'!$D18,'2026 Time Off Request'!$L:$L,'Aug 2026'!J$6)</f>
        <v>1</v>
      </c>
      <c r="K18" s="148">
        <f>COUNTIFS('2026 Time Off Request'!$A:$A,'Aug 2026'!$D18,'2026 Time Off Request'!$L:$L,'Aug 2026'!K$6)</f>
        <v>0</v>
      </c>
      <c r="L18" s="148">
        <f>COUNTIFS('2026 Time Off Request'!$A:$A,'Aug 2026'!$D18,'2026 Time Off Request'!$L:$L,'Aug 2026'!L$6)</f>
        <v>0</v>
      </c>
      <c r="M18" s="147">
        <f>COUNTIFS('2026 Time Off Request'!$A:$A,'Aug 2026'!$D18,'2026 Time Off Request'!$L:$L,'Aug 2026'!M$6)</f>
        <v>0</v>
      </c>
      <c r="N18" s="147">
        <f>COUNTIFS('2026 Time Off Request'!$A:$A,'Aug 2026'!$D18,'2026 Time Off Request'!$L:$L,'Aug 2026'!N$6)</f>
        <v>0</v>
      </c>
      <c r="O18" s="148">
        <f>COUNTIFS('2026 Time Off Request'!$A:$A,'Aug 2026'!$D18,'2026 Time Off Request'!$L:$L,'Aug 2026'!O$6)</f>
        <v>0</v>
      </c>
      <c r="P18" s="148">
        <f>COUNTIFS('2026 Time Off Request'!$A:$A,'Aug 2026'!$D18,'2026 Time Off Request'!$L:$L,'Aug 2026'!P$6)</f>
        <v>0</v>
      </c>
      <c r="Q18" s="148">
        <f>COUNTIFS('2026 Time Off Request'!$A:$A,'Aug 2026'!$D18,'2026 Time Off Request'!$L:$L,'Aug 2026'!Q$6)</f>
        <v>0</v>
      </c>
      <c r="R18" s="148">
        <f>COUNTIFS('2026 Time Off Request'!$A:$A,'Aug 2026'!$D18,'2026 Time Off Request'!$L:$L,'Aug 2026'!R$6)</f>
        <v>0</v>
      </c>
      <c r="S18" s="148">
        <f>COUNTIFS('2026 Time Off Request'!$A:$A,'Aug 2026'!$D18,'2026 Time Off Request'!$L:$L,'Aug 2026'!S$6)</f>
        <v>0</v>
      </c>
      <c r="T18" s="147">
        <f>COUNTIFS('2026 Time Off Request'!$A:$A,'Aug 2026'!$D18,'2026 Time Off Request'!$L:$L,'Aug 2026'!T$6)</f>
        <v>0</v>
      </c>
      <c r="U18" s="147">
        <f>COUNTIFS('2026 Time Off Request'!$A:$A,'Aug 2026'!$D18,'2026 Time Off Request'!$L:$L,'Aug 2026'!U$6)</f>
        <v>0</v>
      </c>
      <c r="V18" s="148">
        <f>COUNTIFS('2026 Time Off Request'!$A:$A,'Aug 2026'!$D18,'2026 Time Off Request'!$L:$L,'Aug 2026'!V$6)</f>
        <v>0</v>
      </c>
      <c r="W18" s="148">
        <f>COUNTIFS('2026 Time Off Request'!$A:$A,'Aug 2026'!$D18,'2026 Time Off Request'!$L:$L,'Aug 2026'!W$6)</f>
        <v>0</v>
      </c>
      <c r="X18" s="148">
        <f>COUNTIFS('2026 Time Off Request'!$A:$A,'Aug 2026'!$D18,'2026 Time Off Request'!$L:$L,'Aug 2026'!X$6)</f>
        <v>0</v>
      </c>
      <c r="Y18" s="148">
        <f>COUNTIFS('2026 Time Off Request'!$A:$A,'Aug 2026'!$D18,'2026 Time Off Request'!$L:$L,'Aug 2026'!Y$6)</f>
        <v>0</v>
      </c>
      <c r="Z18" s="148">
        <f>COUNTIFS('2026 Time Off Request'!$A:$A,'Aug 2026'!$D18,'2026 Time Off Request'!$L:$L,'Aug 2026'!Z$6)</f>
        <v>0</v>
      </c>
      <c r="AA18" s="147">
        <f>COUNTIFS('2026 Time Off Request'!$A:$A,'Aug 2026'!$D18,'2026 Time Off Request'!$L:$L,'Aug 2026'!AA$6)</f>
        <v>0</v>
      </c>
      <c r="AB18" s="147">
        <f>COUNTIFS('2026 Time Off Request'!$A:$A,'Aug 2026'!$D18,'2026 Time Off Request'!$L:$L,'Aug 2026'!AB$6)</f>
        <v>0</v>
      </c>
      <c r="AC18" s="148">
        <f>COUNTIFS('2026 Time Off Request'!$A:$A,'Aug 2026'!$D18,'2026 Time Off Request'!$L:$L,'Aug 2026'!AC$6)</f>
        <v>0</v>
      </c>
      <c r="AD18" s="148">
        <f>COUNTIFS('2026 Time Off Request'!$A:$A,'Aug 2026'!$D18,'2026 Time Off Request'!$L:$L,'Aug 2026'!AD$6)</f>
        <v>0</v>
      </c>
      <c r="AE18" s="148">
        <f>COUNTIFS('2026 Time Off Request'!$A:$A,'Aug 2026'!$D18,'2026 Time Off Request'!$L:$L,'Aug 2026'!AE$6)</f>
        <v>0</v>
      </c>
      <c r="AF18" s="148">
        <f>COUNTIFS('2026 Time Off Request'!$A:$A,'Aug 2026'!$D18,'2026 Time Off Request'!$L:$L,'Aug 2026'!AF$6)</f>
        <v>0</v>
      </c>
      <c r="AG18" s="148">
        <f>COUNTIFS('2026 Time Off Request'!$A:$A,'Aug 2026'!$D18,'2026 Time Off Request'!$L:$L,'Aug 2026'!AG$6)</f>
        <v>0</v>
      </c>
      <c r="AH18" s="147">
        <f>COUNTIFS('2026 Time Off Request'!$A:$A,'Aug 2026'!$D18,'2026 Time Off Request'!$L:$L,'Aug 2026'!AH$6)</f>
        <v>0</v>
      </c>
      <c r="AI18" s="147">
        <f>COUNTIFS('2026 Time Off Request'!$A:$A,'Aug 2026'!$D18,'2026 Time Off Request'!$L:$L,'Aug 2026'!AI$6)</f>
        <v>0</v>
      </c>
      <c r="AJ18" s="148">
        <f>COUNTIFS('2026 Time Off Request'!$A:$A,'Aug 2026'!$D18,'2026 Time Off Request'!$L:$L,'Aug 2026'!AJ$6)</f>
        <v>0</v>
      </c>
    </row>
    <row r="19" spans="1:36" ht="15.75">
      <c r="A19" s="2">
        <v>13</v>
      </c>
      <c r="B19" s="209" t="s">
        <v>36</v>
      </c>
      <c r="C19" s="210" t="s">
        <v>37</v>
      </c>
      <c r="D19" s="215" t="s">
        <v>44</v>
      </c>
      <c r="E19" s="212">
        <f t="shared" si="2"/>
        <v>0</v>
      </c>
      <c r="F19" s="213">
        <f>COUNTIFS('2026 Time Off Request'!$A:$A,'Aug 2026'!$D19,'2026 Time Off Request'!$L:$L,'Aug 2026'!F$6)</f>
        <v>0</v>
      </c>
      <c r="G19" s="147">
        <f>COUNTIFS('2026 Time Off Request'!$A:$A,'Aug 2026'!$D19,'2026 Time Off Request'!$L:$L,'Aug 2026'!G$6)</f>
        <v>0</v>
      </c>
      <c r="H19" s="224">
        <f>COUNTIFS('2026 Time Off Request'!$A:$A,'Aug 2026'!$D19,'2026 Time Off Request'!$L:$L,'Aug 2026'!H$6)</f>
        <v>0</v>
      </c>
      <c r="I19" s="148">
        <f>COUNTIFS('2026 Time Off Request'!$A:$A,'Aug 2026'!$D19,'2026 Time Off Request'!$L:$L,'Aug 2026'!I$6)</f>
        <v>0</v>
      </c>
      <c r="J19" s="148">
        <f>COUNTIFS('2026 Time Off Request'!$A:$A,'Aug 2026'!$D19,'2026 Time Off Request'!$L:$L,'Aug 2026'!J$6)</f>
        <v>0</v>
      </c>
      <c r="K19" s="148">
        <f>COUNTIFS('2026 Time Off Request'!$A:$A,'Aug 2026'!$D19,'2026 Time Off Request'!$L:$L,'Aug 2026'!K$6)</f>
        <v>0</v>
      </c>
      <c r="L19" s="148">
        <f>COUNTIFS('2026 Time Off Request'!$A:$A,'Aug 2026'!$D19,'2026 Time Off Request'!$L:$L,'Aug 2026'!L$6)</f>
        <v>0</v>
      </c>
      <c r="M19" s="147">
        <f>COUNTIFS('2026 Time Off Request'!$A:$A,'Aug 2026'!$D19,'2026 Time Off Request'!$L:$L,'Aug 2026'!M$6)</f>
        <v>0</v>
      </c>
      <c r="N19" s="147">
        <f>COUNTIFS('2026 Time Off Request'!$A:$A,'Aug 2026'!$D19,'2026 Time Off Request'!$L:$L,'Aug 2026'!N$6)</f>
        <v>0</v>
      </c>
      <c r="O19" s="148">
        <f>COUNTIFS('2026 Time Off Request'!$A:$A,'Aug 2026'!$D19,'2026 Time Off Request'!$L:$L,'Aug 2026'!O$6)</f>
        <v>0</v>
      </c>
      <c r="P19" s="148">
        <f>COUNTIFS('2026 Time Off Request'!$A:$A,'Aug 2026'!$D19,'2026 Time Off Request'!$L:$L,'Aug 2026'!P$6)</f>
        <v>0</v>
      </c>
      <c r="Q19" s="148">
        <f>COUNTIFS('2026 Time Off Request'!$A:$A,'Aug 2026'!$D19,'2026 Time Off Request'!$L:$L,'Aug 2026'!Q$6)</f>
        <v>0</v>
      </c>
      <c r="R19" s="148">
        <f>COUNTIFS('2026 Time Off Request'!$A:$A,'Aug 2026'!$D19,'2026 Time Off Request'!$L:$L,'Aug 2026'!R$6)</f>
        <v>0</v>
      </c>
      <c r="S19" s="148">
        <f>COUNTIFS('2026 Time Off Request'!$A:$A,'Aug 2026'!$D19,'2026 Time Off Request'!$L:$L,'Aug 2026'!S$6)</f>
        <v>0</v>
      </c>
      <c r="T19" s="147">
        <f>COUNTIFS('2026 Time Off Request'!$A:$A,'Aug 2026'!$D19,'2026 Time Off Request'!$L:$L,'Aug 2026'!T$6)</f>
        <v>0</v>
      </c>
      <c r="U19" s="147">
        <f>COUNTIFS('2026 Time Off Request'!$A:$A,'Aug 2026'!$D19,'2026 Time Off Request'!$L:$L,'Aug 2026'!U$6)</f>
        <v>0</v>
      </c>
      <c r="V19" s="148">
        <f>COUNTIFS('2026 Time Off Request'!$A:$A,'Aug 2026'!$D19,'2026 Time Off Request'!$L:$L,'Aug 2026'!V$6)</f>
        <v>0</v>
      </c>
      <c r="W19" s="148">
        <f>COUNTIFS('2026 Time Off Request'!$A:$A,'Aug 2026'!$D19,'2026 Time Off Request'!$L:$L,'Aug 2026'!W$6)</f>
        <v>0</v>
      </c>
      <c r="X19" s="148">
        <f>COUNTIFS('2026 Time Off Request'!$A:$A,'Aug 2026'!$D19,'2026 Time Off Request'!$L:$L,'Aug 2026'!X$6)</f>
        <v>0</v>
      </c>
      <c r="Y19" s="148">
        <f>COUNTIFS('2026 Time Off Request'!$A:$A,'Aug 2026'!$D19,'2026 Time Off Request'!$L:$L,'Aug 2026'!Y$6)</f>
        <v>0</v>
      </c>
      <c r="Z19" s="148">
        <f>COUNTIFS('2026 Time Off Request'!$A:$A,'Aug 2026'!$D19,'2026 Time Off Request'!$L:$L,'Aug 2026'!Z$6)</f>
        <v>0</v>
      </c>
      <c r="AA19" s="147">
        <f>COUNTIFS('2026 Time Off Request'!$A:$A,'Aug 2026'!$D19,'2026 Time Off Request'!$L:$L,'Aug 2026'!AA$6)</f>
        <v>0</v>
      </c>
      <c r="AB19" s="147">
        <f>COUNTIFS('2026 Time Off Request'!$A:$A,'Aug 2026'!$D19,'2026 Time Off Request'!$L:$L,'Aug 2026'!AB$6)</f>
        <v>0</v>
      </c>
      <c r="AC19" s="148">
        <f>COUNTIFS('2026 Time Off Request'!$A:$A,'Aug 2026'!$D19,'2026 Time Off Request'!$L:$L,'Aug 2026'!AC$6)</f>
        <v>0</v>
      </c>
      <c r="AD19" s="148">
        <f>COUNTIFS('2026 Time Off Request'!$A:$A,'Aug 2026'!$D19,'2026 Time Off Request'!$L:$L,'Aug 2026'!AD$6)</f>
        <v>0</v>
      </c>
      <c r="AE19" s="148">
        <f>COUNTIFS('2026 Time Off Request'!$A:$A,'Aug 2026'!$D19,'2026 Time Off Request'!$L:$L,'Aug 2026'!AE$6)</f>
        <v>0</v>
      </c>
      <c r="AF19" s="148">
        <f>COUNTIFS('2026 Time Off Request'!$A:$A,'Aug 2026'!$D19,'2026 Time Off Request'!$L:$L,'Aug 2026'!AF$6)</f>
        <v>0</v>
      </c>
      <c r="AG19" s="148">
        <f>COUNTIFS('2026 Time Off Request'!$A:$A,'Aug 2026'!$D19,'2026 Time Off Request'!$L:$L,'Aug 2026'!AG$6)</f>
        <v>0</v>
      </c>
      <c r="AH19" s="147">
        <f>COUNTIFS('2026 Time Off Request'!$A:$A,'Aug 2026'!$D19,'2026 Time Off Request'!$L:$L,'Aug 2026'!AH$6)</f>
        <v>0</v>
      </c>
      <c r="AI19" s="147">
        <f>COUNTIFS('2026 Time Off Request'!$A:$A,'Aug 2026'!$D19,'2026 Time Off Request'!$L:$L,'Aug 2026'!AI$6)</f>
        <v>0</v>
      </c>
      <c r="AJ19" s="148">
        <f>COUNTIFS('2026 Time Off Request'!$A:$A,'Aug 2026'!$D19,'2026 Time Off Request'!$L:$L,'Aug 2026'!AJ$6)</f>
        <v>0</v>
      </c>
    </row>
    <row r="20" spans="1:36" ht="15.75">
      <c r="A20" s="2">
        <v>14</v>
      </c>
      <c r="B20" s="209" t="s">
        <v>45</v>
      </c>
      <c r="C20" s="210" t="s">
        <v>37</v>
      </c>
      <c r="D20" s="215" t="s">
        <v>46</v>
      </c>
      <c r="E20" s="212">
        <f t="shared" si="2"/>
        <v>0</v>
      </c>
      <c r="F20" s="213">
        <f>COUNTIFS('2026 Time Off Request'!$A:$A,'Aug 2026'!$D20,'2026 Time Off Request'!$L:$L,'Aug 2026'!F$6)</f>
        <v>0</v>
      </c>
      <c r="G20" s="147">
        <f>COUNTIFS('2026 Time Off Request'!$A:$A,'Aug 2026'!$D20,'2026 Time Off Request'!$L:$L,'Aug 2026'!G$6)</f>
        <v>0</v>
      </c>
      <c r="H20" s="224">
        <f>COUNTIFS('2026 Time Off Request'!$A:$A,'Aug 2026'!$D20,'2026 Time Off Request'!$L:$L,'Aug 2026'!H$6)</f>
        <v>0</v>
      </c>
      <c r="I20" s="148">
        <f>COUNTIFS('2026 Time Off Request'!$A:$A,'Aug 2026'!$D20,'2026 Time Off Request'!$L:$L,'Aug 2026'!I$6)</f>
        <v>0</v>
      </c>
      <c r="J20" s="148">
        <f>COUNTIFS('2026 Time Off Request'!$A:$A,'Aug 2026'!$D20,'2026 Time Off Request'!$L:$L,'Aug 2026'!J$6)</f>
        <v>0</v>
      </c>
      <c r="K20" s="148">
        <f>COUNTIFS('2026 Time Off Request'!$A:$A,'Aug 2026'!$D20,'2026 Time Off Request'!$L:$L,'Aug 2026'!K$6)</f>
        <v>0</v>
      </c>
      <c r="L20" s="148">
        <f>COUNTIFS('2026 Time Off Request'!$A:$A,'Aug 2026'!$D20,'2026 Time Off Request'!$L:$L,'Aug 2026'!L$6)</f>
        <v>0</v>
      </c>
      <c r="M20" s="147">
        <f>COUNTIFS('2026 Time Off Request'!$A:$A,'Aug 2026'!$D20,'2026 Time Off Request'!$L:$L,'Aug 2026'!M$6)</f>
        <v>0</v>
      </c>
      <c r="N20" s="147">
        <f>COUNTIFS('2026 Time Off Request'!$A:$A,'Aug 2026'!$D20,'2026 Time Off Request'!$L:$L,'Aug 2026'!N$6)</f>
        <v>0</v>
      </c>
      <c r="O20" s="148">
        <f>COUNTIFS('2026 Time Off Request'!$A:$A,'Aug 2026'!$D20,'2026 Time Off Request'!$L:$L,'Aug 2026'!O$6)</f>
        <v>0</v>
      </c>
      <c r="P20" s="148">
        <f>COUNTIFS('2026 Time Off Request'!$A:$A,'Aug 2026'!$D20,'2026 Time Off Request'!$L:$L,'Aug 2026'!P$6)</f>
        <v>0</v>
      </c>
      <c r="Q20" s="148">
        <f>COUNTIFS('2026 Time Off Request'!$A:$A,'Aug 2026'!$D20,'2026 Time Off Request'!$L:$L,'Aug 2026'!Q$6)</f>
        <v>0</v>
      </c>
      <c r="R20" s="148">
        <f>COUNTIFS('2026 Time Off Request'!$A:$A,'Aug 2026'!$D20,'2026 Time Off Request'!$L:$L,'Aug 2026'!R$6)</f>
        <v>0</v>
      </c>
      <c r="S20" s="148">
        <f>COUNTIFS('2026 Time Off Request'!$A:$A,'Aug 2026'!$D20,'2026 Time Off Request'!$L:$L,'Aug 2026'!S$6)</f>
        <v>0</v>
      </c>
      <c r="T20" s="147">
        <f>COUNTIFS('2026 Time Off Request'!$A:$A,'Aug 2026'!$D20,'2026 Time Off Request'!$L:$L,'Aug 2026'!T$6)</f>
        <v>0</v>
      </c>
      <c r="U20" s="147">
        <f>COUNTIFS('2026 Time Off Request'!$A:$A,'Aug 2026'!$D20,'2026 Time Off Request'!$L:$L,'Aug 2026'!U$6)</f>
        <v>0</v>
      </c>
      <c r="V20" s="148">
        <f>COUNTIFS('2026 Time Off Request'!$A:$A,'Aug 2026'!$D20,'2026 Time Off Request'!$L:$L,'Aug 2026'!V$6)</f>
        <v>0</v>
      </c>
      <c r="W20" s="148">
        <f>COUNTIFS('2026 Time Off Request'!$A:$A,'Aug 2026'!$D20,'2026 Time Off Request'!$L:$L,'Aug 2026'!W$6)</f>
        <v>0</v>
      </c>
      <c r="X20" s="148">
        <f>COUNTIFS('2026 Time Off Request'!$A:$A,'Aug 2026'!$D20,'2026 Time Off Request'!$L:$L,'Aug 2026'!X$6)</f>
        <v>0</v>
      </c>
      <c r="Y20" s="148">
        <f>COUNTIFS('2026 Time Off Request'!$A:$A,'Aug 2026'!$D20,'2026 Time Off Request'!$L:$L,'Aug 2026'!Y$6)</f>
        <v>0</v>
      </c>
      <c r="Z20" s="148">
        <f>COUNTIFS('2026 Time Off Request'!$A:$A,'Aug 2026'!$D20,'2026 Time Off Request'!$L:$L,'Aug 2026'!Z$6)</f>
        <v>0</v>
      </c>
      <c r="AA20" s="147">
        <f>COUNTIFS('2026 Time Off Request'!$A:$A,'Aug 2026'!$D20,'2026 Time Off Request'!$L:$L,'Aug 2026'!AA$6)</f>
        <v>0</v>
      </c>
      <c r="AB20" s="147">
        <f>COUNTIFS('2026 Time Off Request'!$A:$A,'Aug 2026'!$D20,'2026 Time Off Request'!$L:$L,'Aug 2026'!AB$6)</f>
        <v>0</v>
      </c>
      <c r="AC20" s="148">
        <f>COUNTIFS('2026 Time Off Request'!$A:$A,'Aug 2026'!$D20,'2026 Time Off Request'!$L:$L,'Aug 2026'!AC$6)</f>
        <v>0</v>
      </c>
      <c r="AD20" s="148">
        <f>COUNTIFS('2026 Time Off Request'!$A:$A,'Aug 2026'!$D20,'2026 Time Off Request'!$L:$L,'Aug 2026'!AD$6)</f>
        <v>0</v>
      </c>
      <c r="AE20" s="148">
        <f>COUNTIFS('2026 Time Off Request'!$A:$A,'Aug 2026'!$D20,'2026 Time Off Request'!$L:$L,'Aug 2026'!AE$6)</f>
        <v>0</v>
      </c>
      <c r="AF20" s="148">
        <f>COUNTIFS('2026 Time Off Request'!$A:$A,'Aug 2026'!$D20,'2026 Time Off Request'!$L:$L,'Aug 2026'!AF$6)</f>
        <v>0</v>
      </c>
      <c r="AG20" s="148">
        <f>COUNTIFS('2026 Time Off Request'!$A:$A,'Aug 2026'!$D20,'2026 Time Off Request'!$L:$L,'Aug 2026'!AG$6)</f>
        <v>0</v>
      </c>
      <c r="AH20" s="147">
        <f>COUNTIFS('2026 Time Off Request'!$A:$A,'Aug 2026'!$D20,'2026 Time Off Request'!$L:$L,'Aug 2026'!AH$6)</f>
        <v>0</v>
      </c>
      <c r="AI20" s="147">
        <f>COUNTIFS('2026 Time Off Request'!$A:$A,'Aug 2026'!$D20,'2026 Time Off Request'!$L:$L,'Aug 2026'!AI$6)</f>
        <v>0</v>
      </c>
      <c r="AJ20" s="148">
        <f>COUNTIFS('2026 Time Off Request'!$A:$A,'Aug 2026'!$D20,'2026 Time Off Request'!$L:$L,'Aug 2026'!AJ$6)</f>
        <v>0</v>
      </c>
    </row>
    <row r="21" spans="1:36" ht="15.75">
      <c r="A21" s="2">
        <v>15</v>
      </c>
      <c r="B21" s="209" t="s">
        <v>45</v>
      </c>
      <c r="C21" s="210" t="s">
        <v>47</v>
      </c>
      <c r="D21" s="215" t="s">
        <v>48</v>
      </c>
      <c r="E21" s="212">
        <f t="shared" si="2"/>
        <v>0</v>
      </c>
      <c r="F21" s="213">
        <f>COUNTIFS('2026 Time Off Request'!$A:$A,'Aug 2026'!$D21,'2026 Time Off Request'!$L:$L,'Aug 2026'!F$6)</f>
        <v>0</v>
      </c>
      <c r="G21" s="147">
        <f>COUNTIFS('2026 Time Off Request'!$A:$A,'Aug 2026'!$D21,'2026 Time Off Request'!$L:$L,'Aug 2026'!G$6)</f>
        <v>0</v>
      </c>
      <c r="H21" s="224">
        <f>COUNTIFS('2026 Time Off Request'!$A:$A,'Aug 2026'!$D21,'2026 Time Off Request'!$L:$L,'Aug 2026'!H$6)</f>
        <v>0</v>
      </c>
      <c r="I21" s="148">
        <f>COUNTIFS('2026 Time Off Request'!$A:$A,'Aug 2026'!$D21,'2026 Time Off Request'!$L:$L,'Aug 2026'!I$6)</f>
        <v>0</v>
      </c>
      <c r="J21" s="148">
        <f>COUNTIFS('2026 Time Off Request'!$A:$A,'Aug 2026'!$D21,'2026 Time Off Request'!$L:$L,'Aug 2026'!J$6)</f>
        <v>0</v>
      </c>
      <c r="K21" s="148">
        <f>COUNTIFS('2026 Time Off Request'!$A:$A,'Aug 2026'!$D21,'2026 Time Off Request'!$L:$L,'Aug 2026'!K$6)</f>
        <v>0</v>
      </c>
      <c r="L21" s="148">
        <f>COUNTIFS('2026 Time Off Request'!$A:$A,'Aug 2026'!$D21,'2026 Time Off Request'!$L:$L,'Aug 2026'!L$6)</f>
        <v>0</v>
      </c>
      <c r="M21" s="147">
        <f>COUNTIFS('2026 Time Off Request'!$A:$A,'Aug 2026'!$D21,'2026 Time Off Request'!$L:$L,'Aug 2026'!M$6)</f>
        <v>0</v>
      </c>
      <c r="N21" s="147">
        <f>COUNTIFS('2026 Time Off Request'!$A:$A,'Aug 2026'!$D21,'2026 Time Off Request'!$L:$L,'Aug 2026'!N$6)</f>
        <v>0</v>
      </c>
      <c r="O21" s="148">
        <f>COUNTIFS('2026 Time Off Request'!$A:$A,'Aug 2026'!$D21,'2026 Time Off Request'!$L:$L,'Aug 2026'!O$6)</f>
        <v>0</v>
      </c>
      <c r="P21" s="148">
        <f>COUNTIFS('2026 Time Off Request'!$A:$A,'Aug 2026'!$D21,'2026 Time Off Request'!$L:$L,'Aug 2026'!P$6)</f>
        <v>0</v>
      </c>
      <c r="Q21" s="148">
        <f>COUNTIFS('2026 Time Off Request'!$A:$A,'Aug 2026'!$D21,'2026 Time Off Request'!$L:$L,'Aug 2026'!Q$6)</f>
        <v>0</v>
      </c>
      <c r="R21" s="148">
        <f>COUNTIFS('2026 Time Off Request'!$A:$A,'Aug 2026'!$D21,'2026 Time Off Request'!$L:$L,'Aug 2026'!R$6)</f>
        <v>0</v>
      </c>
      <c r="S21" s="148">
        <f>COUNTIFS('2026 Time Off Request'!$A:$A,'Aug 2026'!$D21,'2026 Time Off Request'!$L:$L,'Aug 2026'!S$6)</f>
        <v>0</v>
      </c>
      <c r="T21" s="147">
        <f>COUNTIFS('2026 Time Off Request'!$A:$A,'Aug 2026'!$D21,'2026 Time Off Request'!$L:$L,'Aug 2026'!T$6)</f>
        <v>0</v>
      </c>
      <c r="U21" s="147">
        <f>COUNTIFS('2026 Time Off Request'!$A:$A,'Aug 2026'!$D21,'2026 Time Off Request'!$L:$L,'Aug 2026'!U$6)</f>
        <v>0</v>
      </c>
      <c r="V21" s="148">
        <f>COUNTIFS('2026 Time Off Request'!$A:$A,'Aug 2026'!$D21,'2026 Time Off Request'!$L:$L,'Aug 2026'!V$6)</f>
        <v>0</v>
      </c>
      <c r="W21" s="148">
        <f>COUNTIFS('2026 Time Off Request'!$A:$A,'Aug 2026'!$D21,'2026 Time Off Request'!$L:$L,'Aug 2026'!W$6)</f>
        <v>0</v>
      </c>
      <c r="X21" s="148">
        <f>COUNTIFS('2026 Time Off Request'!$A:$A,'Aug 2026'!$D21,'2026 Time Off Request'!$L:$L,'Aug 2026'!X$6)</f>
        <v>0</v>
      </c>
      <c r="Y21" s="148">
        <f>COUNTIFS('2026 Time Off Request'!$A:$A,'Aug 2026'!$D21,'2026 Time Off Request'!$L:$L,'Aug 2026'!Y$6)</f>
        <v>0</v>
      </c>
      <c r="Z21" s="148">
        <f>COUNTIFS('2026 Time Off Request'!$A:$A,'Aug 2026'!$D21,'2026 Time Off Request'!$L:$L,'Aug 2026'!Z$6)</f>
        <v>0</v>
      </c>
      <c r="AA21" s="147">
        <f>COUNTIFS('2026 Time Off Request'!$A:$A,'Aug 2026'!$D21,'2026 Time Off Request'!$L:$L,'Aug 2026'!AA$6)</f>
        <v>0</v>
      </c>
      <c r="AB21" s="147">
        <f>COUNTIFS('2026 Time Off Request'!$A:$A,'Aug 2026'!$D21,'2026 Time Off Request'!$L:$L,'Aug 2026'!AB$6)</f>
        <v>0</v>
      </c>
      <c r="AC21" s="148">
        <f>COUNTIFS('2026 Time Off Request'!$A:$A,'Aug 2026'!$D21,'2026 Time Off Request'!$L:$L,'Aug 2026'!AC$6)</f>
        <v>0</v>
      </c>
      <c r="AD21" s="148">
        <f>COUNTIFS('2026 Time Off Request'!$A:$A,'Aug 2026'!$D21,'2026 Time Off Request'!$L:$L,'Aug 2026'!AD$6)</f>
        <v>0</v>
      </c>
      <c r="AE21" s="148">
        <f>COUNTIFS('2026 Time Off Request'!$A:$A,'Aug 2026'!$D21,'2026 Time Off Request'!$L:$L,'Aug 2026'!AE$6)</f>
        <v>0</v>
      </c>
      <c r="AF21" s="148">
        <f>COUNTIFS('2026 Time Off Request'!$A:$A,'Aug 2026'!$D21,'2026 Time Off Request'!$L:$L,'Aug 2026'!AF$6)</f>
        <v>0</v>
      </c>
      <c r="AG21" s="148">
        <f>COUNTIFS('2026 Time Off Request'!$A:$A,'Aug 2026'!$D21,'2026 Time Off Request'!$L:$L,'Aug 2026'!AG$6)</f>
        <v>0</v>
      </c>
      <c r="AH21" s="147">
        <f>COUNTIFS('2026 Time Off Request'!$A:$A,'Aug 2026'!$D21,'2026 Time Off Request'!$L:$L,'Aug 2026'!AH$6)</f>
        <v>0</v>
      </c>
      <c r="AI21" s="147">
        <f>COUNTIFS('2026 Time Off Request'!$A:$A,'Aug 2026'!$D21,'2026 Time Off Request'!$L:$L,'Aug 2026'!AI$6)</f>
        <v>0</v>
      </c>
      <c r="AJ21" s="148">
        <f>COUNTIFS('2026 Time Off Request'!$A:$A,'Aug 2026'!$D21,'2026 Time Off Request'!$L:$L,'Aug 2026'!AJ$6)</f>
        <v>0</v>
      </c>
    </row>
    <row r="22" spans="1:36" ht="15.75">
      <c r="A22" s="2">
        <v>16</v>
      </c>
      <c r="B22" s="209" t="s">
        <v>49</v>
      </c>
      <c r="C22" s="210" t="s">
        <v>50</v>
      </c>
      <c r="D22" s="215" t="s">
        <v>51</v>
      </c>
      <c r="E22" s="212">
        <f t="shared" si="2"/>
        <v>0</v>
      </c>
      <c r="F22" s="213">
        <f>COUNTIFS('2026 Time Off Request'!$A:$A,'Aug 2026'!$D22,'2026 Time Off Request'!$L:$L,'Aug 2026'!F$6)</f>
        <v>0</v>
      </c>
      <c r="G22" s="147">
        <f>COUNTIFS('2026 Time Off Request'!$A:$A,'Aug 2026'!$D22,'2026 Time Off Request'!$L:$L,'Aug 2026'!G$6)</f>
        <v>0</v>
      </c>
      <c r="H22" s="224">
        <f>COUNTIFS('2026 Time Off Request'!$A:$A,'Aug 2026'!$D22,'2026 Time Off Request'!$L:$L,'Aug 2026'!H$6)</f>
        <v>0</v>
      </c>
      <c r="I22" s="148">
        <f>COUNTIFS('2026 Time Off Request'!$A:$A,'Aug 2026'!$D22,'2026 Time Off Request'!$L:$L,'Aug 2026'!I$6)</f>
        <v>0</v>
      </c>
      <c r="J22" s="148">
        <f>COUNTIFS('2026 Time Off Request'!$A:$A,'Aug 2026'!$D22,'2026 Time Off Request'!$L:$L,'Aug 2026'!J$6)</f>
        <v>0</v>
      </c>
      <c r="K22" s="148">
        <f>COUNTIFS('2026 Time Off Request'!$A:$A,'Aug 2026'!$D22,'2026 Time Off Request'!$L:$L,'Aug 2026'!K$6)</f>
        <v>0</v>
      </c>
      <c r="L22" s="148">
        <f>COUNTIFS('2026 Time Off Request'!$A:$A,'Aug 2026'!$D22,'2026 Time Off Request'!$L:$L,'Aug 2026'!L$6)</f>
        <v>0</v>
      </c>
      <c r="M22" s="147">
        <f>COUNTIFS('2026 Time Off Request'!$A:$A,'Aug 2026'!$D22,'2026 Time Off Request'!$L:$L,'Aug 2026'!M$6)</f>
        <v>0</v>
      </c>
      <c r="N22" s="147">
        <f>COUNTIFS('2026 Time Off Request'!$A:$A,'Aug 2026'!$D22,'2026 Time Off Request'!$L:$L,'Aug 2026'!N$6)</f>
        <v>0</v>
      </c>
      <c r="O22" s="148">
        <f>COUNTIFS('2026 Time Off Request'!$A:$A,'Aug 2026'!$D22,'2026 Time Off Request'!$L:$L,'Aug 2026'!O$6)</f>
        <v>0</v>
      </c>
      <c r="P22" s="148">
        <f>COUNTIFS('2026 Time Off Request'!$A:$A,'Aug 2026'!$D22,'2026 Time Off Request'!$L:$L,'Aug 2026'!P$6)</f>
        <v>0</v>
      </c>
      <c r="Q22" s="148">
        <f>COUNTIFS('2026 Time Off Request'!$A:$A,'Aug 2026'!$D22,'2026 Time Off Request'!$L:$L,'Aug 2026'!Q$6)</f>
        <v>0</v>
      </c>
      <c r="R22" s="148">
        <f>COUNTIFS('2026 Time Off Request'!$A:$A,'Aug 2026'!$D22,'2026 Time Off Request'!$L:$L,'Aug 2026'!R$6)</f>
        <v>0</v>
      </c>
      <c r="S22" s="148">
        <f>COUNTIFS('2026 Time Off Request'!$A:$A,'Aug 2026'!$D22,'2026 Time Off Request'!$L:$L,'Aug 2026'!S$6)</f>
        <v>0</v>
      </c>
      <c r="T22" s="147">
        <f>COUNTIFS('2026 Time Off Request'!$A:$A,'Aug 2026'!$D22,'2026 Time Off Request'!$L:$L,'Aug 2026'!T$6)</f>
        <v>0</v>
      </c>
      <c r="U22" s="147">
        <f>COUNTIFS('2026 Time Off Request'!$A:$A,'Aug 2026'!$D22,'2026 Time Off Request'!$L:$L,'Aug 2026'!U$6)</f>
        <v>0</v>
      </c>
      <c r="V22" s="148">
        <f>COUNTIFS('2026 Time Off Request'!$A:$A,'Aug 2026'!$D22,'2026 Time Off Request'!$L:$L,'Aug 2026'!V$6)</f>
        <v>0</v>
      </c>
      <c r="W22" s="148">
        <f>COUNTIFS('2026 Time Off Request'!$A:$A,'Aug 2026'!$D22,'2026 Time Off Request'!$L:$L,'Aug 2026'!W$6)</f>
        <v>0</v>
      </c>
      <c r="X22" s="148">
        <f>COUNTIFS('2026 Time Off Request'!$A:$A,'Aug 2026'!$D22,'2026 Time Off Request'!$L:$L,'Aug 2026'!X$6)</f>
        <v>0</v>
      </c>
      <c r="Y22" s="148">
        <f>COUNTIFS('2026 Time Off Request'!$A:$A,'Aug 2026'!$D22,'2026 Time Off Request'!$L:$L,'Aug 2026'!Y$6)</f>
        <v>0</v>
      </c>
      <c r="Z22" s="148">
        <f>COUNTIFS('2026 Time Off Request'!$A:$A,'Aug 2026'!$D22,'2026 Time Off Request'!$L:$L,'Aug 2026'!Z$6)</f>
        <v>0</v>
      </c>
      <c r="AA22" s="147">
        <f>COUNTIFS('2026 Time Off Request'!$A:$A,'Aug 2026'!$D22,'2026 Time Off Request'!$L:$L,'Aug 2026'!AA$6)</f>
        <v>0</v>
      </c>
      <c r="AB22" s="147">
        <f>COUNTIFS('2026 Time Off Request'!$A:$A,'Aug 2026'!$D22,'2026 Time Off Request'!$L:$L,'Aug 2026'!AB$6)</f>
        <v>0</v>
      </c>
      <c r="AC22" s="148">
        <f>COUNTIFS('2026 Time Off Request'!$A:$A,'Aug 2026'!$D22,'2026 Time Off Request'!$L:$L,'Aug 2026'!AC$6)</f>
        <v>0</v>
      </c>
      <c r="AD22" s="148">
        <f>COUNTIFS('2026 Time Off Request'!$A:$A,'Aug 2026'!$D22,'2026 Time Off Request'!$L:$L,'Aug 2026'!AD$6)</f>
        <v>0</v>
      </c>
      <c r="AE22" s="148">
        <f>COUNTIFS('2026 Time Off Request'!$A:$A,'Aug 2026'!$D22,'2026 Time Off Request'!$L:$L,'Aug 2026'!AE$6)</f>
        <v>0</v>
      </c>
      <c r="AF22" s="148">
        <f>COUNTIFS('2026 Time Off Request'!$A:$A,'Aug 2026'!$D22,'2026 Time Off Request'!$L:$L,'Aug 2026'!AF$6)</f>
        <v>0</v>
      </c>
      <c r="AG22" s="148">
        <f>COUNTIFS('2026 Time Off Request'!$A:$A,'Aug 2026'!$D22,'2026 Time Off Request'!$L:$L,'Aug 2026'!AG$6)</f>
        <v>0</v>
      </c>
      <c r="AH22" s="147">
        <f>COUNTIFS('2026 Time Off Request'!$A:$A,'Aug 2026'!$D22,'2026 Time Off Request'!$L:$L,'Aug 2026'!AH$6)</f>
        <v>0</v>
      </c>
      <c r="AI22" s="147">
        <f>COUNTIFS('2026 Time Off Request'!$A:$A,'Aug 2026'!$D22,'2026 Time Off Request'!$L:$L,'Aug 2026'!AI$6)</f>
        <v>0</v>
      </c>
      <c r="AJ22" s="148">
        <f>COUNTIFS('2026 Time Off Request'!$A:$A,'Aug 2026'!$D22,'2026 Time Off Request'!$L:$L,'Aug 2026'!AJ$6)</f>
        <v>0</v>
      </c>
    </row>
    <row r="23" spans="1:36" ht="15.75">
      <c r="A23" s="2">
        <v>17</v>
      </c>
      <c r="B23" s="209" t="s">
        <v>45</v>
      </c>
      <c r="C23" s="210" t="s">
        <v>52</v>
      </c>
      <c r="D23" s="215" t="s">
        <v>53</v>
      </c>
      <c r="E23" s="212">
        <f t="shared" si="2"/>
        <v>0</v>
      </c>
      <c r="F23" s="213">
        <f>COUNTIFS('2026 Time Off Request'!$A:$A,'Aug 2026'!$D23,'2026 Time Off Request'!$L:$L,'Aug 2026'!F$6)</f>
        <v>0</v>
      </c>
      <c r="G23" s="147">
        <f>COUNTIFS('2026 Time Off Request'!$A:$A,'Aug 2026'!$D23,'2026 Time Off Request'!$L:$L,'Aug 2026'!G$6)</f>
        <v>0</v>
      </c>
      <c r="H23" s="224">
        <f>COUNTIFS('2026 Time Off Request'!$A:$A,'Aug 2026'!$D23,'2026 Time Off Request'!$L:$L,'Aug 2026'!H$6)</f>
        <v>0</v>
      </c>
      <c r="I23" s="148">
        <f>COUNTIFS('2026 Time Off Request'!$A:$A,'Aug 2026'!$D23,'2026 Time Off Request'!$L:$L,'Aug 2026'!I$6)</f>
        <v>0</v>
      </c>
      <c r="J23" s="148">
        <f>COUNTIFS('2026 Time Off Request'!$A:$A,'Aug 2026'!$D23,'2026 Time Off Request'!$L:$L,'Aug 2026'!J$6)</f>
        <v>0</v>
      </c>
      <c r="K23" s="148">
        <f>COUNTIFS('2026 Time Off Request'!$A:$A,'Aug 2026'!$D23,'2026 Time Off Request'!$L:$L,'Aug 2026'!K$6)</f>
        <v>0</v>
      </c>
      <c r="L23" s="148">
        <f>COUNTIFS('2026 Time Off Request'!$A:$A,'Aug 2026'!$D23,'2026 Time Off Request'!$L:$L,'Aug 2026'!L$6)</f>
        <v>0</v>
      </c>
      <c r="M23" s="147">
        <f>COUNTIFS('2026 Time Off Request'!$A:$A,'Aug 2026'!$D23,'2026 Time Off Request'!$L:$L,'Aug 2026'!M$6)</f>
        <v>0</v>
      </c>
      <c r="N23" s="147">
        <f>COUNTIFS('2026 Time Off Request'!$A:$A,'Aug 2026'!$D23,'2026 Time Off Request'!$L:$L,'Aug 2026'!N$6)</f>
        <v>0</v>
      </c>
      <c r="O23" s="148">
        <f>COUNTIFS('2026 Time Off Request'!$A:$A,'Aug 2026'!$D23,'2026 Time Off Request'!$L:$L,'Aug 2026'!O$6)</f>
        <v>0</v>
      </c>
      <c r="P23" s="148">
        <f>COUNTIFS('2026 Time Off Request'!$A:$A,'Aug 2026'!$D23,'2026 Time Off Request'!$L:$L,'Aug 2026'!P$6)</f>
        <v>0</v>
      </c>
      <c r="Q23" s="148">
        <f>COUNTIFS('2026 Time Off Request'!$A:$A,'Aug 2026'!$D23,'2026 Time Off Request'!$L:$L,'Aug 2026'!Q$6)</f>
        <v>0</v>
      </c>
      <c r="R23" s="148">
        <f>COUNTIFS('2026 Time Off Request'!$A:$A,'Aug 2026'!$D23,'2026 Time Off Request'!$L:$L,'Aug 2026'!R$6)</f>
        <v>0</v>
      </c>
      <c r="S23" s="148">
        <f>COUNTIFS('2026 Time Off Request'!$A:$A,'Aug 2026'!$D23,'2026 Time Off Request'!$L:$L,'Aug 2026'!S$6)</f>
        <v>0</v>
      </c>
      <c r="T23" s="147">
        <f>COUNTIFS('2026 Time Off Request'!$A:$A,'Aug 2026'!$D23,'2026 Time Off Request'!$L:$L,'Aug 2026'!T$6)</f>
        <v>0</v>
      </c>
      <c r="U23" s="147">
        <f>COUNTIFS('2026 Time Off Request'!$A:$A,'Aug 2026'!$D23,'2026 Time Off Request'!$L:$L,'Aug 2026'!U$6)</f>
        <v>0</v>
      </c>
      <c r="V23" s="148">
        <f>COUNTIFS('2026 Time Off Request'!$A:$A,'Aug 2026'!$D23,'2026 Time Off Request'!$L:$L,'Aug 2026'!V$6)</f>
        <v>0</v>
      </c>
      <c r="W23" s="148">
        <f>COUNTIFS('2026 Time Off Request'!$A:$A,'Aug 2026'!$D23,'2026 Time Off Request'!$L:$L,'Aug 2026'!W$6)</f>
        <v>0</v>
      </c>
      <c r="X23" s="148">
        <f>COUNTIFS('2026 Time Off Request'!$A:$A,'Aug 2026'!$D23,'2026 Time Off Request'!$L:$L,'Aug 2026'!X$6)</f>
        <v>0</v>
      </c>
      <c r="Y23" s="148">
        <f>COUNTIFS('2026 Time Off Request'!$A:$A,'Aug 2026'!$D23,'2026 Time Off Request'!$L:$L,'Aug 2026'!Y$6)</f>
        <v>0</v>
      </c>
      <c r="Z23" s="148">
        <f>COUNTIFS('2026 Time Off Request'!$A:$A,'Aug 2026'!$D23,'2026 Time Off Request'!$L:$L,'Aug 2026'!Z$6)</f>
        <v>0</v>
      </c>
      <c r="AA23" s="147">
        <f>COUNTIFS('2026 Time Off Request'!$A:$A,'Aug 2026'!$D23,'2026 Time Off Request'!$L:$L,'Aug 2026'!AA$6)</f>
        <v>0</v>
      </c>
      <c r="AB23" s="147">
        <f>COUNTIFS('2026 Time Off Request'!$A:$A,'Aug 2026'!$D23,'2026 Time Off Request'!$L:$L,'Aug 2026'!AB$6)</f>
        <v>0</v>
      </c>
      <c r="AC23" s="148">
        <f>COUNTIFS('2026 Time Off Request'!$A:$A,'Aug 2026'!$D23,'2026 Time Off Request'!$L:$L,'Aug 2026'!AC$6)</f>
        <v>0</v>
      </c>
      <c r="AD23" s="148">
        <f>COUNTIFS('2026 Time Off Request'!$A:$A,'Aug 2026'!$D23,'2026 Time Off Request'!$L:$L,'Aug 2026'!AD$6)</f>
        <v>0</v>
      </c>
      <c r="AE23" s="148">
        <f>COUNTIFS('2026 Time Off Request'!$A:$A,'Aug 2026'!$D23,'2026 Time Off Request'!$L:$L,'Aug 2026'!AE$6)</f>
        <v>0</v>
      </c>
      <c r="AF23" s="148">
        <f>COUNTIFS('2026 Time Off Request'!$A:$A,'Aug 2026'!$D23,'2026 Time Off Request'!$L:$L,'Aug 2026'!AF$6)</f>
        <v>0</v>
      </c>
      <c r="AG23" s="148">
        <f>COUNTIFS('2026 Time Off Request'!$A:$A,'Aug 2026'!$D23,'2026 Time Off Request'!$L:$L,'Aug 2026'!AG$6)</f>
        <v>0</v>
      </c>
      <c r="AH23" s="147">
        <f>COUNTIFS('2026 Time Off Request'!$A:$A,'Aug 2026'!$D23,'2026 Time Off Request'!$L:$L,'Aug 2026'!AH$6)</f>
        <v>0</v>
      </c>
      <c r="AI23" s="147">
        <f>COUNTIFS('2026 Time Off Request'!$A:$A,'Aug 2026'!$D23,'2026 Time Off Request'!$L:$L,'Aug 2026'!AI$6)</f>
        <v>0</v>
      </c>
      <c r="AJ23" s="148">
        <f>COUNTIFS('2026 Time Off Request'!$A:$A,'Aug 2026'!$D23,'2026 Time Off Request'!$L:$L,'Aug 2026'!AJ$6)</f>
        <v>0</v>
      </c>
    </row>
    <row r="24" spans="1:36" ht="15.75">
      <c r="A24" s="2"/>
      <c r="B24" s="209" t="s">
        <v>45</v>
      </c>
      <c r="C24" s="210" t="s">
        <v>52</v>
      </c>
      <c r="D24" s="215" t="s">
        <v>54</v>
      </c>
      <c r="E24" s="212">
        <f t="shared" ref="E24:E29" si="3">SUM(F24:AI24)</f>
        <v>0</v>
      </c>
      <c r="F24" s="213">
        <f>COUNTIFS('2026 Time Off Request'!$A:$A,'Aug 2026'!$D24,'2026 Time Off Request'!$L:$L,'Aug 2026'!F$6)</f>
        <v>0</v>
      </c>
      <c r="G24" s="147">
        <f>COUNTIFS('2026 Time Off Request'!$A:$A,'Aug 2026'!$D24,'2026 Time Off Request'!$L:$L,'Aug 2026'!G$6)</f>
        <v>0</v>
      </c>
      <c r="H24" s="224">
        <f>COUNTIFS('2026 Time Off Request'!$A:$A,'Aug 2026'!$D24,'2026 Time Off Request'!$L:$L,'Aug 2026'!H$6)</f>
        <v>0</v>
      </c>
      <c r="I24" s="148">
        <f>COUNTIFS('2026 Time Off Request'!$A:$A,'Aug 2026'!$D24,'2026 Time Off Request'!$L:$L,'Aug 2026'!I$6)</f>
        <v>0</v>
      </c>
      <c r="J24" s="148">
        <f>COUNTIFS('2026 Time Off Request'!$A:$A,'Aug 2026'!$D24,'2026 Time Off Request'!$L:$L,'Aug 2026'!J$6)</f>
        <v>0</v>
      </c>
      <c r="K24" s="148">
        <f>COUNTIFS('2026 Time Off Request'!$A:$A,'Aug 2026'!$D24,'2026 Time Off Request'!$L:$L,'Aug 2026'!K$6)</f>
        <v>0</v>
      </c>
      <c r="L24" s="148">
        <f>COUNTIFS('2026 Time Off Request'!$A:$A,'Aug 2026'!$D24,'2026 Time Off Request'!$L:$L,'Aug 2026'!L$6)</f>
        <v>0</v>
      </c>
      <c r="M24" s="147">
        <f>COUNTIFS('2026 Time Off Request'!$A:$A,'Aug 2026'!$D24,'2026 Time Off Request'!$L:$L,'Aug 2026'!M$6)</f>
        <v>0</v>
      </c>
      <c r="N24" s="147">
        <f>COUNTIFS('2026 Time Off Request'!$A:$A,'Aug 2026'!$D24,'2026 Time Off Request'!$L:$L,'Aug 2026'!N$6)</f>
        <v>0</v>
      </c>
      <c r="O24" s="148">
        <f>COUNTIFS('2026 Time Off Request'!$A:$A,'Aug 2026'!$D24,'2026 Time Off Request'!$L:$L,'Aug 2026'!O$6)</f>
        <v>0</v>
      </c>
      <c r="P24" s="148">
        <f>COUNTIFS('2026 Time Off Request'!$A:$A,'Aug 2026'!$D24,'2026 Time Off Request'!$L:$L,'Aug 2026'!P$6)</f>
        <v>0</v>
      </c>
      <c r="Q24" s="148">
        <f>COUNTIFS('2026 Time Off Request'!$A:$A,'Aug 2026'!$D24,'2026 Time Off Request'!$L:$L,'Aug 2026'!Q$6)</f>
        <v>0</v>
      </c>
      <c r="R24" s="148">
        <f>COUNTIFS('2026 Time Off Request'!$A:$A,'Aug 2026'!$D24,'2026 Time Off Request'!$L:$L,'Aug 2026'!R$6)</f>
        <v>0</v>
      </c>
      <c r="S24" s="148">
        <f>COUNTIFS('2026 Time Off Request'!$A:$A,'Aug 2026'!$D24,'2026 Time Off Request'!$L:$L,'Aug 2026'!S$6)</f>
        <v>0</v>
      </c>
      <c r="T24" s="147">
        <f>COUNTIFS('2026 Time Off Request'!$A:$A,'Aug 2026'!$D24,'2026 Time Off Request'!$L:$L,'Aug 2026'!T$6)</f>
        <v>0</v>
      </c>
      <c r="U24" s="147">
        <f>COUNTIFS('2026 Time Off Request'!$A:$A,'Aug 2026'!$D24,'2026 Time Off Request'!$L:$L,'Aug 2026'!U$6)</f>
        <v>0</v>
      </c>
      <c r="V24" s="148">
        <f>COUNTIFS('2026 Time Off Request'!$A:$A,'Aug 2026'!$D24,'2026 Time Off Request'!$L:$L,'Aug 2026'!V$6)</f>
        <v>0</v>
      </c>
      <c r="W24" s="148">
        <f>COUNTIFS('2026 Time Off Request'!$A:$A,'Aug 2026'!$D24,'2026 Time Off Request'!$L:$L,'Aug 2026'!W$6)</f>
        <v>0</v>
      </c>
      <c r="X24" s="148">
        <f>COUNTIFS('2026 Time Off Request'!$A:$A,'Aug 2026'!$D24,'2026 Time Off Request'!$L:$L,'Aug 2026'!X$6)</f>
        <v>0</v>
      </c>
      <c r="Y24" s="148">
        <f>COUNTIFS('2026 Time Off Request'!$A:$A,'Aug 2026'!$D24,'2026 Time Off Request'!$L:$L,'Aug 2026'!Y$6)</f>
        <v>0</v>
      </c>
      <c r="Z24" s="148">
        <f>COUNTIFS('2026 Time Off Request'!$A:$A,'Aug 2026'!$D24,'2026 Time Off Request'!$L:$L,'Aug 2026'!Z$6)</f>
        <v>0</v>
      </c>
      <c r="AA24" s="147">
        <f>COUNTIFS('2026 Time Off Request'!$A:$A,'Aug 2026'!$D24,'2026 Time Off Request'!$L:$L,'Aug 2026'!AA$6)</f>
        <v>0</v>
      </c>
      <c r="AB24" s="147">
        <f>COUNTIFS('2026 Time Off Request'!$A:$A,'Aug 2026'!$D24,'2026 Time Off Request'!$L:$L,'Aug 2026'!AB$6)</f>
        <v>0</v>
      </c>
      <c r="AC24" s="148">
        <f>COUNTIFS('2026 Time Off Request'!$A:$A,'Aug 2026'!$D24,'2026 Time Off Request'!$L:$L,'Aug 2026'!AC$6)</f>
        <v>0</v>
      </c>
      <c r="AD24" s="148">
        <f>COUNTIFS('2026 Time Off Request'!$A:$A,'Aug 2026'!$D24,'2026 Time Off Request'!$L:$L,'Aug 2026'!AD$6)</f>
        <v>0</v>
      </c>
      <c r="AE24" s="148">
        <f>COUNTIFS('2026 Time Off Request'!$A:$A,'Aug 2026'!$D24,'2026 Time Off Request'!$L:$L,'Aug 2026'!AE$6)</f>
        <v>0</v>
      </c>
      <c r="AF24" s="148">
        <f>COUNTIFS('2026 Time Off Request'!$A:$A,'Aug 2026'!$D24,'2026 Time Off Request'!$L:$L,'Aug 2026'!AF$6)</f>
        <v>0</v>
      </c>
      <c r="AG24" s="148">
        <f>COUNTIFS('2026 Time Off Request'!$A:$A,'Aug 2026'!$D24,'2026 Time Off Request'!$L:$L,'Aug 2026'!AG$6)</f>
        <v>0</v>
      </c>
      <c r="AH24" s="147">
        <f>COUNTIFS('2026 Time Off Request'!$A:$A,'Aug 2026'!$D24,'2026 Time Off Request'!$L:$L,'Aug 2026'!AH$6)</f>
        <v>0</v>
      </c>
      <c r="AI24" s="147">
        <f>COUNTIFS('2026 Time Off Request'!$A:$A,'Aug 2026'!$D24,'2026 Time Off Request'!$L:$L,'Aug 2026'!AI$6)</f>
        <v>0</v>
      </c>
      <c r="AJ24" s="148">
        <f>COUNTIFS('2026 Time Off Request'!$A:$A,'Aug 2026'!$D24,'2026 Time Off Request'!$L:$L,'Aug 2026'!AJ$6)</f>
        <v>0</v>
      </c>
    </row>
    <row r="25" spans="1:36" ht="15.75">
      <c r="A25" s="2">
        <v>18</v>
      </c>
      <c r="B25" s="209" t="s">
        <v>45</v>
      </c>
      <c r="C25" s="210" t="s">
        <v>55</v>
      </c>
      <c r="D25" s="215" t="s">
        <v>56</v>
      </c>
      <c r="E25" s="212">
        <f t="shared" si="3"/>
        <v>0</v>
      </c>
      <c r="F25" s="213">
        <f>COUNTIFS('2026 Time Off Request'!$A:$A,'Aug 2026'!$D25,'2026 Time Off Request'!$L:$L,'Aug 2026'!F$6)</f>
        <v>0</v>
      </c>
      <c r="G25" s="147">
        <f>COUNTIFS('2026 Time Off Request'!$A:$A,'Aug 2026'!$D25,'2026 Time Off Request'!$L:$L,'Aug 2026'!G$6)</f>
        <v>0</v>
      </c>
      <c r="H25" s="224">
        <f>COUNTIFS('2026 Time Off Request'!$A:$A,'Aug 2026'!$D25,'2026 Time Off Request'!$L:$L,'Aug 2026'!H$6)</f>
        <v>0</v>
      </c>
      <c r="I25" s="148">
        <f>COUNTIFS('2026 Time Off Request'!$A:$A,'Aug 2026'!$D25,'2026 Time Off Request'!$L:$L,'Aug 2026'!I$6)</f>
        <v>0</v>
      </c>
      <c r="J25" s="148">
        <f>COUNTIFS('2026 Time Off Request'!$A:$A,'Aug 2026'!$D25,'2026 Time Off Request'!$L:$L,'Aug 2026'!J$6)</f>
        <v>0</v>
      </c>
      <c r="K25" s="148">
        <f>COUNTIFS('2026 Time Off Request'!$A:$A,'Aug 2026'!$D25,'2026 Time Off Request'!$L:$L,'Aug 2026'!K$6)</f>
        <v>0</v>
      </c>
      <c r="L25" s="148">
        <f>COUNTIFS('2026 Time Off Request'!$A:$A,'Aug 2026'!$D25,'2026 Time Off Request'!$L:$L,'Aug 2026'!L$6)</f>
        <v>0</v>
      </c>
      <c r="M25" s="147">
        <f>COUNTIFS('2026 Time Off Request'!$A:$A,'Aug 2026'!$D25,'2026 Time Off Request'!$L:$L,'Aug 2026'!M$6)</f>
        <v>0</v>
      </c>
      <c r="N25" s="147">
        <f>COUNTIFS('2026 Time Off Request'!$A:$A,'Aug 2026'!$D25,'2026 Time Off Request'!$L:$L,'Aug 2026'!N$6)</f>
        <v>0</v>
      </c>
      <c r="O25" s="148">
        <f>COUNTIFS('2026 Time Off Request'!$A:$A,'Aug 2026'!$D25,'2026 Time Off Request'!$L:$L,'Aug 2026'!O$6)</f>
        <v>0</v>
      </c>
      <c r="P25" s="148">
        <f>COUNTIFS('2026 Time Off Request'!$A:$A,'Aug 2026'!$D25,'2026 Time Off Request'!$L:$L,'Aug 2026'!P$6)</f>
        <v>0</v>
      </c>
      <c r="Q25" s="148">
        <f>COUNTIFS('2026 Time Off Request'!$A:$A,'Aug 2026'!$D25,'2026 Time Off Request'!$L:$L,'Aug 2026'!Q$6)</f>
        <v>0</v>
      </c>
      <c r="R25" s="148">
        <f>COUNTIFS('2026 Time Off Request'!$A:$A,'Aug 2026'!$D25,'2026 Time Off Request'!$L:$L,'Aug 2026'!R$6)</f>
        <v>0</v>
      </c>
      <c r="S25" s="148">
        <f>COUNTIFS('2026 Time Off Request'!$A:$A,'Aug 2026'!$D25,'2026 Time Off Request'!$L:$L,'Aug 2026'!S$6)</f>
        <v>0</v>
      </c>
      <c r="T25" s="147">
        <f>COUNTIFS('2026 Time Off Request'!$A:$A,'Aug 2026'!$D25,'2026 Time Off Request'!$L:$L,'Aug 2026'!T$6)</f>
        <v>0</v>
      </c>
      <c r="U25" s="147">
        <f>COUNTIFS('2026 Time Off Request'!$A:$A,'Aug 2026'!$D25,'2026 Time Off Request'!$L:$L,'Aug 2026'!U$6)</f>
        <v>0</v>
      </c>
      <c r="V25" s="148">
        <f>COUNTIFS('2026 Time Off Request'!$A:$A,'Aug 2026'!$D25,'2026 Time Off Request'!$L:$L,'Aug 2026'!V$6)</f>
        <v>0</v>
      </c>
      <c r="W25" s="148">
        <f>COUNTIFS('2026 Time Off Request'!$A:$A,'Aug 2026'!$D25,'2026 Time Off Request'!$L:$L,'Aug 2026'!W$6)</f>
        <v>0</v>
      </c>
      <c r="X25" s="148">
        <f>COUNTIFS('2026 Time Off Request'!$A:$A,'Aug 2026'!$D25,'2026 Time Off Request'!$L:$L,'Aug 2026'!X$6)</f>
        <v>0</v>
      </c>
      <c r="Y25" s="148">
        <f>COUNTIFS('2026 Time Off Request'!$A:$A,'Aug 2026'!$D25,'2026 Time Off Request'!$L:$L,'Aug 2026'!Y$6)</f>
        <v>0</v>
      </c>
      <c r="Z25" s="148">
        <f>COUNTIFS('2026 Time Off Request'!$A:$A,'Aug 2026'!$D25,'2026 Time Off Request'!$L:$L,'Aug 2026'!Z$6)</f>
        <v>0</v>
      </c>
      <c r="AA25" s="147">
        <f>COUNTIFS('2026 Time Off Request'!$A:$A,'Aug 2026'!$D25,'2026 Time Off Request'!$L:$L,'Aug 2026'!AA$6)</f>
        <v>0</v>
      </c>
      <c r="AB25" s="147">
        <f>COUNTIFS('2026 Time Off Request'!$A:$A,'Aug 2026'!$D25,'2026 Time Off Request'!$L:$L,'Aug 2026'!AB$6)</f>
        <v>0</v>
      </c>
      <c r="AC25" s="148">
        <f>COUNTIFS('2026 Time Off Request'!$A:$A,'Aug 2026'!$D25,'2026 Time Off Request'!$L:$L,'Aug 2026'!AC$6)</f>
        <v>0</v>
      </c>
      <c r="AD25" s="148">
        <f>COUNTIFS('2026 Time Off Request'!$A:$A,'Aug 2026'!$D25,'2026 Time Off Request'!$L:$L,'Aug 2026'!AD$6)</f>
        <v>0</v>
      </c>
      <c r="AE25" s="148">
        <f>COUNTIFS('2026 Time Off Request'!$A:$A,'Aug 2026'!$D25,'2026 Time Off Request'!$L:$L,'Aug 2026'!AE$6)</f>
        <v>0</v>
      </c>
      <c r="AF25" s="148">
        <f>COUNTIFS('2026 Time Off Request'!$A:$A,'Aug 2026'!$D25,'2026 Time Off Request'!$L:$L,'Aug 2026'!AF$6)</f>
        <v>0</v>
      </c>
      <c r="AG25" s="148">
        <f>COUNTIFS('2026 Time Off Request'!$A:$A,'Aug 2026'!$D25,'2026 Time Off Request'!$L:$L,'Aug 2026'!AG$6)</f>
        <v>0</v>
      </c>
      <c r="AH25" s="147">
        <f>COUNTIFS('2026 Time Off Request'!$A:$A,'Aug 2026'!$D25,'2026 Time Off Request'!$L:$L,'Aug 2026'!AH$6)</f>
        <v>0</v>
      </c>
      <c r="AI25" s="147">
        <f>COUNTIFS('2026 Time Off Request'!$A:$A,'Aug 2026'!$D25,'2026 Time Off Request'!$L:$L,'Aug 2026'!AI$6)</f>
        <v>0</v>
      </c>
      <c r="AJ25" s="148">
        <f>COUNTIFS('2026 Time Off Request'!$A:$A,'Aug 2026'!$D25,'2026 Time Off Request'!$L:$L,'Aug 2026'!AJ$6)</f>
        <v>0</v>
      </c>
    </row>
    <row r="26" spans="1:36" ht="15.75">
      <c r="A26" s="2"/>
      <c r="B26" s="209" t="s">
        <v>45</v>
      </c>
      <c r="C26" s="210" t="s">
        <v>55</v>
      </c>
      <c r="D26" s="215" t="s">
        <v>57</v>
      </c>
      <c r="E26" s="212">
        <f t="shared" si="3"/>
        <v>0</v>
      </c>
      <c r="F26" s="213">
        <f>COUNTIFS('2026 Time Off Request'!$A:$A,'Aug 2026'!$D26,'2026 Time Off Request'!$L:$L,'Aug 2026'!F$6)</f>
        <v>0</v>
      </c>
      <c r="G26" s="147">
        <f>COUNTIFS('2026 Time Off Request'!$A:$A,'Aug 2026'!$D26,'2026 Time Off Request'!$L:$L,'Aug 2026'!G$6)</f>
        <v>0</v>
      </c>
      <c r="H26" s="224">
        <f>COUNTIFS('2026 Time Off Request'!$A:$A,'Aug 2026'!$D26,'2026 Time Off Request'!$L:$L,'Aug 2026'!H$6)</f>
        <v>0</v>
      </c>
      <c r="I26" s="148">
        <f>COUNTIFS('2026 Time Off Request'!$A:$A,'Aug 2026'!$D26,'2026 Time Off Request'!$L:$L,'Aug 2026'!I$6)</f>
        <v>0</v>
      </c>
      <c r="J26" s="148">
        <f>COUNTIFS('2026 Time Off Request'!$A:$A,'Aug 2026'!$D26,'2026 Time Off Request'!$L:$L,'Aug 2026'!J$6)</f>
        <v>0</v>
      </c>
      <c r="K26" s="148">
        <f>COUNTIFS('2026 Time Off Request'!$A:$A,'Aug 2026'!$D26,'2026 Time Off Request'!$L:$L,'Aug 2026'!K$6)</f>
        <v>0</v>
      </c>
      <c r="L26" s="148">
        <f>COUNTIFS('2026 Time Off Request'!$A:$A,'Aug 2026'!$D26,'2026 Time Off Request'!$L:$L,'Aug 2026'!L$6)</f>
        <v>0</v>
      </c>
      <c r="M26" s="147">
        <f>COUNTIFS('2026 Time Off Request'!$A:$A,'Aug 2026'!$D26,'2026 Time Off Request'!$L:$L,'Aug 2026'!M$6)</f>
        <v>0</v>
      </c>
      <c r="N26" s="147">
        <f>COUNTIFS('2026 Time Off Request'!$A:$A,'Aug 2026'!$D26,'2026 Time Off Request'!$L:$L,'Aug 2026'!N$6)</f>
        <v>0</v>
      </c>
      <c r="O26" s="148">
        <f>COUNTIFS('2026 Time Off Request'!$A:$A,'Aug 2026'!$D26,'2026 Time Off Request'!$L:$L,'Aug 2026'!O$6)</f>
        <v>0</v>
      </c>
      <c r="P26" s="148">
        <f>COUNTIFS('2026 Time Off Request'!$A:$A,'Aug 2026'!$D26,'2026 Time Off Request'!$L:$L,'Aug 2026'!P$6)</f>
        <v>0</v>
      </c>
      <c r="Q26" s="148">
        <f>COUNTIFS('2026 Time Off Request'!$A:$A,'Aug 2026'!$D26,'2026 Time Off Request'!$L:$L,'Aug 2026'!Q$6)</f>
        <v>0</v>
      </c>
      <c r="R26" s="148">
        <f>COUNTIFS('2026 Time Off Request'!$A:$A,'Aug 2026'!$D26,'2026 Time Off Request'!$L:$L,'Aug 2026'!R$6)</f>
        <v>0</v>
      </c>
      <c r="S26" s="148">
        <f>COUNTIFS('2026 Time Off Request'!$A:$A,'Aug 2026'!$D26,'2026 Time Off Request'!$L:$L,'Aug 2026'!S$6)</f>
        <v>0</v>
      </c>
      <c r="T26" s="147">
        <f>COUNTIFS('2026 Time Off Request'!$A:$A,'Aug 2026'!$D26,'2026 Time Off Request'!$L:$L,'Aug 2026'!T$6)</f>
        <v>0</v>
      </c>
      <c r="U26" s="147">
        <f>COUNTIFS('2026 Time Off Request'!$A:$A,'Aug 2026'!$D26,'2026 Time Off Request'!$L:$L,'Aug 2026'!U$6)</f>
        <v>0</v>
      </c>
      <c r="V26" s="148">
        <f>COUNTIFS('2026 Time Off Request'!$A:$A,'Aug 2026'!$D26,'2026 Time Off Request'!$L:$L,'Aug 2026'!V$6)</f>
        <v>0</v>
      </c>
      <c r="W26" s="148">
        <f>COUNTIFS('2026 Time Off Request'!$A:$A,'Aug 2026'!$D26,'2026 Time Off Request'!$L:$L,'Aug 2026'!W$6)</f>
        <v>0</v>
      </c>
      <c r="X26" s="148">
        <f>COUNTIFS('2026 Time Off Request'!$A:$A,'Aug 2026'!$D26,'2026 Time Off Request'!$L:$L,'Aug 2026'!X$6)</f>
        <v>0</v>
      </c>
      <c r="Y26" s="148">
        <f>COUNTIFS('2026 Time Off Request'!$A:$A,'Aug 2026'!$D26,'2026 Time Off Request'!$L:$L,'Aug 2026'!Y$6)</f>
        <v>0</v>
      </c>
      <c r="Z26" s="148">
        <f>COUNTIFS('2026 Time Off Request'!$A:$A,'Aug 2026'!$D26,'2026 Time Off Request'!$L:$L,'Aug 2026'!Z$6)</f>
        <v>0</v>
      </c>
      <c r="AA26" s="147">
        <f>COUNTIFS('2026 Time Off Request'!$A:$A,'Aug 2026'!$D26,'2026 Time Off Request'!$L:$L,'Aug 2026'!AA$6)</f>
        <v>0</v>
      </c>
      <c r="AB26" s="147">
        <f>COUNTIFS('2026 Time Off Request'!$A:$A,'Aug 2026'!$D26,'2026 Time Off Request'!$L:$L,'Aug 2026'!AB$6)</f>
        <v>0</v>
      </c>
      <c r="AC26" s="148">
        <f>COUNTIFS('2026 Time Off Request'!$A:$A,'Aug 2026'!$D26,'2026 Time Off Request'!$L:$L,'Aug 2026'!AC$6)</f>
        <v>0</v>
      </c>
      <c r="AD26" s="148">
        <f>COUNTIFS('2026 Time Off Request'!$A:$A,'Aug 2026'!$D26,'2026 Time Off Request'!$L:$L,'Aug 2026'!AD$6)</f>
        <v>0</v>
      </c>
      <c r="AE26" s="148">
        <f>COUNTIFS('2026 Time Off Request'!$A:$A,'Aug 2026'!$D26,'2026 Time Off Request'!$L:$L,'Aug 2026'!AE$6)</f>
        <v>0</v>
      </c>
      <c r="AF26" s="148">
        <f>COUNTIFS('2026 Time Off Request'!$A:$A,'Aug 2026'!$D26,'2026 Time Off Request'!$L:$L,'Aug 2026'!AF$6)</f>
        <v>0</v>
      </c>
      <c r="AG26" s="148">
        <f>COUNTIFS('2026 Time Off Request'!$A:$A,'Aug 2026'!$D26,'2026 Time Off Request'!$L:$L,'Aug 2026'!AG$6)</f>
        <v>0</v>
      </c>
      <c r="AH26" s="147">
        <f>COUNTIFS('2026 Time Off Request'!$A:$A,'Aug 2026'!$D26,'2026 Time Off Request'!$L:$L,'Aug 2026'!AH$6)</f>
        <v>0</v>
      </c>
      <c r="AI26" s="147">
        <f>COUNTIFS('2026 Time Off Request'!$A:$A,'Aug 2026'!$D26,'2026 Time Off Request'!$L:$L,'Aug 2026'!AI$6)</f>
        <v>0</v>
      </c>
      <c r="AJ26" s="148">
        <f>COUNTIFS('2026 Time Off Request'!$A:$A,'Aug 2026'!$D26,'2026 Time Off Request'!$L:$L,'Aug 2026'!AJ$6)</f>
        <v>0</v>
      </c>
    </row>
    <row r="27" spans="1:36" ht="15.75">
      <c r="A27" s="2">
        <v>19</v>
      </c>
      <c r="B27" s="209" t="s">
        <v>45</v>
      </c>
      <c r="C27" s="210" t="s">
        <v>58</v>
      </c>
      <c r="D27" s="215" t="s">
        <v>59</v>
      </c>
      <c r="E27" s="212">
        <f t="shared" si="3"/>
        <v>0</v>
      </c>
      <c r="F27" s="213">
        <f>COUNTIFS('2026 Time Off Request'!$A:$A,'Aug 2026'!$D27,'2026 Time Off Request'!$L:$L,'Aug 2026'!F$6)</f>
        <v>0</v>
      </c>
      <c r="G27" s="147">
        <f>COUNTIFS('2026 Time Off Request'!$A:$A,'Aug 2026'!$D27,'2026 Time Off Request'!$L:$L,'Aug 2026'!G$6)</f>
        <v>0</v>
      </c>
      <c r="H27" s="224">
        <f>COUNTIFS('2026 Time Off Request'!$A:$A,'Aug 2026'!$D27,'2026 Time Off Request'!$L:$L,'Aug 2026'!H$6)</f>
        <v>0</v>
      </c>
      <c r="I27" s="148">
        <f>COUNTIFS('2026 Time Off Request'!$A:$A,'Aug 2026'!$D27,'2026 Time Off Request'!$L:$L,'Aug 2026'!I$6)</f>
        <v>0</v>
      </c>
      <c r="J27" s="148">
        <f>COUNTIFS('2026 Time Off Request'!$A:$A,'Aug 2026'!$D27,'2026 Time Off Request'!$L:$L,'Aug 2026'!J$6)</f>
        <v>0</v>
      </c>
      <c r="K27" s="148">
        <f>COUNTIFS('2026 Time Off Request'!$A:$A,'Aug 2026'!$D27,'2026 Time Off Request'!$L:$L,'Aug 2026'!K$6)</f>
        <v>0</v>
      </c>
      <c r="L27" s="148">
        <f>COUNTIFS('2026 Time Off Request'!$A:$A,'Aug 2026'!$D27,'2026 Time Off Request'!$L:$L,'Aug 2026'!L$6)</f>
        <v>0</v>
      </c>
      <c r="M27" s="147">
        <f>COUNTIFS('2026 Time Off Request'!$A:$A,'Aug 2026'!$D27,'2026 Time Off Request'!$L:$L,'Aug 2026'!M$6)</f>
        <v>0</v>
      </c>
      <c r="N27" s="147">
        <f>COUNTIFS('2026 Time Off Request'!$A:$A,'Aug 2026'!$D27,'2026 Time Off Request'!$L:$L,'Aug 2026'!N$6)</f>
        <v>0</v>
      </c>
      <c r="O27" s="148">
        <f>COUNTIFS('2026 Time Off Request'!$A:$A,'Aug 2026'!$D27,'2026 Time Off Request'!$L:$L,'Aug 2026'!O$6)</f>
        <v>0</v>
      </c>
      <c r="P27" s="148">
        <f>COUNTIFS('2026 Time Off Request'!$A:$A,'Aug 2026'!$D27,'2026 Time Off Request'!$L:$L,'Aug 2026'!P$6)</f>
        <v>0</v>
      </c>
      <c r="Q27" s="148">
        <f>COUNTIFS('2026 Time Off Request'!$A:$A,'Aug 2026'!$D27,'2026 Time Off Request'!$L:$L,'Aug 2026'!Q$6)</f>
        <v>0</v>
      </c>
      <c r="R27" s="148">
        <f>COUNTIFS('2026 Time Off Request'!$A:$A,'Aug 2026'!$D27,'2026 Time Off Request'!$L:$L,'Aug 2026'!R$6)</f>
        <v>0</v>
      </c>
      <c r="S27" s="148">
        <f>COUNTIFS('2026 Time Off Request'!$A:$A,'Aug 2026'!$D27,'2026 Time Off Request'!$L:$L,'Aug 2026'!S$6)</f>
        <v>0</v>
      </c>
      <c r="T27" s="147">
        <f>COUNTIFS('2026 Time Off Request'!$A:$A,'Aug 2026'!$D27,'2026 Time Off Request'!$L:$L,'Aug 2026'!T$6)</f>
        <v>0</v>
      </c>
      <c r="U27" s="147">
        <f>COUNTIFS('2026 Time Off Request'!$A:$A,'Aug 2026'!$D27,'2026 Time Off Request'!$L:$L,'Aug 2026'!U$6)</f>
        <v>0</v>
      </c>
      <c r="V27" s="148">
        <f>COUNTIFS('2026 Time Off Request'!$A:$A,'Aug 2026'!$D27,'2026 Time Off Request'!$L:$L,'Aug 2026'!V$6)</f>
        <v>0</v>
      </c>
      <c r="W27" s="148">
        <f>COUNTIFS('2026 Time Off Request'!$A:$A,'Aug 2026'!$D27,'2026 Time Off Request'!$L:$L,'Aug 2026'!W$6)</f>
        <v>0</v>
      </c>
      <c r="X27" s="148">
        <f>COUNTIFS('2026 Time Off Request'!$A:$A,'Aug 2026'!$D27,'2026 Time Off Request'!$L:$L,'Aug 2026'!X$6)</f>
        <v>0</v>
      </c>
      <c r="Y27" s="148">
        <f>COUNTIFS('2026 Time Off Request'!$A:$A,'Aug 2026'!$D27,'2026 Time Off Request'!$L:$L,'Aug 2026'!Y$6)</f>
        <v>0</v>
      </c>
      <c r="Z27" s="148">
        <f>COUNTIFS('2026 Time Off Request'!$A:$A,'Aug 2026'!$D27,'2026 Time Off Request'!$L:$L,'Aug 2026'!Z$6)</f>
        <v>0</v>
      </c>
      <c r="AA27" s="147">
        <f>COUNTIFS('2026 Time Off Request'!$A:$A,'Aug 2026'!$D27,'2026 Time Off Request'!$L:$L,'Aug 2026'!AA$6)</f>
        <v>0</v>
      </c>
      <c r="AB27" s="147">
        <f>COUNTIFS('2026 Time Off Request'!$A:$A,'Aug 2026'!$D27,'2026 Time Off Request'!$L:$L,'Aug 2026'!AB$6)</f>
        <v>0</v>
      </c>
      <c r="AC27" s="148">
        <f>COUNTIFS('2026 Time Off Request'!$A:$A,'Aug 2026'!$D27,'2026 Time Off Request'!$L:$L,'Aug 2026'!AC$6)</f>
        <v>0</v>
      </c>
      <c r="AD27" s="148">
        <f>COUNTIFS('2026 Time Off Request'!$A:$A,'Aug 2026'!$D27,'2026 Time Off Request'!$L:$L,'Aug 2026'!AD$6)</f>
        <v>0</v>
      </c>
      <c r="AE27" s="148">
        <f>COUNTIFS('2026 Time Off Request'!$A:$A,'Aug 2026'!$D27,'2026 Time Off Request'!$L:$L,'Aug 2026'!AE$6)</f>
        <v>0</v>
      </c>
      <c r="AF27" s="148">
        <f>COUNTIFS('2026 Time Off Request'!$A:$A,'Aug 2026'!$D27,'2026 Time Off Request'!$L:$L,'Aug 2026'!AF$6)</f>
        <v>0</v>
      </c>
      <c r="AG27" s="148">
        <f>COUNTIFS('2026 Time Off Request'!$A:$A,'Aug 2026'!$D27,'2026 Time Off Request'!$L:$L,'Aug 2026'!AG$6)</f>
        <v>0</v>
      </c>
      <c r="AH27" s="147">
        <f>COUNTIFS('2026 Time Off Request'!$A:$A,'Aug 2026'!$D27,'2026 Time Off Request'!$L:$L,'Aug 2026'!AH$6)</f>
        <v>0</v>
      </c>
      <c r="AI27" s="147">
        <f>COUNTIFS('2026 Time Off Request'!$A:$A,'Aug 2026'!$D27,'2026 Time Off Request'!$L:$L,'Aug 2026'!AI$6)</f>
        <v>0</v>
      </c>
      <c r="AJ27" s="148">
        <f>COUNTIFS('2026 Time Off Request'!$A:$A,'Aug 2026'!$D27,'2026 Time Off Request'!$L:$L,'Aug 2026'!AJ$6)</f>
        <v>0</v>
      </c>
    </row>
    <row r="28" spans="1:36" ht="15.75">
      <c r="A28" s="2">
        <v>20</v>
      </c>
      <c r="B28" s="209" t="s">
        <v>45</v>
      </c>
      <c r="C28" s="210" t="s">
        <v>60</v>
      </c>
      <c r="D28" s="215" t="s">
        <v>61</v>
      </c>
      <c r="E28" s="212">
        <f t="shared" si="3"/>
        <v>0</v>
      </c>
      <c r="F28" s="213">
        <f>COUNTIFS('2026 Time Off Request'!$A:$A,'Aug 2026'!$D28,'2026 Time Off Request'!$L:$L,'Aug 2026'!F$6)</f>
        <v>0</v>
      </c>
      <c r="G28" s="147">
        <f>COUNTIFS('2026 Time Off Request'!$A:$A,'Aug 2026'!$D28,'2026 Time Off Request'!$L:$L,'Aug 2026'!G$6)</f>
        <v>0</v>
      </c>
      <c r="H28" s="224">
        <f>COUNTIFS('2026 Time Off Request'!$A:$A,'Aug 2026'!$D28,'2026 Time Off Request'!$L:$L,'Aug 2026'!H$6)</f>
        <v>0</v>
      </c>
      <c r="I28" s="148">
        <f>COUNTIFS('2026 Time Off Request'!$A:$A,'Aug 2026'!$D28,'2026 Time Off Request'!$L:$L,'Aug 2026'!I$6)</f>
        <v>0</v>
      </c>
      <c r="J28" s="148">
        <f>COUNTIFS('2026 Time Off Request'!$A:$A,'Aug 2026'!$D28,'2026 Time Off Request'!$L:$L,'Aug 2026'!J$6)</f>
        <v>0</v>
      </c>
      <c r="K28" s="148">
        <f>COUNTIFS('2026 Time Off Request'!$A:$A,'Aug 2026'!$D28,'2026 Time Off Request'!$L:$L,'Aug 2026'!K$6)</f>
        <v>0</v>
      </c>
      <c r="L28" s="148">
        <f>COUNTIFS('2026 Time Off Request'!$A:$A,'Aug 2026'!$D28,'2026 Time Off Request'!$L:$L,'Aug 2026'!L$6)</f>
        <v>0</v>
      </c>
      <c r="M28" s="147">
        <f>COUNTIFS('2026 Time Off Request'!$A:$A,'Aug 2026'!$D28,'2026 Time Off Request'!$L:$L,'Aug 2026'!M$6)</f>
        <v>0</v>
      </c>
      <c r="N28" s="147">
        <f>COUNTIFS('2026 Time Off Request'!$A:$A,'Aug 2026'!$D28,'2026 Time Off Request'!$L:$L,'Aug 2026'!N$6)</f>
        <v>0</v>
      </c>
      <c r="O28" s="148">
        <f>COUNTIFS('2026 Time Off Request'!$A:$A,'Aug 2026'!$D28,'2026 Time Off Request'!$L:$L,'Aug 2026'!O$6)</f>
        <v>0</v>
      </c>
      <c r="P28" s="148">
        <f>COUNTIFS('2026 Time Off Request'!$A:$A,'Aug 2026'!$D28,'2026 Time Off Request'!$L:$L,'Aug 2026'!P$6)</f>
        <v>0</v>
      </c>
      <c r="Q28" s="148">
        <f>COUNTIFS('2026 Time Off Request'!$A:$A,'Aug 2026'!$D28,'2026 Time Off Request'!$L:$L,'Aug 2026'!Q$6)</f>
        <v>0</v>
      </c>
      <c r="R28" s="148">
        <f>COUNTIFS('2026 Time Off Request'!$A:$A,'Aug 2026'!$D28,'2026 Time Off Request'!$L:$L,'Aug 2026'!R$6)</f>
        <v>0</v>
      </c>
      <c r="S28" s="148">
        <f>COUNTIFS('2026 Time Off Request'!$A:$A,'Aug 2026'!$D28,'2026 Time Off Request'!$L:$L,'Aug 2026'!S$6)</f>
        <v>0</v>
      </c>
      <c r="T28" s="147">
        <f>COUNTIFS('2026 Time Off Request'!$A:$A,'Aug 2026'!$D28,'2026 Time Off Request'!$L:$L,'Aug 2026'!T$6)</f>
        <v>0</v>
      </c>
      <c r="U28" s="147">
        <f>COUNTIFS('2026 Time Off Request'!$A:$A,'Aug 2026'!$D28,'2026 Time Off Request'!$L:$L,'Aug 2026'!U$6)</f>
        <v>0</v>
      </c>
      <c r="V28" s="148">
        <f>COUNTIFS('2026 Time Off Request'!$A:$A,'Aug 2026'!$D28,'2026 Time Off Request'!$L:$L,'Aug 2026'!V$6)</f>
        <v>0</v>
      </c>
      <c r="W28" s="148">
        <f>COUNTIFS('2026 Time Off Request'!$A:$A,'Aug 2026'!$D28,'2026 Time Off Request'!$L:$L,'Aug 2026'!W$6)</f>
        <v>0</v>
      </c>
      <c r="X28" s="148">
        <f>COUNTIFS('2026 Time Off Request'!$A:$A,'Aug 2026'!$D28,'2026 Time Off Request'!$L:$L,'Aug 2026'!X$6)</f>
        <v>0</v>
      </c>
      <c r="Y28" s="148">
        <f>COUNTIFS('2026 Time Off Request'!$A:$A,'Aug 2026'!$D28,'2026 Time Off Request'!$L:$L,'Aug 2026'!Y$6)</f>
        <v>0</v>
      </c>
      <c r="Z28" s="148">
        <f>COUNTIFS('2026 Time Off Request'!$A:$A,'Aug 2026'!$D28,'2026 Time Off Request'!$L:$L,'Aug 2026'!Z$6)</f>
        <v>0</v>
      </c>
      <c r="AA28" s="147">
        <f>COUNTIFS('2026 Time Off Request'!$A:$A,'Aug 2026'!$D28,'2026 Time Off Request'!$L:$L,'Aug 2026'!AA$6)</f>
        <v>0</v>
      </c>
      <c r="AB28" s="147">
        <f>COUNTIFS('2026 Time Off Request'!$A:$A,'Aug 2026'!$D28,'2026 Time Off Request'!$L:$L,'Aug 2026'!AB$6)</f>
        <v>0</v>
      </c>
      <c r="AC28" s="148">
        <f>COUNTIFS('2026 Time Off Request'!$A:$A,'Aug 2026'!$D28,'2026 Time Off Request'!$L:$L,'Aug 2026'!AC$6)</f>
        <v>0</v>
      </c>
      <c r="AD28" s="148">
        <f>COUNTIFS('2026 Time Off Request'!$A:$A,'Aug 2026'!$D28,'2026 Time Off Request'!$L:$L,'Aug 2026'!AD$6)</f>
        <v>0</v>
      </c>
      <c r="AE28" s="148">
        <f>COUNTIFS('2026 Time Off Request'!$A:$A,'Aug 2026'!$D28,'2026 Time Off Request'!$L:$L,'Aug 2026'!AE$6)</f>
        <v>0</v>
      </c>
      <c r="AF28" s="148">
        <f>COUNTIFS('2026 Time Off Request'!$A:$A,'Aug 2026'!$D28,'2026 Time Off Request'!$L:$L,'Aug 2026'!AF$6)</f>
        <v>0</v>
      </c>
      <c r="AG28" s="148">
        <f>COUNTIFS('2026 Time Off Request'!$A:$A,'Aug 2026'!$D28,'2026 Time Off Request'!$L:$L,'Aug 2026'!AG$6)</f>
        <v>0</v>
      </c>
      <c r="AH28" s="147">
        <f>COUNTIFS('2026 Time Off Request'!$A:$A,'Aug 2026'!$D28,'2026 Time Off Request'!$L:$L,'Aug 2026'!AH$6)</f>
        <v>0</v>
      </c>
      <c r="AI28" s="147">
        <f>COUNTIFS('2026 Time Off Request'!$A:$A,'Aug 2026'!$D28,'2026 Time Off Request'!$L:$L,'Aug 2026'!AI$6)</f>
        <v>0</v>
      </c>
      <c r="AJ28" s="148">
        <f>COUNTIFS('2026 Time Off Request'!$A:$A,'Aug 2026'!$D28,'2026 Time Off Request'!$L:$L,'Aug 2026'!AJ$6)</f>
        <v>0</v>
      </c>
    </row>
    <row r="29" spans="1:36" ht="15.75">
      <c r="A29" s="2"/>
      <c r="B29" s="209" t="s">
        <v>45</v>
      </c>
      <c r="C29" s="210" t="s">
        <v>62</v>
      </c>
      <c r="D29" s="215" t="s">
        <v>63</v>
      </c>
      <c r="E29" s="212">
        <f t="shared" si="3"/>
        <v>0</v>
      </c>
      <c r="F29" s="213">
        <f>COUNTIFS('2026 Time Off Request'!$A:$A,'Aug 2026'!$D29,'2026 Time Off Request'!$L:$L,'Aug 2026'!F$6)</f>
        <v>0</v>
      </c>
      <c r="G29" s="147">
        <f>COUNTIFS('2026 Time Off Request'!$A:$A,'Aug 2026'!$D29,'2026 Time Off Request'!$L:$L,'Aug 2026'!G$6)</f>
        <v>0</v>
      </c>
      <c r="H29" s="224">
        <f>COUNTIFS('2026 Time Off Request'!$A:$A,'Aug 2026'!$D29,'2026 Time Off Request'!$L:$L,'Aug 2026'!H$6)</f>
        <v>0</v>
      </c>
      <c r="I29" s="148">
        <f>COUNTIFS('2026 Time Off Request'!$A:$A,'Aug 2026'!$D29,'2026 Time Off Request'!$L:$L,'Aug 2026'!I$6)</f>
        <v>0</v>
      </c>
      <c r="J29" s="148">
        <f>COUNTIFS('2026 Time Off Request'!$A:$A,'Aug 2026'!$D29,'2026 Time Off Request'!$L:$L,'Aug 2026'!J$6)</f>
        <v>0</v>
      </c>
      <c r="K29" s="148">
        <f>COUNTIFS('2026 Time Off Request'!$A:$A,'Aug 2026'!$D29,'2026 Time Off Request'!$L:$L,'Aug 2026'!K$6)</f>
        <v>0</v>
      </c>
      <c r="L29" s="148">
        <f>COUNTIFS('2026 Time Off Request'!$A:$A,'Aug 2026'!$D29,'2026 Time Off Request'!$L:$L,'Aug 2026'!L$6)</f>
        <v>0</v>
      </c>
      <c r="M29" s="147">
        <f>COUNTIFS('2026 Time Off Request'!$A:$A,'Aug 2026'!$D29,'2026 Time Off Request'!$L:$L,'Aug 2026'!M$6)</f>
        <v>0</v>
      </c>
      <c r="N29" s="147">
        <f>COUNTIFS('2026 Time Off Request'!$A:$A,'Aug 2026'!$D29,'2026 Time Off Request'!$L:$L,'Aug 2026'!N$6)</f>
        <v>0</v>
      </c>
      <c r="O29" s="148">
        <f>COUNTIFS('2026 Time Off Request'!$A:$A,'Aug 2026'!$D29,'2026 Time Off Request'!$L:$L,'Aug 2026'!O$6)</f>
        <v>0</v>
      </c>
      <c r="P29" s="148">
        <f>COUNTIFS('2026 Time Off Request'!$A:$A,'Aug 2026'!$D29,'2026 Time Off Request'!$L:$L,'Aug 2026'!P$6)</f>
        <v>0</v>
      </c>
      <c r="Q29" s="148">
        <f>COUNTIFS('2026 Time Off Request'!$A:$A,'Aug 2026'!$D29,'2026 Time Off Request'!$L:$L,'Aug 2026'!Q$6)</f>
        <v>0</v>
      </c>
      <c r="R29" s="148">
        <f>COUNTIFS('2026 Time Off Request'!$A:$A,'Aug 2026'!$D29,'2026 Time Off Request'!$L:$L,'Aug 2026'!R$6)</f>
        <v>0</v>
      </c>
      <c r="S29" s="148">
        <f>COUNTIFS('2026 Time Off Request'!$A:$A,'Aug 2026'!$D29,'2026 Time Off Request'!$L:$L,'Aug 2026'!S$6)</f>
        <v>0</v>
      </c>
      <c r="T29" s="147">
        <f>COUNTIFS('2026 Time Off Request'!$A:$A,'Aug 2026'!$D29,'2026 Time Off Request'!$L:$L,'Aug 2026'!T$6)</f>
        <v>0</v>
      </c>
      <c r="U29" s="147">
        <f>COUNTIFS('2026 Time Off Request'!$A:$A,'Aug 2026'!$D29,'2026 Time Off Request'!$L:$L,'Aug 2026'!U$6)</f>
        <v>0</v>
      </c>
      <c r="V29" s="148">
        <f>COUNTIFS('2026 Time Off Request'!$A:$A,'Aug 2026'!$D29,'2026 Time Off Request'!$L:$L,'Aug 2026'!V$6)</f>
        <v>0</v>
      </c>
      <c r="W29" s="148">
        <f>COUNTIFS('2026 Time Off Request'!$A:$A,'Aug 2026'!$D29,'2026 Time Off Request'!$L:$L,'Aug 2026'!W$6)</f>
        <v>0</v>
      </c>
      <c r="X29" s="148">
        <f>COUNTIFS('2026 Time Off Request'!$A:$A,'Aug 2026'!$D29,'2026 Time Off Request'!$L:$L,'Aug 2026'!X$6)</f>
        <v>0</v>
      </c>
      <c r="Y29" s="148">
        <f>COUNTIFS('2026 Time Off Request'!$A:$A,'Aug 2026'!$D29,'2026 Time Off Request'!$L:$L,'Aug 2026'!Y$6)</f>
        <v>0</v>
      </c>
      <c r="Z29" s="148">
        <f>COUNTIFS('2026 Time Off Request'!$A:$A,'Aug 2026'!$D29,'2026 Time Off Request'!$L:$L,'Aug 2026'!Z$6)</f>
        <v>0</v>
      </c>
      <c r="AA29" s="147">
        <f>COUNTIFS('2026 Time Off Request'!$A:$A,'Aug 2026'!$D29,'2026 Time Off Request'!$L:$L,'Aug 2026'!AA$6)</f>
        <v>0</v>
      </c>
      <c r="AB29" s="147">
        <f>COUNTIFS('2026 Time Off Request'!$A:$A,'Aug 2026'!$D29,'2026 Time Off Request'!$L:$L,'Aug 2026'!AB$6)</f>
        <v>0</v>
      </c>
      <c r="AC29" s="148">
        <f>COUNTIFS('2026 Time Off Request'!$A:$A,'Aug 2026'!$D29,'2026 Time Off Request'!$L:$L,'Aug 2026'!AC$6)</f>
        <v>0</v>
      </c>
      <c r="AD29" s="148">
        <f>COUNTIFS('2026 Time Off Request'!$A:$A,'Aug 2026'!$D29,'2026 Time Off Request'!$L:$L,'Aug 2026'!AD$6)</f>
        <v>0</v>
      </c>
      <c r="AE29" s="148">
        <f>COUNTIFS('2026 Time Off Request'!$A:$A,'Aug 2026'!$D29,'2026 Time Off Request'!$L:$L,'Aug 2026'!AE$6)</f>
        <v>0</v>
      </c>
      <c r="AF29" s="148">
        <f>COUNTIFS('2026 Time Off Request'!$A:$A,'Aug 2026'!$D29,'2026 Time Off Request'!$L:$L,'Aug 2026'!AF$6)</f>
        <v>0</v>
      </c>
      <c r="AG29" s="148">
        <f>COUNTIFS('2026 Time Off Request'!$A:$A,'Aug 2026'!$D29,'2026 Time Off Request'!$L:$L,'Aug 2026'!AG$6)</f>
        <v>0</v>
      </c>
      <c r="AH29" s="147">
        <f>COUNTIFS('2026 Time Off Request'!$A:$A,'Aug 2026'!$D29,'2026 Time Off Request'!$L:$L,'Aug 2026'!AH$6)</f>
        <v>0</v>
      </c>
      <c r="AI29" s="147">
        <f>COUNTIFS('2026 Time Off Request'!$A:$A,'Aug 2026'!$D29,'2026 Time Off Request'!$L:$L,'Aug 2026'!AI$6)</f>
        <v>0</v>
      </c>
      <c r="AJ29" s="148">
        <f>COUNTIFS('2026 Time Off Request'!$A:$A,'Aug 2026'!$D29,'2026 Time Off Request'!$L:$L,'Aug 2026'!AJ$6)</f>
        <v>0</v>
      </c>
    </row>
    <row r="30" spans="1:36" ht="15.75">
      <c r="A30" s="2">
        <v>21</v>
      </c>
      <c r="B30" s="209" t="s">
        <v>49</v>
      </c>
      <c r="C30" s="210" t="s">
        <v>64</v>
      </c>
      <c r="D30" s="215" t="s">
        <v>65</v>
      </c>
      <c r="E30" s="212">
        <f t="shared" si="2"/>
        <v>0</v>
      </c>
      <c r="F30" s="213">
        <f>COUNTIFS('2026 Time Off Request'!$A:$A,'Aug 2026'!$D30,'2026 Time Off Request'!$L:$L,'Aug 2026'!F$6)</f>
        <v>0</v>
      </c>
      <c r="G30" s="147">
        <f>COUNTIFS('2026 Time Off Request'!$A:$A,'Aug 2026'!$D30,'2026 Time Off Request'!$L:$L,'Aug 2026'!G$6)</f>
        <v>0</v>
      </c>
      <c r="H30" s="224">
        <f>COUNTIFS('2026 Time Off Request'!$A:$A,'Aug 2026'!$D30,'2026 Time Off Request'!$L:$L,'Aug 2026'!H$6)</f>
        <v>0</v>
      </c>
      <c r="I30" s="148">
        <f>COUNTIFS('2026 Time Off Request'!$A:$A,'Aug 2026'!$D30,'2026 Time Off Request'!$L:$L,'Aug 2026'!I$6)</f>
        <v>0</v>
      </c>
      <c r="J30" s="148">
        <f>COUNTIFS('2026 Time Off Request'!$A:$A,'Aug 2026'!$D30,'2026 Time Off Request'!$L:$L,'Aug 2026'!J$6)</f>
        <v>0</v>
      </c>
      <c r="K30" s="148">
        <f>COUNTIFS('2026 Time Off Request'!$A:$A,'Aug 2026'!$D30,'2026 Time Off Request'!$L:$L,'Aug 2026'!K$6)</f>
        <v>0</v>
      </c>
      <c r="L30" s="148">
        <f>COUNTIFS('2026 Time Off Request'!$A:$A,'Aug 2026'!$D30,'2026 Time Off Request'!$L:$L,'Aug 2026'!L$6)</f>
        <v>0</v>
      </c>
      <c r="M30" s="147">
        <f>COUNTIFS('2026 Time Off Request'!$A:$A,'Aug 2026'!$D30,'2026 Time Off Request'!$L:$L,'Aug 2026'!M$6)</f>
        <v>0</v>
      </c>
      <c r="N30" s="147">
        <f>COUNTIFS('2026 Time Off Request'!$A:$A,'Aug 2026'!$D30,'2026 Time Off Request'!$L:$L,'Aug 2026'!N$6)</f>
        <v>0</v>
      </c>
      <c r="O30" s="148">
        <f>COUNTIFS('2026 Time Off Request'!$A:$A,'Aug 2026'!$D30,'2026 Time Off Request'!$L:$L,'Aug 2026'!O$6)</f>
        <v>0</v>
      </c>
      <c r="P30" s="148">
        <f>COUNTIFS('2026 Time Off Request'!$A:$A,'Aug 2026'!$D30,'2026 Time Off Request'!$L:$L,'Aug 2026'!P$6)</f>
        <v>0</v>
      </c>
      <c r="Q30" s="148">
        <f>COUNTIFS('2026 Time Off Request'!$A:$A,'Aug 2026'!$D30,'2026 Time Off Request'!$L:$L,'Aug 2026'!Q$6)</f>
        <v>0</v>
      </c>
      <c r="R30" s="148">
        <f>COUNTIFS('2026 Time Off Request'!$A:$A,'Aug 2026'!$D30,'2026 Time Off Request'!$L:$L,'Aug 2026'!R$6)</f>
        <v>0</v>
      </c>
      <c r="S30" s="148">
        <f>COUNTIFS('2026 Time Off Request'!$A:$A,'Aug 2026'!$D30,'2026 Time Off Request'!$L:$L,'Aug 2026'!S$6)</f>
        <v>0</v>
      </c>
      <c r="T30" s="147">
        <f>COUNTIFS('2026 Time Off Request'!$A:$A,'Aug 2026'!$D30,'2026 Time Off Request'!$L:$L,'Aug 2026'!T$6)</f>
        <v>0</v>
      </c>
      <c r="U30" s="147">
        <f>COUNTIFS('2026 Time Off Request'!$A:$A,'Aug 2026'!$D30,'2026 Time Off Request'!$L:$L,'Aug 2026'!U$6)</f>
        <v>0</v>
      </c>
      <c r="V30" s="148">
        <f>COUNTIFS('2026 Time Off Request'!$A:$A,'Aug 2026'!$D30,'2026 Time Off Request'!$L:$L,'Aug 2026'!V$6)</f>
        <v>0</v>
      </c>
      <c r="W30" s="148">
        <f>COUNTIFS('2026 Time Off Request'!$A:$A,'Aug 2026'!$D30,'2026 Time Off Request'!$L:$L,'Aug 2026'!W$6)</f>
        <v>0</v>
      </c>
      <c r="X30" s="148">
        <f>COUNTIFS('2026 Time Off Request'!$A:$A,'Aug 2026'!$D30,'2026 Time Off Request'!$L:$L,'Aug 2026'!X$6)</f>
        <v>0</v>
      </c>
      <c r="Y30" s="148">
        <f>COUNTIFS('2026 Time Off Request'!$A:$A,'Aug 2026'!$D30,'2026 Time Off Request'!$L:$L,'Aug 2026'!Y$6)</f>
        <v>0</v>
      </c>
      <c r="Z30" s="148">
        <f>COUNTIFS('2026 Time Off Request'!$A:$A,'Aug 2026'!$D30,'2026 Time Off Request'!$L:$L,'Aug 2026'!Z$6)</f>
        <v>0</v>
      </c>
      <c r="AA30" s="147">
        <f>COUNTIFS('2026 Time Off Request'!$A:$A,'Aug 2026'!$D30,'2026 Time Off Request'!$L:$L,'Aug 2026'!AA$6)</f>
        <v>0</v>
      </c>
      <c r="AB30" s="147">
        <f>COUNTIFS('2026 Time Off Request'!$A:$A,'Aug 2026'!$D30,'2026 Time Off Request'!$L:$L,'Aug 2026'!AB$6)</f>
        <v>0</v>
      </c>
      <c r="AC30" s="148">
        <f>COUNTIFS('2026 Time Off Request'!$A:$A,'Aug 2026'!$D30,'2026 Time Off Request'!$L:$L,'Aug 2026'!AC$6)</f>
        <v>0</v>
      </c>
      <c r="AD30" s="148">
        <f>COUNTIFS('2026 Time Off Request'!$A:$A,'Aug 2026'!$D30,'2026 Time Off Request'!$L:$L,'Aug 2026'!AD$6)</f>
        <v>0</v>
      </c>
      <c r="AE30" s="148">
        <f>COUNTIFS('2026 Time Off Request'!$A:$A,'Aug 2026'!$D30,'2026 Time Off Request'!$L:$L,'Aug 2026'!AE$6)</f>
        <v>0</v>
      </c>
      <c r="AF30" s="148">
        <f>COUNTIFS('2026 Time Off Request'!$A:$A,'Aug 2026'!$D30,'2026 Time Off Request'!$L:$L,'Aug 2026'!AF$6)</f>
        <v>0</v>
      </c>
      <c r="AG30" s="148">
        <f>COUNTIFS('2026 Time Off Request'!$A:$A,'Aug 2026'!$D30,'2026 Time Off Request'!$L:$L,'Aug 2026'!AG$6)</f>
        <v>0</v>
      </c>
      <c r="AH30" s="147">
        <f>COUNTIFS('2026 Time Off Request'!$A:$A,'Aug 2026'!$D30,'2026 Time Off Request'!$L:$L,'Aug 2026'!AH$6)</f>
        <v>0</v>
      </c>
      <c r="AI30" s="147">
        <f>COUNTIFS('2026 Time Off Request'!$A:$A,'Aug 2026'!$D30,'2026 Time Off Request'!$L:$L,'Aug 2026'!AI$6)</f>
        <v>0</v>
      </c>
      <c r="AJ30" s="148">
        <f>COUNTIFS('2026 Time Off Request'!$A:$A,'Aug 2026'!$D30,'2026 Time Off Request'!$L:$L,'Aug 2026'!AJ$6)</f>
        <v>0</v>
      </c>
    </row>
    <row r="31" spans="1:36" ht="15.75">
      <c r="A31" s="2">
        <v>22</v>
      </c>
      <c r="B31" s="209" t="s">
        <v>49</v>
      </c>
      <c r="C31" s="210" t="s">
        <v>66</v>
      </c>
      <c r="D31" s="215" t="s">
        <v>67</v>
      </c>
      <c r="E31" s="212">
        <f t="shared" si="2"/>
        <v>0</v>
      </c>
      <c r="F31" s="213">
        <f>COUNTIFS('2026 Time Off Request'!$A:$A,'Aug 2026'!$D31,'2026 Time Off Request'!$L:$L,'Aug 2026'!F$6)</f>
        <v>0</v>
      </c>
      <c r="G31" s="147">
        <f>COUNTIFS('2026 Time Off Request'!$A:$A,'Aug 2026'!$D31,'2026 Time Off Request'!$L:$L,'Aug 2026'!G$6)</f>
        <v>0</v>
      </c>
      <c r="H31" s="224">
        <f>COUNTIFS('2026 Time Off Request'!$A:$A,'Aug 2026'!$D31,'2026 Time Off Request'!$L:$L,'Aug 2026'!H$6)</f>
        <v>0</v>
      </c>
      <c r="I31" s="148">
        <f>COUNTIFS('2026 Time Off Request'!$A:$A,'Aug 2026'!$D31,'2026 Time Off Request'!$L:$L,'Aug 2026'!I$6)</f>
        <v>0</v>
      </c>
      <c r="J31" s="148">
        <f>COUNTIFS('2026 Time Off Request'!$A:$A,'Aug 2026'!$D31,'2026 Time Off Request'!$L:$L,'Aug 2026'!J$6)</f>
        <v>0</v>
      </c>
      <c r="K31" s="148">
        <f>COUNTIFS('2026 Time Off Request'!$A:$A,'Aug 2026'!$D31,'2026 Time Off Request'!$L:$L,'Aug 2026'!K$6)</f>
        <v>0</v>
      </c>
      <c r="L31" s="148">
        <f>COUNTIFS('2026 Time Off Request'!$A:$A,'Aug 2026'!$D31,'2026 Time Off Request'!$L:$L,'Aug 2026'!L$6)</f>
        <v>0</v>
      </c>
      <c r="M31" s="147">
        <f>COUNTIFS('2026 Time Off Request'!$A:$A,'Aug 2026'!$D31,'2026 Time Off Request'!$L:$L,'Aug 2026'!M$6)</f>
        <v>0</v>
      </c>
      <c r="N31" s="147">
        <f>COUNTIFS('2026 Time Off Request'!$A:$A,'Aug 2026'!$D31,'2026 Time Off Request'!$L:$L,'Aug 2026'!N$6)</f>
        <v>0</v>
      </c>
      <c r="O31" s="148">
        <f>COUNTIFS('2026 Time Off Request'!$A:$A,'Aug 2026'!$D31,'2026 Time Off Request'!$L:$L,'Aug 2026'!O$6)</f>
        <v>0</v>
      </c>
      <c r="P31" s="148">
        <f>COUNTIFS('2026 Time Off Request'!$A:$A,'Aug 2026'!$D31,'2026 Time Off Request'!$L:$L,'Aug 2026'!P$6)</f>
        <v>0</v>
      </c>
      <c r="Q31" s="148">
        <f>COUNTIFS('2026 Time Off Request'!$A:$A,'Aug 2026'!$D31,'2026 Time Off Request'!$L:$L,'Aug 2026'!Q$6)</f>
        <v>0</v>
      </c>
      <c r="R31" s="148">
        <f>COUNTIFS('2026 Time Off Request'!$A:$A,'Aug 2026'!$D31,'2026 Time Off Request'!$L:$L,'Aug 2026'!R$6)</f>
        <v>0</v>
      </c>
      <c r="S31" s="148">
        <f>COUNTIFS('2026 Time Off Request'!$A:$A,'Aug 2026'!$D31,'2026 Time Off Request'!$L:$L,'Aug 2026'!S$6)</f>
        <v>0</v>
      </c>
      <c r="T31" s="147">
        <f>COUNTIFS('2026 Time Off Request'!$A:$A,'Aug 2026'!$D31,'2026 Time Off Request'!$L:$L,'Aug 2026'!T$6)</f>
        <v>0</v>
      </c>
      <c r="U31" s="147">
        <f>COUNTIFS('2026 Time Off Request'!$A:$A,'Aug 2026'!$D31,'2026 Time Off Request'!$L:$L,'Aug 2026'!U$6)</f>
        <v>0</v>
      </c>
      <c r="V31" s="148">
        <f>COUNTIFS('2026 Time Off Request'!$A:$A,'Aug 2026'!$D31,'2026 Time Off Request'!$L:$L,'Aug 2026'!V$6)</f>
        <v>0</v>
      </c>
      <c r="W31" s="148">
        <f>COUNTIFS('2026 Time Off Request'!$A:$A,'Aug 2026'!$D31,'2026 Time Off Request'!$L:$L,'Aug 2026'!W$6)</f>
        <v>0</v>
      </c>
      <c r="X31" s="148">
        <f>COUNTIFS('2026 Time Off Request'!$A:$A,'Aug 2026'!$D31,'2026 Time Off Request'!$L:$L,'Aug 2026'!X$6)</f>
        <v>0</v>
      </c>
      <c r="Y31" s="148">
        <f>COUNTIFS('2026 Time Off Request'!$A:$A,'Aug 2026'!$D31,'2026 Time Off Request'!$L:$L,'Aug 2026'!Y$6)</f>
        <v>0</v>
      </c>
      <c r="Z31" s="148">
        <f>COUNTIFS('2026 Time Off Request'!$A:$A,'Aug 2026'!$D31,'2026 Time Off Request'!$L:$L,'Aug 2026'!Z$6)</f>
        <v>0</v>
      </c>
      <c r="AA31" s="147">
        <f>COUNTIFS('2026 Time Off Request'!$A:$A,'Aug 2026'!$D31,'2026 Time Off Request'!$L:$L,'Aug 2026'!AA$6)</f>
        <v>0</v>
      </c>
      <c r="AB31" s="147">
        <f>COUNTIFS('2026 Time Off Request'!$A:$A,'Aug 2026'!$D31,'2026 Time Off Request'!$L:$L,'Aug 2026'!AB$6)</f>
        <v>0</v>
      </c>
      <c r="AC31" s="148">
        <f>COUNTIFS('2026 Time Off Request'!$A:$A,'Aug 2026'!$D31,'2026 Time Off Request'!$L:$L,'Aug 2026'!AC$6)</f>
        <v>0</v>
      </c>
      <c r="AD31" s="148">
        <f>COUNTIFS('2026 Time Off Request'!$A:$A,'Aug 2026'!$D31,'2026 Time Off Request'!$L:$L,'Aug 2026'!AD$6)</f>
        <v>0</v>
      </c>
      <c r="AE31" s="148">
        <f>COUNTIFS('2026 Time Off Request'!$A:$A,'Aug 2026'!$D31,'2026 Time Off Request'!$L:$L,'Aug 2026'!AE$6)</f>
        <v>0</v>
      </c>
      <c r="AF31" s="148">
        <f>COUNTIFS('2026 Time Off Request'!$A:$A,'Aug 2026'!$D31,'2026 Time Off Request'!$L:$L,'Aug 2026'!AF$6)</f>
        <v>0</v>
      </c>
      <c r="AG31" s="148">
        <f>COUNTIFS('2026 Time Off Request'!$A:$A,'Aug 2026'!$D31,'2026 Time Off Request'!$L:$L,'Aug 2026'!AG$6)</f>
        <v>0</v>
      </c>
      <c r="AH31" s="147">
        <f>COUNTIFS('2026 Time Off Request'!$A:$A,'Aug 2026'!$D31,'2026 Time Off Request'!$L:$L,'Aug 2026'!AH$6)</f>
        <v>0</v>
      </c>
      <c r="AI31" s="147">
        <f>COUNTIFS('2026 Time Off Request'!$A:$A,'Aug 2026'!$D31,'2026 Time Off Request'!$L:$L,'Aug 2026'!AI$6)</f>
        <v>0</v>
      </c>
      <c r="AJ31" s="148">
        <f>COUNTIFS('2026 Time Off Request'!$A:$A,'Aug 2026'!$D31,'2026 Time Off Request'!$L:$L,'Aug 2026'!AJ$6)</f>
        <v>0</v>
      </c>
    </row>
    <row r="32" spans="1:36" ht="15.75">
      <c r="A32" s="2">
        <v>23</v>
      </c>
      <c r="B32" s="209" t="s">
        <v>45</v>
      </c>
      <c r="C32" s="210" t="s">
        <v>68</v>
      </c>
      <c r="D32" s="215" t="s">
        <v>69</v>
      </c>
      <c r="E32" s="212">
        <f t="shared" si="2"/>
        <v>0</v>
      </c>
      <c r="F32" s="213">
        <f>COUNTIFS('2026 Time Off Request'!$A:$A,'Aug 2026'!$D32,'2026 Time Off Request'!$L:$L,'Aug 2026'!F$6)</f>
        <v>0</v>
      </c>
      <c r="G32" s="147">
        <f>COUNTIFS('2026 Time Off Request'!$A:$A,'Aug 2026'!$D32,'2026 Time Off Request'!$L:$L,'Aug 2026'!G$6)</f>
        <v>0</v>
      </c>
      <c r="H32" s="224">
        <f>COUNTIFS('2026 Time Off Request'!$A:$A,'Aug 2026'!$D32,'2026 Time Off Request'!$L:$L,'Aug 2026'!H$6)</f>
        <v>0</v>
      </c>
      <c r="I32" s="148">
        <f>COUNTIFS('2026 Time Off Request'!$A:$A,'Aug 2026'!$D32,'2026 Time Off Request'!$L:$L,'Aug 2026'!I$6)</f>
        <v>0</v>
      </c>
      <c r="J32" s="148">
        <f>COUNTIFS('2026 Time Off Request'!$A:$A,'Aug 2026'!$D32,'2026 Time Off Request'!$L:$L,'Aug 2026'!J$6)</f>
        <v>0</v>
      </c>
      <c r="K32" s="148">
        <f>COUNTIFS('2026 Time Off Request'!$A:$A,'Aug 2026'!$D32,'2026 Time Off Request'!$L:$L,'Aug 2026'!K$6)</f>
        <v>0</v>
      </c>
      <c r="L32" s="148">
        <f>COUNTIFS('2026 Time Off Request'!$A:$A,'Aug 2026'!$D32,'2026 Time Off Request'!$L:$L,'Aug 2026'!L$6)</f>
        <v>0</v>
      </c>
      <c r="M32" s="147">
        <f>COUNTIFS('2026 Time Off Request'!$A:$A,'Aug 2026'!$D32,'2026 Time Off Request'!$L:$L,'Aug 2026'!M$6)</f>
        <v>0</v>
      </c>
      <c r="N32" s="147">
        <f>COUNTIFS('2026 Time Off Request'!$A:$A,'Aug 2026'!$D32,'2026 Time Off Request'!$L:$L,'Aug 2026'!N$6)</f>
        <v>0</v>
      </c>
      <c r="O32" s="148">
        <f>COUNTIFS('2026 Time Off Request'!$A:$A,'Aug 2026'!$D32,'2026 Time Off Request'!$L:$L,'Aug 2026'!O$6)</f>
        <v>0</v>
      </c>
      <c r="P32" s="148">
        <f>COUNTIFS('2026 Time Off Request'!$A:$A,'Aug 2026'!$D32,'2026 Time Off Request'!$L:$L,'Aug 2026'!P$6)</f>
        <v>0</v>
      </c>
      <c r="Q32" s="148">
        <f>COUNTIFS('2026 Time Off Request'!$A:$A,'Aug 2026'!$D32,'2026 Time Off Request'!$L:$L,'Aug 2026'!Q$6)</f>
        <v>0</v>
      </c>
      <c r="R32" s="148">
        <f>COUNTIFS('2026 Time Off Request'!$A:$A,'Aug 2026'!$D32,'2026 Time Off Request'!$L:$L,'Aug 2026'!R$6)</f>
        <v>0</v>
      </c>
      <c r="S32" s="148">
        <f>COUNTIFS('2026 Time Off Request'!$A:$A,'Aug 2026'!$D32,'2026 Time Off Request'!$L:$L,'Aug 2026'!S$6)</f>
        <v>0</v>
      </c>
      <c r="T32" s="147">
        <f>COUNTIFS('2026 Time Off Request'!$A:$A,'Aug 2026'!$D32,'2026 Time Off Request'!$L:$L,'Aug 2026'!T$6)</f>
        <v>0</v>
      </c>
      <c r="U32" s="147">
        <f>COUNTIFS('2026 Time Off Request'!$A:$A,'Aug 2026'!$D32,'2026 Time Off Request'!$L:$L,'Aug 2026'!U$6)</f>
        <v>0</v>
      </c>
      <c r="V32" s="148">
        <f>COUNTIFS('2026 Time Off Request'!$A:$A,'Aug 2026'!$D32,'2026 Time Off Request'!$L:$L,'Aug 2026'!V$6)</f>
        <v>0</v>
      </c>
      <c r="W32" s="148">
        <f>COUNTIFS('2026 Time Off Request'!$A:$A,'Aug 2026'!$D32,'2026 Time Off Request'!$L:$L,'Aug 2026'!W$6)</f>
        <v>0</v>
      </c>
      <c r="X32" s="148">
        <f>COUNTIFS('2026 Time Off Request'!$A:$A,'Aug 2026'!$D32,'2026 Time Off Request'!$L:$L,'Aug 2026'!X$6)</f>
        <v>0</v>
      </c>
      <c r="Y32" s="148">
        <f>COUNTIFS('2026 Time Off Request'!$A:$A,'Aug 2026'!$D32,'2026 Time Off Request'!$L:$L,'Aug 2026'!Y$6)</f>
        <v>0</v>
      </c>
      <c r="Z32" s="148">
        <f>COUNTIFS('2026 Time Off Request'!$A:$A,'Aug 2026'!$D32,'2026 Time Off Request'!$L:$L,'Aug 2026'!Z$6)</f>
        <v>0</v>
      </c>
      <c r="AA32" s="147">
        <f>COUNTIFS('2026 Time Off Request'!$A:$A,'Aug 2026'!$D32,'2026 Time Off Request'!$L:$L,'Aug 2026'!AA$6)</f>
        <v>0</v>
      </c>
      <c r="AB32" s="147">
        <f>COUNTIFS('2026 Time Off Request'!$A:$A,'Aug 2026'!$D32,'2026 Time Off Request'!$L:$L,'Aug 2026'!AB$6)</f>
        <v>0</v>
      </c>
      <c r="AC32" s="148">
        <f>COUNTIFS('2026 Time Off Request'!$A:$A,'Aug 2026'!$D32,'2026 Time Off Request'!$L:$L,'Aug 2026'!AC$6)</f>
        <v>0</v>
      </c>
      <c r="AD32" s="148">
        <f>COUNTIFS('2026 Time Off Request'!$A:$A,'Aug 2026'!$D32,'2026 Time Off Request'!$L:$L,'Aug 2026'!AD$6)</f>
        <v>0</v>
      </c>
      <c r="AE32" s="148">
        <f>COUNTIFS('2026 Time Off Request'!$A:$A,'Aug 2026'!$D32,'2026 Time Off Request'!$L:$L,'Aug 2026'!AE$6)</f>
        <v>0</v>
      </c>
      <c r="AF32" s="148">
        <f>COUNTIFS('2026 Time Off Request'!$A:$A,'Aug 2026'!$D32,'2026 Time Off Request'!$L:$L,'Aug 2026'!AF$6)</f>
        <v>0</v>
      </c>
      <c r="AG32" s="148">
        <f>COUNTIFS('2026 Time Off Request'!$A:$A,'Aug 2026'!$D32,'2026 Time Off Request'!$L:$L,'Aug 2026'!AG$6)</f>
        <v>0</v>
      </c>
      <c r="AH32" s="147">
        <f>COUNTIFS('2026 Time Off Request'!$A:$A,'Aug 2026'!$D32,'2026 Time Off Request'!$L:$L,'Aug 2026'!AH$6)</f>
        <v>0</v>
      </c>
      <c r="AI32" s="147">
        <f>COUNTIFS('2026 Time Off Request'!$A:$A,'Aug 2026'!$D32,'2026 Time Off Request'!$L:$L,'Aug 2026'!AI$6)</f>
        <v>0</v>
      </c>
      <c r="AJ32" s="148">
        <f>COUNTIFS('2026 Time Off Request'!$A:$A,'Aug 2026'!$D32,'2026 Time Off Request'!$L:$L,'Aug 2026'!AJ$6)</f>
        <v>0</v>
      </c>
    </row>
    <row r="33" spans="1:36" ht="15.75">
      <c r="A33" s="2">
        <v>24</v>
      </c>
      <c r="B33" s="209" t="s">
        <v>45</v>
      </c>
      <c r="C33" s="210" t="s">
        <v>70</v>
      </c>
      <c r="D33" s="215" t="s">
        <v>71</v>
      </c>
      <c r="E33" s="212">
        <f t="shared" si="2"/>
        <v>0</v>
      </c>
      <c r="F33" s="213">
        <f>COUNTIFS('2026 Time Off Request'!$A:$A,'Aug 2026'!$D33,'2026 Time Off Request'!$L:$L,'Aug 2026'!F$6)</f>
        <v>0</v>
      </c>
      <c r="G33" s="147">
        <f>COUNTIFS('2026 Time Off Request'!$A:$A,'Aug 2026'!$D33,'2026 Time Off Request'!$L:$L,'Aug 2026'!G$6)</f>
        <v>0</v>
      </c>
      <c r="H33" s="224">
        <f>COUNTIFS('2026 Time Off Request'!$A:$A,'Aug 2026'!$D33,'2026 Time Off Request'!$L:$L,'Aug 2026'!H$6)</f>
        <v>0</v>
      </c>
      <c r="I33" s="148">
        <f>COUNTIFS('2026 Time Off Request'!$A:$A,'Aug 2026'!$D33,'2026 Time Off Request'!$L:$L,'Aug 2026'!I$6)</f>
        <v>0</v>
      </c>
      <c r="J33" s="148">
        <f>COUNTIFS('2026 Time Off Request'!$A:$A,'Aug 2026'!$D33,'2026 Time Off Request'!$L:$L,'Aug 2026'!J$6)</f>
        <v>0</v>
      </c>
      <c r="K33" s="148">
        <f>COUNTIFS('2026 Time Off Request'!$A:$A,'Aug 2026'!$D33,'2026 Time Off Request'!$L:$L,'Aug 2026'!K$6)</f>
        <v>0</v>
      </c>
      <c r="L33" s="148">
        <f>COUNTIFS('2026 Time Off Request'!$A:$A,'Aug 2026'!$D33,'2026 Time Off Request'!$L:$L,'Aug 2026'!L$6)</f>
        <v>0</v>
      </c>
      <c r="M33" s="147">
        <f>COUNTIFS('2026 Time Off Request'!$A:$A,'Aug 2026'!$D33,'2026 Time Off Request'!$L:$L,'Aug 2026'!M$6)</f>
        <v>0</v>
      </c>
      <c r="N33" s="147">
        <f>COUNTIFS('2026 Time Off Request'!$A:$A,'Aug 2026'!$D33,'2026 Time Off Request'!$L:$L,'Aug 2026'!N$6)</f>
        <v>0</v>
      </c>
      <c r="O33" s="148">
        <f>COUNTIFS('2026 Time Off Request'!$A:$A,'Aug 2026'!$D33,'2026 Time Off Request'!$L:$L,'Aug 2026'!O$6)</f>
        <v>0</v>
      </c>
      <c r="P33" s="148">
        <f>COUNTIFS('2026 Time Off Request'!$A:$A,'Aug 2026'!$D33,'2026 Time Off Request'!$L:$L,'Aug 2026'!P$6)</f>
        <v>0</v>
      </c>
      <c r="Q33" s="148">
        <f>COUNTIFS('2026 Time Off Request'!$A:$A,'Aug 2026'!$D33,'2026 Time Off Request'!$L:$L,'Aug 2026'!Q$6)</f>
        <v>0</v>
      </c>
      <c r="R33" s="148">
        <f>COUNTIFS('2026 Time Off Request'!$A:$A,'Aug 2026'!$D33,'2026 Time Off Request'!$L:$L,'Aug 2026'!R$6)</f>
        <v>0</v>
      </c>
      <c r="S33" s="148">
        <f>COUNTIFS('2026 Time Off Request'!$A:$A,'Aug 2026'!$D33,'2026 Time Off Request'!$L:$L,'Aug 2026'!S$6)</f>
        <v>0</v>
      </c>
      <c r="T33" s="147">
        <f>COUNTIFS('2026 Time Off Request'!$A:$A,'Aug 2026'!$D33,'2026 Time Off Request'!$L:$L,'Aug 2026'!T$6)</f>
        <v>0</v>
      </c>
      <c r="U33" s="147">
        <f>COUNTIFS('2026 Time Off Request'!$A:$A,'Aug 2026'!$D33,'2026 Time Off Request'!$L:$L,'Aug 2026'!U$6)</f>
        <v>0</v>
      </c>
      <c r="V33" s="148">
        <f>COUNTIFS('2026 Time Off Request'!$A:$A,'Aug 2026'!$D33,'2026 Time Off Request'!$L:$L,'Aug 2026'!V$6)</f>
        <v>0</v>
      </c>
      <c r="W33" s="148">
        <f>COUNTIFS('2026 Time Off Request'!$A:$A,'Aug 2026'!$D33,'2026 Time Off Request'!$L:$L,'Aug 2026'!W$6)</f>
        <v>0</v>
      </c>
      <c r="X33" s="148">
        <f>COUNTIFS('2026 Time Off Request'!$A:$A,'Aug 2026'!$D33,'2026 Time Off Request'!$L:$L,'Aug 2026'!X$6)</f>
        <v>0</v>
      </c>
      <c r="Y33" s="148">
        <f>COUNTIFS('2026 Time Off Request'!$A:$A,'Aug 2026'!$D33,'2026 Time Off Request'!$L:$L,'Aug 2026'!Y$6)</f>
        <v>0</v>
      </c>
      <c r="Z33" s="148">
        <f>COUNTIFS('2026 Time Off Request'!$A:$A,'Aug 2026'!$D33,'2026 Time Off Request'!$L:$L,'Aug 2026'!Z$6)</f>
        <v>0</v>
      </c>
      <c r="AA33" s="147">
        <f>COUNTIFS('2026 Time Off Request'!$A:$A,'Aug 2026'!$D33,'2026 Time Off Request'!$L:$L,'Aug 2026'!AA$6)</f>
        <v>0</v>
      </c>
      <c r="AB33" s="147">
        <f>COUNTIFS('2026 Time Off Request'!$A:$A,'Aug 2026'!$D33,'2026 Time Off Request'!$L:$L,'Aug 2026'!AB$6)</f>
        <v>0</v>
      </c>
      <c r="AC33" s="148">
        <f>COUNTIFS('2026 Time Off Request'!$A:$A,'Aug 2026'!$D33,'2026 Time Off Request'!$L:$L,'Aug 2026'!AC$6)</f>
        <v>0</v>
      </c>
      <c r="AD33" s="148">
        <f>COUNTIFS('2026 Time Off Request'!$A:$A,'Aug 2026'!$D33,'2026 Time Off Request'!$L:$L,'Aug 2026'!AD$6)</f>
        <v>0</v>
      </c>
      <c r="AE33" s="148">
        <f>COUNTIFS('2026 Time Off Request'!$A:$A,'Aug 2026'!$D33,'2026 Time Off Request'!$L:$L,'Aug 2026'!AE$6)</f>
        <v>0</v>
      </c>
      <c r="AF33" s="148">
        <f>COUNTIFS('2026 Time Off Request'!$A:$A,'Aug 2026'!$D33,'2026 Time Off Request'!$L:$L,'Aug 2026'!AF$6)</f>
        <v>0</v>
      </c>
      <c r="AG33" s="148">
        <f>COUNTIFS('2026 Time Off Request'!$A:$A,'Aug 2026'!$D33,'2026 Time Off Request'!$L:$L,'Aug 2026'!AG$6)</f>
        <v>0</v>
      </c>
      <c r="AH33" s="147">
        <f>COUNTIFS('2026 Time Off Request'!$A:$A,'Aug 2026'!$D33,'2026 Time Off Request'!$L:$L,'Aug 2026'!AH$6)</f>
        <v>0</v>
      </c>
      <c r="AI33" s="147">
        <f>COUNTIFS('2026 Time Off Request'!$A:$A,'Aug 2026'!$D33,'2026 Time Off Request'!$L:$L,'Aug 2026'!AI$6)</f>
        <v>0</v>
      </c>
      <c r="AJ33" s="148">
        <f>COUNTIFS('2026 Time Off Request'!$A:$A,'Aug 2026'!$D33,'2026 Time Off Request'!$L:$L,'Aug 2026'!AJ$6)</f>
        <v>0</v>
      </c>
    </row>
    <row r="34" spans="1:36" ht="15.75">
      <c r="A34" s="2">
        <v>25</v>
      </c>
      <c r="B34" s="209" t="s">
        <v>45</v>
      </c>
      <c r="C34" s="210" t="s">
        <v>70</v>
      </c>
      <c r="D34" s="215" t="s">
        <v>72</v>
      </c>
      <c r="E34" s="212">
        <f t="shared" si="2"/>
        <v>0</v>
      </c>
      <c r="F34" s="213">
        <f>COUNTIFS('2026 Time Off Request'!$A:$A,'Aug 2026'!$D34,'2026 Time Off Request'!$L:$L,'Aug 2026'!F$6)</f>
        <v>0</v>
      </c>
      <c r="G34" s="147">
        <f>COUNTIFS('2026 Time Off Request'!$A:$A,'Aug 2026'!$D34,'2026 Time Off Request'!$L:$L,'Aug 2026'!G$6)</f>
        <v>0</v>
      </c>
      <c r="H34" s="224">
        <f>COUNTIFS('2026 Time Off Request'!$A:$A,'Aug 2026'!$D34,'2026 Time Off Request'!$L:$L,'Aug 2026'!H$6)</f>
        <v>0</v>
      </c>
      <c r="I34" s="148">
        <f>COUNTIFS('2026 Time Off Request'!$A:$A,'Aug 2026'!$D34,'2026 Time Off Request'!$L:$L,'Aug 2026'!I$6)</f>
        <v>0</v>
      </c>
      <c r="J34" s="148">
        <f>COUNTIFS('2026 Time Off Request'!$A:$A,'Aug 2026'!$D34,'2026 Time Off Request'!$L:$L,'Aug 2026'!J$6)</f>
        <v>0</v>
      </c>
      <c r="K34" s="148">
        <f>COUNTIFS('2026 Time Off Request'!$A:$A,'Aug 2026'!$D34,'2026 Time Off Request'!$L:$L,'Aug 2026'!K$6)</f>
        <v>0</v>
      </c>
      <c r="L34" s="148">
        <f>COUNTIFS('2026 Time Off Request'!$A:$A,'Aug 2026'!$D34,'2026 Time Off Request'!$L:$L,'Aug 2026'!L$6)</f>
        <v>0</v>
      </c>
      <c r="M34" s="147">
        <f>COUNTIFS('2026 Time Off Request'!$A:$A,'Aug 2026'!$D34,'2026 Time Off Request'!$L:$L,'Aug 2026'!M$6)</f>
        <v>0</v>
      </c>
      <c r="N34" s="147">
        <f>COUNTIFS('2026 Time Off Request'!$A:$A,'Aug 2026'!$D34,'2026 Time Off Request'!$L:$L,'Aug 2026'!N$6)</f>
        <v>0</v>
      </c>
      <c r="O34" s="148">
        <f>COUNTIFS('2026 Time Off Request'!$A:$A,'Aug 2026'!$D34,'2026 Time Off Request'!$L:$L,'Aug 2026'!O$6)</f>
        <v>0</v>
      </c>
      <c r="P34" s="148">
        <f>COUNTIFS('2026 Time Off Request'!$A:$A,'Aug 2026'!$D34,'2026 Time Off Request'!$L:$L,'Aug 2026'!P$6)</f>
        <v>0</v>
      </c>
      <c r="Q34" s="148">
        <f>COUNTIFS('2026 Time Off Request'!$A:$A,'Aug 2026'!$D34,'2026 Time Off Request'!$L:$L,'Aug 2026'!Q$6)</f>
        <v>0</v>
      </c>
      <c r="R34" s="148">
        <f>COUNTIFS('2026 Time Off Request'!$A:$A,'Aug 2026'!$D34,'2026 Time Off Request'!$L:$L,'Aug 2026'!R$6)</f>
        <v>0</v>
      </c>
      <c r="S34" s="148">
        <f>COUNTIFS('2026 Time Off Request'!$A:$A,'Aug 2026'!$D34,'2026 Time Off Request'!$L:$L,'Aug 2026'!S$6)</f>
        <v>0</v>
      </c>
      <c r="T34" s="147">
        <f>COUNTIFS('2026 Time Off Request'!$A:$A,'Aug 2026'!$D34,'2026 Time Off Request'!$L:$L,'Aug 2026'!T$6)</f>
        <v>0</v>
      </c>
      <c r="U34" s="147">
        <f>COUNTIFS('2026 Time Off Request'!$A:$A,'Aug 2026'!$D34,'2026 Time Off Request'!$L:$L,'Aug 2026'!U$6)</f>
        <v>0</v>
      </c>
      <c r="V34" s="148">
        <f>COUNTIFS('2026 Time Off Request'!$A:$A,'Aug 2026'!$D34,'2026 Time Off Request'!$L:$L,'Aug 2026'!V$6)</f>
        <v>0</v>
      </c>
      <c r="W34" s="148">
        <f>COUNTIFS('2026 Time Off Request'!$A:$A,'Aug 2026'!$D34,'2026 Time Off Request'!$L:$L,'Aug 2026'!W$6)</f>
        <v>0</v>
      </c>
      <c r="X34" s="148">
        <f>COUNTIFS('2026 Time Off Request'!$A:$A,'Aug 2026'!$D34,'2026 Time Off Request'!$L:$L,'Aug 2026'!X$6)</f>
        <v>0</v>
      </c>
      <c r="Y34" s="148">
        <f>COUNTIFS('2026 Time Off Request'!$A:$A,'Aug 2026'!$D34,'2026 Time Off Request'!$L:$L,'Aug 2026'!Y$6)</f>
        <v>0</v>
      </c>
      <c r="Z34" s="148">
        <f>COUNTIFS('2026 Time Off Request'!$A:$A,'Aug 2026'!$D34,'2026 Time Off Request'!$L:$L,'Aug 2026'!Z$6)</f>
        <v>0</v>
      </c>
      <c r="AA34" s="147">
        <f>COUNTIFS('2026 Time Off Request'!$A:$A,'Aug 2026'!$D34,'2026 Time Off Request'!$L:$L,'Aug 2026'!AA$6)</f>
        <v>0</v>
      </c>
      <c r="AB34" s="147">
        <f>COUNTIFS('2026 Time Off Request'!$A:$A,'Aug 2026'!$D34,'2026 Time Off Request'!$L:$L,'Aug 2026'!AB$6)</f>
        <v>0</v>
      </c>
      <c r="AC34" s="148">
        <f>COUNTIFS('2026 Time Off Request'!$A:$A,'Aug 2026'!$D34,'2026 Time Off Request'!$L:$L,'Aug 2026'!AC$6)</f>
        <v>0</v>
      </c>
      <c r="AD34" s="148">
        <f>COUNTIFS('2026 Time Off Request'!$A:$A,'Aug 2026'!$D34,'2026 Time Off Request'!$L:$L,'Aug 2026'!AD$6)</f>
        <v>0</v>
      </c>
      <c r="AE34" s="148">
        <f>COUNTIFS('2026 Time Off Request'!$A:$A,'Aug 2026'!$D34,'2026 Time Off Request'!$L:$L,'Aug 2026'!AE$6)</f>
        <v>0</v>
      </c>
      <c r="AF34" s="148">
        <f>COUNTIFS('2026 Time Off Request'!$A:$A,'Aug 2026'!$D34,'2026 Time Off Request'!$L:$L,'Aug 2026'!AF$6)</f>
        <v>0</v>
      </c>
      <c r="AG34" s="148">
        <f>COUNTIFS('2026 Time Off Request'!$A:$A,'Aug 2026'!$D34,'2026 Time Off Request'!$L:$L,'Aug 2026'!AG$6)</f>
        <v>0</v>
      </c>
      <c r="AH34" s="147">
        <f>COUNTIFS('2026 Time Off Request'!$A:$A,'Aug 2026'!$D34,'2026 Time Off Request'!$L:$L,'Aug 2026'!AH$6)</f>
        <v>0</v>
      </c>
      <c r="AI34" s="147">
        <f>COUNTIFS('2026 Time Off Request'!$A:$A,'Aug 2026'!$D34,'2026 Time Off Request'!$L:$L,'Aug 2026'!AI$6)</f>
        <v>0</v>
      </c>
      <c r="AJ34" s="148">
        <f>COUNTIFS('2026 Time Off Request'!$A:$A,'Aug 2026'!$D34,'2026 Time Off Request'!$L:$L,'Aug 2026'!AJ$6)</f>
        <v>0</v>
      </c>
    </row>
    <row r="35" spans="1:36" ht="15.75">
      <c r="A35" s="2">
        <v>26</v>
      </c>
      <c r="B35" s="209" t="s">
        <v>45</v>
      </c>
      <c r="C35" s="210" t="s">
        <v>73</v>
      </c>
      <c r="D35" s="215" t="s">
        <v>74</v>
      </c>
      <c r="E35" s="212">
        <f t="shared" ref="E35" si="4">SUM(F35:AI35)</f>
        <v>0</v>
      </c>
      <c r="F35" s="213">
        <f>COUNTIFS('2026 Time Off Request'!$A:$A,'Aug 2026'!$D35,'2026 Time Off Request'!$L:$L,'Aug 2026'!F$6)</f>
        <v>0</v>
      </c>
      <c r="G35" s="147">
        <f>COUNTIFS('2026 Time Off Request'!$A:$A,'Aug 2026'!$D35,'2026 Time Off Request'!$L:$L,'Aug 2026'!G$6)</f>
        <v>0</v>
      </c>
      <c r="H35" s="224">
        <f>COUNTIFS('2026 Time Off Request'!$A:$A,'Aug 2026'!$D35,'2026 Time Off Request'!$L:$L,'Aug 2026'!H$6)</f>
        <v>0</v>
      </c>
      <c r="I35" s="148">
        <f>COUNTIFS('2026 Time Off Request'!$A:$A,'Aug 2026'!$D35,'2026 Time Off Request'!$L:$L,'Aug 2026'!I$6)</f>
        <v>0</v>
      </c>
      <c r="J35" s="148">
        <f>COUNTIFS('2026 Time Off Request'!$A:$A,'Aug 2026'!$D35,'2026 Time Off Request'!$L:$L,'Aug 2026'!J$6)</f>
        <v>0</v>
      </c>
      <c r="K35" s="148">
        <f>COUNTIFS('2026 Time Off Request'!$A:$A,'Aug 2026'!$D35,'2026 Time Off Request'!$L:$L,'Aug 2026'!K$6)</f>
        <v>0</v>
      </c>
      <c r="L35" s="148">
        <f>COUNTIFS('2026 Time Off Request'!$A:$A,'Aug 2026'!$D35,'2026 Time Off Request'!$L:$L,'Aug 2026'!L$6)</f>
        <v>0</v>
      </c>
      <c r="M35" s="147">
        <f>COUNTIFS('2026 Time Off Request'!$A:$A,'Aug 2026'!$D35,'2026 Time Off Request'!$L:$L,'Aug 2026'!M$6)</f>
        <v>0</v>
      </c>
      <c r="N35" s="147">
        <f>COUNTIFS('2026 Time Off Request'!$A:$A,'Aug 2026'!$D35,'2026 Time Off Request'!$L:$L,'Aug 2026'!N$6)</f>
        <v>0</v>
      </c>
      <c r="O35" s="148">
        <f>COUNTIFS('2026 Time Off Request'!$A:$A,'Aug 2026'!$D35,'2026 Time Off Request'!$L:$L,'Aug 2026'!O$6)</f>
        <v>0</v>
      </c>
      <c r="P35" s="148">
        <f>COUNTIFS('2026 Time Off Request'!$A:$A,'Aug 2026'!$D35,'2026 Time Off Request'!$L:$L,'Aug 2026'!P$6)</f>
        <v>0</v>
      </c>
      <c r="Q35" s="148">
        <f>COUNTIFS('2026 Time Off Request'!$A:$A,'Aug 2026'!$D35,'2026 Time Off Request'!$L:$L,'Aug 2026'!Q$6)</f>
        <v>0</v>
      </c>
      <c r="R35" s="148">
        <f>COUNTIFS('2026 Time Off Request'!$A:$A,'Aug 2026'!$D35,'2026 Time Off Request'!$L:$L,'Aug 2026'!R$6)</f>
        <v>0</v>
      </c>
      <c r="S35" s="148">
        <f>COUNTIFS('2026 Time Off Request'!$A:$A,'Aug 2026'!$D35,'2026 Time Off Request'!$L:$L,'Aug 2026'!S$6)</f>
        <v>0</v>
      </c>
      <c r="T35" s="147">
        <f>COUNTIFS('2026 Time Off Request'!$A:$A,'Aug 2026'!$D35,'2026 Time Off Request'!$L:$L,'Aug 2026'!T$6)</f>
        <v>0</v>
      </c>
      <c r="U35" s="147">
        <f>COUNTIFS('2026 Time Off Request'!$A:$A,'Aug 2026'!$D35,'2026 Time Off Request'!$L:$L,'Aug 2026'!U$6)</f>
        <v>0</v>
      </c>
      <c r="V35" s="148">
        <f>COUNTIFS('2026 Time Off Request'!$A:$A,'Aug 2026'!$D35,'2026 Time Off Request'!$L:$L,'Aug 2026'!V$6)</f>
        <v>0</v>
      </c>
      <c r="W35" s="148">
        <f>COUNTIFS('2026 Time Off Request'!$A:$A,'Aug 2026'!$D35,'2026 Time Off Request'!$L:$L,'Aug 2026'!W$6)</f>
        <v>0</v>
      </c>
      <c r="X35" s="148">
        <f>COUNTIFS('2026 Time Off Request'!$A:$A,'Aug 2026'!$D35,'2026 Time Off Request'!$L:$L,'Aug 2026'!X$6)</f>
        <v>0</v>
      </c>
      <c r="Y35" s="148">
        <f>COUNTIFS('2026 Time Off Request'!$A:$A,'Aug 2026'!$D35,'2026 Time Off Request'!$L:$L,'Aug 2026'!Y$6)</f>
        <v>0</v>
      </c>
      <c r="Z35" s="148">
        <f>COUNTIFS('2026 Time Off Request'!$A:$A,'Aug 2026'!$D35,'2026 Time Off Request'!$L:$L,'Aug 2026'!Z$6)</f>
        <v>0</v>
      </c>
      <c r="AA35" s="147">
        <f>COUNTIFS('2026 Time Off Request'!$A:$A,'Aug 2026'!$D35,'2026 Time Off Request'!$L:$L,'Aug 2026'!AA$6)</f>
        <v>0</v>
      </c>
      <c r="AB35" s="147">
        <f>COUNTIFS('2026 Time Off Request'!$A:$A,'Aug 2026'!$D35,'2026 Time Off Request'!$L:$L,'Aug 2026'!AB$6)</f>
        <v>0</v>
      </c>
      <c r="AC35" s="148">
        <f>COUNTIFS('2026 Time Off Request'!$A:$A,'Aug 2026'!$D35,'2026 Time Off Request'!$L:$L,'Aug 2026'!AC$6)</f>
        <v>0</v>
      </c>
      <c r="AD35" s="148">
        <f>COUNTIFS('2026 Time Off Request'!$A:$A,'Aug 2026'!$D35,'2026 Time Off Request'!$L:$L,'Aug 2026'!AD$6)</f>
        <v>0</v>
      </c>
      <c r="AE35" s="148">
        <f>COUNTIFS('2026 Time Off Request'!$A:$A,'Aug 2026'!$D35,'2026 Time Off Request'!$L:$L,'Aug 2026'!AE$6)</f>
        <v>0</v>
      </c>
      <c r="AF35" s="148">
        <f>COUNTIFS('2026 Time Off Request'!$A:$A,'Aug 2026'!$D35,'2026 Time Off Request'!$L:$L,'Aug 2026'!AF$6)</f>
        <v>0</v>
      </c>
      <c r="AG35" s="148">
        <f>COUNTIFS('2026 Time Off Request'!$A:$A,'Aug 2026'!$D35,'2026 Time Off Request'!$L:$L,'Aug 2026'!AG$6)</f>
        <v>0</v>
      </c>
      <c r="AH35" s="147">
        <f>COUNTIFS('2026 Time Off Request'!$A:$A,'Aug 2026'!$D35,'2026 Time Off Request'!$L:$L,'Aug 2026'!AH$6)</f>
        <v>0</v>
      </c>
      <c r="AI35" s="147">
        <f>COUNTIFS('2026 Time Off Request'!$A:$A,'Aug 2026'!$D35,'2026 Time Off Request'!$L:$L,'Aug 2026'!AI$6)</f>
        <v>0</v>
      </c>
      <c r="AJ35" s="148">
        <f>COUNTIFS('2026 Time Off Request'!$A:$A,'Aug 2026'!$D35,'2026 Time Off Request'!$L:$L,'Aug 2026'!AJ$6)</f>
        <v>0</v>
      </c>
    </row>
    <row r="36" spans="1:36" ht="15.75">
      <c r="A36" s="2">
        <v>27</v>
      </c>
      <c r="B36" s="209" t="s">
        <v>49</v>
      </c>
      <c r="C36" s="210" t="s">
        <v>75</v>
      </c>
      <c r="D36" s="215" t="s">
        <v>76</v>
      </c>
      <c r="E36" s="212">
        <f t="shared" si="2"/>
        <v>0</v>
      </c>
      <c r="F36" s="213">
        <f>COUNTIFS('2026 Time Off Request'!$A:$A,'Aug 2026'!$D36,'2026 Time Off Request'!$L:$L,'Aug 2026'!F$6)</f>
        <v>0</v>
      </c>
      <c r="G36" s="147">
        <f>COUNTIFS('2026 Time Off Request'!$A:$A,'Aug 2026'!$D36,'2026 Time Off Request'!$L:$L,'Aug 2026'!G$6)</f>
        <v>0</v>
      </c>
      <c r="H36" s="224">
        <f>COUNTIFS('2026 Time Off Request'!$A:$A,'Aug 2026'!$D36,'2026 Time Off Request'!$L:$L,'Aug 2026'!H$6)</f>
        <v>0</v>
      </c>
      <c r="I36" s="148">
        <f>COUNTIFS('2026 Time Off Request'!$A:$A,'Aug 2026'!$D36,'2026 Time Off Request'!$L:$L,'Aug 2026'!I$6)</f>
        <v>0</v>
      </c>
      <c r="J36" s="148">
        <f>COUNTIFS('2026 Time Off Request'!$A:$A,'Aug 2026'!$D36,'2026 Time Off Request'!$L:$L,'Aug 2026'!J$6)</f>
        <v>0</v>
      </c>
      <c r="K36" s="148">
        <f>COUNTIFS('2026 Time Off Request'!$A:$A,'Aug 2026'!$D36,'2026 Time Off Request'!$L:$L,'Aug 2026'!K$6)</f>
        <v>0</v>
      </c>
      <c r="L36" s="148">
        <f>COUNTIFS('2026 Time Off Request'!$A:$A,'Aug 2026'!$D36,'2026 Time Off Request'!$L:$L,'Aug 2026'!L$6)</f>
        <v>0</v>
      </c>
      <c r="M36" s="147">
        <f>COUNTIFS('2026 Time Off Request'!$A:$A,'Aug 2026'!$D36,'2026 Time Off Request'!$L:$L,'Aug 2026'!M$6)</f>
        <v>0</v>
      </c>
      <c r="N36" s="147">
        <f>COUNTIFS('2026 Time Off Request'!$A:$A,'Aug 2026'!$D36,'2026 Time Off Request'!$L:$L,'Aug 2026'!N$6)</f>
        <v>0</v>
      </c>
      <c r="O36" s="148">
        <f>COUNTIFS('2026 Time Off Request'!$A:$A,'Aug 2026'!$D36,'2026 Time Off Request'!$L:$L,'Aug 2026'!O$6)</f>
        <v>0</v>
      </c>
      <c r="P36" s="148">
        <f>COUNTIFS('2026 Time Off Request'!$A:$A,'Aug 2026'!$D36,'2026 Time Off Request'!$L:$L,'Aug 2026'!P$6)</f>
        <v>0</v>
      </c>
      <c r="Q36" s="148">
        <f>COUNTIFS('2026 Time Off Request'!$A:$A,'Aug 2026'!$D36,'2026 Time Off Request'!$L:$L,'Aug 2026'!Q$6)</f>
        <v>0</v>
      </c>
      <c r="R36" s="148">
        <f>COUNTIFS('2026 Time Off Request'!$A:$A,'Aug 2026'!$D36,'2026 Time Off Request'!$L:$L,'Aug 2026'!R$6)</f>
        <v>0</v>
      </c>
      <c r="S36" s="148">
        <f>COUNTIFS('2026 Time Off Request'!$A:$A,'Aug 2026'!$D36,'2026 Time Off Request'!$L:$L,'Aug 2026'!S$6)</f>
        <v>0</v>
      </c>
      <c r="T36" s="147">
        <f>COUNTIFS('2026 Time Off Request'!$A:$A,'Aug 2026'!$D36,'2026 Time Off Request'!$L:$L,'Aug 2026'!T$6)</f>
        <v>0</v>
      </c>
      <c r="U36" s="147">
        <f>COUNTIFS('2026 Time Off Request'!$A:$A,'Aug 2026'!$D36,'2026 Time Off Request'!$L:$L,'Aug 2026'!U$6)</f>
        <v>0</v>
      </c>
      <c r="V36" s="148">
        <f>COUNTIFS('2026 Time Off Request'!$A:$A,'Aug 2026'!$D36,'2026 Time Off Request'!$L:$L,'Aug 2026'!V$6)</f>
        <v>0</v>
      </c>
      <c r="W36" s="148">
        <f>COUNTIFS('2026 Time Off Request'!$A:$A,'Aug 2026'!$D36,'2026 Time Off Request'!$L:$L,'Aug 2026'!W$6)</f>
        <v>0</v>
      </c>
      <c r="X36" s="148">
        <f>COUNTIFS('2026 Time Off Request'!$A:$A,'Aug 2026'!$D36,'2026 Time Off Request'!$L:$L,'Aug 2026'!X$6)</f>
        <v>0</v>
      </c>
      <c r="Y36" s="148">
        <f>COUNTIFS('2026 Time Off Request'!$A:$A,'Aug 2026'!$D36,'2026 Time Off Request'!$L:$L,'Aug 2026'!Y$6)</f>
        <v>0</v>
      </c>
      <c r="Z36" s="148">
        <f>COUNTIFS('2026 Time Off Request'!$A:$A,'Aug 2026'!$D36,'2026 Time Off Request'!$L:$L,'Aug 2026'!Z$6)</f>
        <v>0</v>
      </c>
      <c r="AA36" s="147">
        <f>COUNTIFS('2026 Time Off Request'!$A:$A,'Aug 2026'!$D36,'2026 Time Off Request'!$L:$L,'Aug 2026'!AA$6)</f>
        <v>0</v>
      </c>
      <c r="AB36" s="147">
        <f>COUNTIFS('2026 Time Off Request'!$A:$A,'Aug 2026'!$D36,'2026 Time Off Request'!$L:$L,'Aug 2026'!AB$6)</f>
        <v>0</v>
      </c>
      <c r="AC36" s="148">
        <f>COUNTIFS('2026 Time Off Request'!$A:$A,'Aug 2026'!$D36,'2026 Time Off Request'!$L:$L,'Aug 2026'!AC$6)</f>
        <v>0</v>
      </c>
      <c r="AD36" s="148">
        <f>COUNTIFS('2026 Time Off Request'!$A:$A,'Aug 2026'!$D36,'2026 Time Off Request'!$L:$L,'Aug 2026'!AD$6)</f>
        <v>0</v>
      </c>
      <c r="AE36" s="148">
        <f>COUNTIFS('2026 Time Off Request'!$A:$A,'Aug 2026'!$D36,'2026 Time Off Request'!$L:$L,'Aug 2026'!AE$6)</f>
        <v>0</v>
      </c>
      <c r="AF36" s="148">
        <f>COUNTIFS('2026 Time Off Request'!$A:$A,'Aug 2026'!$D36,'2026 Time Off Request'!$L:$L,'Aug 2026'!AF$6)</f>
        <v>0</v>
      </c>
      <c r="AG36" s="148">
        <f>COUNTIFS('2026 Time Off Request'!$A:$A,'Aug 2026'!$D36,'2026 Time Off Request'!$L:$L,'Aug 2026'!AG$6)</f>
        <v>0</v>
      </c>
      <c r="AH36" s="147">
        <f>COUNTIFS('2026 Time Off Request'!$A:$A,'Aug 2026'!$D36,'2026 Time Off Request'!$L:$L,'Aug 2026'!AH$6)</f>
        <v>0</v>
      </c>
      <c r="AI36" s="147">
        <f>COUNTIFS('2026 Time Off Request'!$A:$A,'Aug 2026'!$D36,'2026 Time Off Request'!$L:$L,'Aug 2026'!AI$6)</f>
        <v>0</v>
      </c>
      <c r="AJ36" s="148">
        <f>COUNTIFS('2026 Time Off Request'!$A:$A,'Aug 2026'!$D36,'2026 Time Off Request'!$L:$L,'Aug 2026'!AJ$6)</f>
        <v>0</v>
      </c>
    </row>
    <row r="37" spans="1:36" ht="15.75">
      <c r="A37" s="2">
        <v>28</v>
      </c>
      <c r="B37" s="209" t="s">
        <v>45</v>
      </c>
      <c r="C37" s="210" t="s">
        <v>77</v>
      </c>
      <c r="D37" s="215" t="s">
        <v>78</v>
      </c>
      <c r="E37" s="212">
        <f t="shared" si="2"/>
        <v>0</v>
      </c>
      <c r="F37" s="213">
        <f>COUNTIFS('2026 Time Off Request'!$A:$A,'Aug 2026'!$D37,'2026 Time Off Request'!$L:$L,'Aug 2026'!F$6)</f>
        <v>0</v>
      </c>
      <c r="G37" s="147">
        <f>COUNTIFS('2026 Time Off Request'!$A:$A,'Aug 2026'!$D37,'2026 Time Off Request'!$L:$L,'Aug 2026'!G$6)</f>
        <v>0</v>
      </c>
      <c r="H37" s="224">
        <f>COUNTIFS('2026 Time Off Request'!$A:$A,'Aug 2026'!$D37,'2026 Time Off Request'!$L:$L,'Aug 2026'!H$6)</f>
        <v>0</v>
      </c>
      <c r="I37" s="148">
        <f>COUNTIFS('2026 Time Off Request'!$A:$A,'Aug 2026'!$D37,'2026 Time Off Request'!$L:$L,'Aug 2026'!I$6)</f>
        <v>0</v>
      </c>
      <c r="J37" s="148">
        <f>COUNTIFS('2026 Time Off Request'!$A:$A,'Aug 2026'!$D37,'2026 Time Off Request'!$L:$L,'Aug 2026'!J$6)</f>
        <v>0</v>
      </c>
      <c r="K37" s="148">
        <f>COUNTIFS('2026 Time Off Request'!$A:$A,'Aug 2026'!$D37,'2026 Time Off Request'!$L:$L,'Aug 2026'!K$6)</f>
        <v>0</v>
      </c>
      <c r="L37" s="148">
        <f>COUNTIFS('2026 Time Off Request'!$A:$A,'Aug 2026'!$D37,'2026 Time Off Request'!$L:$L,'Aug 2026'!L$6)</f>
        <v>0</v>
      </c>
      <c r="M37" s="147">
        <f>COUNTIFS('2026 Time Off Request'!$A:$A,'Aug 2026'!$D37,'2026 Time Off Request'!$L:$L,'Aug 2026'!M$6)</f>
        <v>0</v>
      </c>
      <c r="N37" s="147">
        <f>COUNTIFS('2026 Time Off Request'!$A:$A,'Aug 2026'!$D37,'2026 Time Off Request'!$L:$L,'Aug 2026'!N$6)</f>
        <v>0</v>
      </c>
      <c r="O37" s="148">
        <f>COUNTIFS('2026 Time Off Request'!$A:$A,'Aug 2026'!$D37,'2026 Time Off Request'!$L:$L,'Aug 2026'!O$6)</f>
        <v>0</v>
      </c>
      <c r="P37" s="148">
        <f>COUNTIFS('2026 Time Off Request'!$A:$A,'Aug 2026'!$D37,'2026 Time Off Request'!$L:$L,'Aug 2026'!P$6)</f>
        <v>0</v>
      </c>
      <c r="Q37" s="148">
        <f>COUNTIFS('2026 Time Off Request'!$A:$A,'Aug 2026'!$D37,'2026 Time Off Request'!$L:$L,'Aug 2026'!Q$6)</f>
        <v>0</v>
      </c>
      <c r="R37" s="148">
        <f>COUNTIFS('2026 Time Off Request'!$A:$A,'Aug 2026'!$D37,'2026 Time Off Request'!$L:$L,'Aug 2026'!R$6)</f>
        <v>0</v>
      </c>
      <c r="S37" s="148">
        <f>COUNTIFS('2026 Time Off Request'!$A:$A,'Aug 2026'!$D37,'2026 Time Off Request'!$L:$L,'Aug 2026'!S$6)</f>
        <v>0</v>
      </c>
      <c r="T37" s="147">
        <f>COUNTIFS('2026 Time Off Request'!$A:$A,'Aug 2026'!$D37,'2026 Time Off Request'!$L:$L,'Aug 2026'!T$6)</f>
        <v>0</v>
      </c>
      <c r="U37" s="147">
        <f>COUNTIFS('2026 Time Off Request'!$A:$A,'Aug 2026'!$D37,'2026 Time Off Request'!$L:$L,'Aug 2026'!U$6)</f>
        <v>0</v>
      </c>
      <c r="V37" s="148">
        <f>COUNTIFS('2026 Time Off Request'!$A:$A,'Aug 2026'!$D37,'2026 Time Off Request'!$L:$L,'Aug 2026'!V$6)</f>
        <v>0</v>
      </c>
      <c r="W37" s="148">
        <f>COUNTIFS('2026 Time Off Request'!$A:$A,'Aug 2026'!$D37,'2026 Time Off Request'!$L:$L,'Aug 2026'!W$6)</f>
        <v>0</v>
      </c>
      <c r="X37" s="148">
        <f>COUNTIFS('2026 Time Off Request'!$A:$A,'Aug 2026'!$D37,'2026 Time Off Request'!$L:$L,'Aug 2026'!X$6)</f>
        <v>0</v>
      </c>
      <c r="Y37" s="148">
        <f>COUNTIFS('2026 Time Off Request'!$A:$A,'Aug 2026'!$D37,'2026 Time Off Request'!$L:$L,'Aug 2026'!Y$6)</f>
        <v>0</v>
      </c>
      <c r="Z37" s="148">
        <f>COUNTIFS('2026 Time Off Request'!$A:$A,'Aug 2026'!$D37,'2026 Time Off Request'!$L:$L,'Aug 2026'!Z$6)</f>
        <v>0</v>
      </c>
      <c r="AA37" s="147">
        <f>COUNTIFS('2026 Time Off Request'!$A:$A,'Aug 2026'!$D37,'2026 Time Off Request'!$L:$L,'Aug 2026'!AA$6)</f>
        <v>0</v>
      </c>
      <c r="AB37" s="147">
        <f>COUNTIFS('2026 Time Off Request'!$A:$A,'Aug 2026'!$D37,'2026 Time Off Request'!$L:$L,'Aug 2026'!AB$6)</f>
        <v>0</v>
      </c>
      <c r="AC37" s="148">
        <f>COUNTIFS('2026 Time Off Request'!$A:$A,'Aug 2026'!$D37,'2026 Time Off Request'!$L:$L,'Aug 2026'!AC$6)</f>
        <v>0</v>
      </c>
      <c r="AD37" s="148">
        <f>COUNTIFS('2026 Time Off Request'!$A:$A,'Aug 2026'!$D37,'2026 Time Off Request'!$L:$L,'Aug 2026'!AD$6)</f>
        <v>0</v>
      </c>
      <c r="AE37" s="148">
        <f>COUNTIFS('2026 Time Off Request'!$A:$A,'Aug 2026'!$D37,'2026 Time Off Request'!$L:$L,'Aug 2026'!AE$6)</f>
        <v>0</v>
      </c>
      <c r="AF37" s="148">
        <f>COUNTIFS('2026 Time Off Request'!$A:$A,'Aug 2026'!$D37,'2026 Time Off Request'!$L:$L,'Aug 2026'!AF$6)</f>
        <v>0</v>
      </c>
      <c r="AG37" s="148">
        <f>COUNTIFS('2026 Time Off Request'!$A:$A,'Aug 2026'!$D37,'2026 Time Off Request'!$L:$L,'Aug 2026'!AG$6)</f>
        <v>0</v>
      </c>
      <c r="AH37" s="147">
        <f>COUNTIFS('2026 Time Off Request'!$A:$A,'Aug 2026'!$D37,'2026 Time Off Request'!$L:$L,'Aug 2026'!AH$6)</f>
        <v>0</v>
      </c>
      <c r="AI37" s="147">
        <f>COUNTIFS('2026 Time Off Request'!$A:$A,'Aug 2026'!$D37,'2026 Time Off Request'!$L:$L,'Aug 2026'!AI$6)</f>
        <v>0</v>
      </c>
      <c r="AJ37" s="148">
        <f>COUNTIFS('2026 Time Off Request'!$A:$A,'Aug 2026'!$D37,'2026 Time Off Request'!$L:$L,'Aug 2026'!AJ$6)</f>
        <v>0</v>
      </c>
    </row>
    <row r="38" spans="1:36" ht="15.75">
      <c r="A38" s="2">
        <v>29</v>
      </c>
      <c r="B38" s="209" t="s">
        <v>45</v>
      </c>
      <c r="C38" s="210" t="s">
        <v>77</v>
      </c>
      <c r="D38" s="215" t="s">
        <v>79</v>
      </c>
      <c r="E38" s="212">
        <f t="shared" si="2"/>
        <v>0</v>
      </c>
      <c r="F38" s="213">
        <f>COUNTIFS('2026 Time Off Request'!$A:$A,'Aug 2026'!$D38,'2026 Time Off Request'!$L:$L,'Aug 2026'!F$6)</f>
        <v>0</v>
      </c>
      <c r="G38" s="147">
        <f>COUNTIFS('2026 Time Off Request'!$A:$A,'Aug 2026'!$D38,'2026 Time Off Request'!$L:$L,'Aug 2026'!G$6)</f>
        <v>0</v>
      </c>
      <c r="H38" s="224">
        <f>COUNTIFS('2026 Time Off Request'!$A:$A,'Aug 2026'!$D38,'2026 Time Off Request'!$L:$L,'Aug 2026'!H$6)</f>
        <v>0</v>
      </c>
      <c r="I38" s="148">
        <f>COUNTIFS('2026 Time Off Request'!$A:$A,'Aug 2026'!$D38,'2026 Time Off Request'!$L:$L,'Aug 2026'!I$6)</f>
        <v>0</v>
      </c>
      <c r="J38" s="148">
        <f>COUNTIFS('2026 Time Off Request'!$A:$A,'Aug 2026'!$D38,'2026 Time Off Request'!$L:$L,'Aug 2026'!J$6)</f>
        <v>0</v>
      </c>
      <c r="K38" s="148">
        <f>COUNTIFS('2026 Time Off Request'!$A:$A,'Aug 2026'!$D38,'2026 Time Off Request'!$L:$L,'Aug 2026'!K$6)</f>
        <v>0</v>
      </c>
      <c r="L38" s="148">
        <f>COUNTIFS('2026 Time Off Request'!$A:$A,'Aug 2026'!$D38,'2026 Time Off Request'!$L:$L,'Aug 2026'!L$6)</f>
        <v>0</v>
      </c>
      <c r="M38" s="147">
        <f>COUNTIFS('2026 Time Off Request'!$A:$A,'Aug 2026'!$D38,'2026 Time Off Request'!$L:$L,'Aug 2026'!M$6)</f>
        <v>0</v>
      </c>
      <c r="N38" s="147">
        <f>COUNTIFS('2026 Time Off Request'!$A:$A,'Aug 2026'!$D38,'2026 Time Off Request'!$L:$L,'Aug 2026'!N$6)</f>
        <v>0</v>
      </c>
      <c r="O38" s="148">
        <f>COUNTIFS('2026 Time Off Request'!$A:$A,'Aug 2026'!$D38,'2026 Time Off Request'!$L:$L,'Aug 2026'!O$6)</f>
        <v>0</v>
      </c>
      <c r="P38" s="148">
        <f>COUNTIFS('2026 Time Off Request'!$A:$A,'Aug 2026'!$D38,'2026 Time Off Request'!$L:$L,'Aug 2026'!P$6)</f>
        <v>0</v>
      </c>
      <c r="Q38" s="148">
        <f>COUNTIFS('2026 Time Off Request'!$A:$A,'Aug 2026'!$D38,'2026 Time Off Request'!$L:$L,'Aug 2026'!Q$6)</f>
        <v>0</v>
      </c>
      <c r="R38" s="148">
        <f>COUNTIFS('2026 Time Off Request'!$A:$A,'Aug 2026'!$D38,'2026 Time Off Request'!$L:$L,'Aug 2026'!R$6)</f>
        <v>0</v>
      </c>
      <c r="S38" s="148">
        <f>COUNTIFS('2026 Time Off Request'!$A:$A,'Aug 2026'!$D38,'2026 Time Off Request'!$L:$L,'Aug 2026'!S$6)</f>
        <v>0</v>
      </c>
      <c r="T38" s="147">
        <f>COUNTIFS('2026 Time Off Request'!$A:$A,'Aug 2026'!$D38,'2026 Time Off Request'!$L:$L,'Aug 2026'!T$6)</f>
        <v>0</v>
      </c>
      <c r="U38" s="147">
        <f>COUNTIFS('2026 Time Off Request'!$A:$A,'Aug 2026'!$D38,'2026 Time Off Request'!$L:$L,'Aug 2026'!U$6)</f>
        <v>0</v>
      </c>
      <c r="V38" s="148">
        <f>COUNTIFS('2026 Time Off Request'!$A:$A,'Aug 2026'!$D38,'2026 Time Off Request'!$L:$L,'Aug 2026'!V$6)</f>
        <v>0</v>
      </c>
      <c r="W38" s="148">
        <f>COUNTIFS('2026 Time Off Request'!$A:$A,'Aug 2026'!$D38,'2026 Time Off Request'!$L:$L,'Aug 2026'!W$6)</f>
        <v>0</v>
      </c>
      <c r="X38" s="148">
        <f>COUNTIFS('2026 Time Off Request'!$A:$A,'Aug 2026'!$D38,'2026 Time Off Request'!$L:$L,'Aug 2026'!X$6)</f>
        <v>0</v>
      </c>
      <c r="Y38" s="148">
        <f>COUNTIFS('2026 Time Off Request'!$A:$A,'Aug 2026'!$D38,'2026 Time Off Request'!$L:$L,'Aug 2026'!Y$6)</f>
        <v>0</v>
      </c>
      <c r="Z38" s="148">
        <f>COUNTIFS('2026 Time Off Request'!$A:$A,'Aug 2026'!$D38,'2026 Time Off Request'!$L:$L,'Aug 2026'!Z$6)</f>
        <v>0</v>
      </c>
      <c r="AA38" s="147">
        <f>COUNTIFS('2026 Time Off Request'!$A:$A,'Aug 2026'!$D38,'2026 Time Off Request'!$L:$L,'Aug 2026'!AA$6)</f>
        <v>0</v>
      </c>
      <c r="AB38" s="147">
        <f>COUNTIFS('2026 Time Off Request'!$A:$A,'Aug 2026'!$D38,'2026 Time Off Request'!$L:$L,'Aug 2026'!AB$6)</f>
        <v>0</v>
      </c>
      <c r="AC38" s="148">
        <f>COUNTIFS('2026 Time Off Request'!$A:$A,'Aug 2026'!$D38,'2026 Time Off Request'!$L:$L,'Aug 2026'!AC$6)</f>
        <v>0</v>
      </c>
      <c r="AD38" s="148">
        <f>COUNTIFS('2026 Time Off Request'!$A:$A,'Aug 2026'!$D38,'2026 Time Off Request'!$L:$L,'Aug 2026'!AD$6)</f>
        <v>0</v>
      </c>
      <c r="AE38" s="148">
        <f>COUNTIFS('2026 Time Off Request'!$A:$A,'Aug 2026'!$D38,'2026 Time Off Request'!$L:$L,'Aug 2026'!AE$6)</f>
        <v>0</v>
      </c>
      <c r="AF38" s="148">
        <f>COUNTIFS('2026 Time Off Request'!$A:$A,'Aug 2026'!$D38,'2026 Time Off Request'!$L:$L,'Aug 2026'!AF$6)</f>
        <v>0</v>
      </c>
      <c r="AG38" s="148">
        <f>COUNTIFS('2026 Time Off Request'!$A:$A,'Aug 2026'!$D38,'2026 Time Off Request'!$L:$L,'Aug 2026'!AG$6)</f>
        <v>0</v>
      </c>
      <c r="AH38" s="147">
        <f>COUNTIFS('2026 Time Off Request'!$A:$A,'Aug 2026'!$D38,'2026 Time Off Request'!$L:$L,'Aug 2026'!AH$6)</f>
        <v>0</v>
      </c>
      <c r="AI38" s="147">
        <f>COUNTIFS('2026 Time Off Request'!$A:$A,'Aug 2026'!$D38,'2026 Time Off Request'!$L:$L,'Aug 2026'!AI$6)</f>
        <v>0</v>
      </c>
      <c r="AJ38" s="148">
        <f>COUNTIFS('2026 Time Off Request'!$A:$A,'Aug 2026'!$D38,'2026 Time Off Request'!$L:$L,'Aug 2026'!AJ$6)</f>
        <v>0</v>
      </c>
    </row>
    <row r="39" spans="1:36" ht="15.75">
      <c r="A39" s="2">
        <v>30</v>
      </c>
      <c r="B39" s="209" t="s">
        <v>45</v>
      </c>
      <c r="C39" s="210" t="s">
        <v>77</v>
      </c>
      <c r="D39" s="215" t="s">
        <v>80</v>
      </c>
      <c r="E39" s="212">
        <f t="shared" si="2"/>
        <v>0</v>
      </c>
      <c r="F39" s="213">
        <f>COUNTIFS('2026 Time Off Request'!$A:$A,'Aug 2026'!$D39,'2026 Time Off Request'!$L:$L,'Aug 2026'!F$6)</f>
        <v>0</v>
      </c>
      <c r="G39" s="147">
        <f>COUNTIFS('2026 Time Off Request'!$A:$A,'Aug 2026'!$D39,'2026 Time Off Request'!$L:$L,'Aug 2026'!G$6)</f>
        <v>0</v>
      </c>
      <c r="H39" s="224">
        <f>COUNTIFS('2026 Time Off Request'!$A:$A,'Aug 2026'!$D39,'2026 Time Off Request'!$L:$L,'Aug 2026'!H$6)</f>
        <v>0</v>
      </c>
      <c r="I39" s="148">
        <f>COUNTIFS('2026 Time Off Request'!$A:$A,'Aug 2026'!$D39,'2026 Time Off Request'!$L:$L,'Aug 2026'!I$6)</f>
        <v>0</v>
      </c>
      <c r="J39" s="148">
        <f>COUNTIFS('2026 Time Off Request'!$A:$A,'Aug 2026'!$D39,'2026 Time Off Request'!$L:$L,'Aug 2026'!J$6)</f>
        <v>0</v>
      </c>
      <c r="K39" s="148">
        <f>COUNTIFS('2026 Time Off Request'!$A:$A,'Aug 2026'!$D39,'2026 Time Off Request'!$L:$L,'Aug 2026'!K$6)</f>
        <v>0</v>
      </c>
      <c r="L39" s="148">
        <f>COUNTIFS('2026 Time Off Request'!$A:$A,'Aug 2026'!$D39,'2026 Time Off Request'!$L:$L,'Aug 2026'!L$6)</f>
        <v>0</v>
      </c>
      <c r="M39" s="147">
        <f>COUNTIFS('2026 Time Off Request'!$A:$A,'Aug 2026'!$D39,'2026 Time Off Request'!$L:$L,'Aug 2026'!M$6)</f>
        <v>0</v>
      </c>
      <c r="N39" s="147">
        <f>COUNTIFS('2026 Time Off Request'!$A:$A,'Aug 2026'!$D39,'2026 Time Off Request'!$L:$L,'Aug 2026'!N$6)</f>
        <v>0</v>
      </c>
      <c r="O39" s="148">
        <f>COUNTIFS('2026 Time Off Request'!$A:$A,'Aug 2026'!$D39,'2026 Time Off Request'!$L:$L,'Aug 2026'!O$6)</f>
        <v>0</v>
      </c>
      <c r="P39" s="148">
        <f>COUNTIFS('2026 Time Off Request'!$A:$A,'Aug 2026'!$D39,'2026 Time Off Request'!$L:$L,'Aug 2026'!P$6)</f>
        <v>0</v>
      </c>
      <c r="Q39" s="148">
        <f>COUNTIFS('2026 Time Off Request'!$A:$A,'Aug 2026'!$D39,'2026 Time Off Request'!$L:$L,'Aug 2026'!Q$6)</f>
        <v>0</v>
      </c>
      <c r="R39" s="148">
        <f>COUNTIFS('2026 Time Off Request'!$A:$A,'Aug 2026'!$D39,'2026 Time Off Request'!$L:$L,'Aug 2026'!R$6)</f>
        <v>0</v>
      </c>
      <c r="S39" s="148">
        <f>COUNTIFS('2026 Time Off Request'!$A:$A,'Aug 2026'!$D39,'2026 Time Off Request'!$L:$L,'Aug 2026'!S$6)</f>
        <v>0</v>
      </c>
      <c r="T39" s="147">
        <f>COUNTIFS('2026 Time Off Request'!$A:$A,'Aug 2026'!$D39,'2026 Time Off Request'!$L:$L,'Aug 2026'!T$6)</f>
        <v>0</v>
      </c>
      <c r="U39" s="147">
        <f>COUNTIFS('2026 Time Off Request'!$A:$A,'Aug 2026'!$D39,'2026 Time Off Request'!$L:$L,'Aug 2026'!U$6)</f>
        <v>0</v>
      </c>
      <c r="V39" s="148">
        <f>COUNTIFS('2026 Time Off Request'!$A:$A,'Aug 2026'!$D39,'2026 Time Off Request'!$L:$L,'Aug 2026'!V$6)</f>
        <v>0</v>
      </c>
      <c r="W39" s="148">
        <f>COUNTIFS('2026 Time Off Request'!$A:$A,'Aug 2026'!$D39,'2026 Time Off Request'!$L:$L,'Aug 2026'!W$6)</f>
        <v>0</v>
      </c>
      <c r="X39" s="148">
        <f>COUNTIFS('2026 Time Off Request'!$A:$A,'Aug 2026'!$D39,'2026 Time Off Request'!$L:$L,'Aug 2026'!X$6)</f>
        <v>0</v>
      </c>
      <c r="Y39" s="148">
        <f>COUNTIFS('2026 Time Off Request'!$A:$A,'Aug 2026'!$D39,'2026 Time Off Request'!$L:$L,'Aug 2026'!Y$6)</f>
        <v>0</v>
      </c>
      <c r="Z39" s="148">
        <f>COUNTIFS('2026 Time Off Request'!$A:$A,'Aug 2026'!$D39,'2026 Time Off Request'!$L:$L,'Aug 2026'!Z$6)</f>
        <v>0</v>
      </c>
      <c r="AA39" s="147">
        <f>COUNTIFS('2026 Time Off Request'!$A:$A,'Aug 2026'!$D39,'2026 Time Off Request'!$L:$L,'Aug 2026'!AA$6)</f>
        <v>0</v>
      </c>
      <c r="AB39" s="147">
        <f>COUNTIFS('2026 Time Off Request'!$A:$A,'Aug 2026'!$D39,'2026 Time Off Request'!$L:$L,'Aug 2026'!AB$6)</f>
        <v>0</v>
      </c>
      <c r="AC39" s="148">
        <f>COUNTIFS('2026 Time Off Request'!$A:$A,'Aug 2026'!$D39,'2026 Time Off Request'!$L:$L,'Aug 2026'!AC$6)</f>
        <v>0</v>
      </c>
      <c r="AD39" s="148">
        <f>COUNTIFS('2026 Time Off Request'!$A:$A,'Aug 2026'!$D39,'2026 Time Off Request'!$L:$L,'Aug 2026'!AD$6)</f>
        <v>0</v>
      </c>
      <c r="AE39" s="148">
        <f>COUNTIFS('2026 Time Off Request'!$A:$A,'Aug 2026'!$D39,'2026 Time Off Request'!$L:$L,'Aug 2026'!AE$6)</f>
        <v>0</v>
      </c>
      <c r="AF39" s="148">
        <f>COUNTIFS('2026 Time Off Request'!$A:$A,'Aug 2026'!$D39,'2026 Time Off Request'!$L:$L,'Aug 2026'!AF$6)</f>
        <v>0</v>
      </c>
      <c r="AG39" s="148">
        <f>COUNTIFS('2026 Time Off Request'!$A:$A,'Aug 2026'!$D39,'2026 Time Off Request'!$L:$L,'Aug 2026'!AG$6)</f>
        <v>0</v>
      </c>
      <c r="AH39" s="147">
        <f>COUNTIFS('2026 Time Off Request'!$A:$A,'Aug 2026'!$D39,'2026 Time Off Request'!$L:$L,'Aug 2026'!AH$6)</f>
        <v>0</v>
      </c>
      <c r="AI39" s="147">
        <f>COUNTIFS('2026 Time Off Request'!$A:$A,'Aug 2026'!$D39,'2026 Time Off Request'!$L:$L,'Aug 2026'!AI$6)</f>
        <v>0</v>
      </c>
      <c r="AJ39" s="148">
        <f>COUNTIFS('2026 Time Off Request'!$A:$A,'Aug 2026'!$D39,'2026 Time Off Request'!$L:$L,'Aug 2026'!AJ$6)</f>
        <v>0</v>
      </c>
    </row>
    <row r="40" spans="1:36" ht="15.75">
      <c r="A40" s="2">
        <v>31</v>
      </c>
      <c r="B40" s="209" t="s">
        <v>49</v>
      </c>
      <c r="C40" s="210" t="s">
        <v>81</v>
      </c>
      <c r="D40" s="215" t="s">
        <v>82</v>
      </c>
      <c r="E40" s="212">
        <f t="shared" si="2"/>
        <v>0</v>
      </c>
      <c r="F40" s="213">
        <f>COUNTIFS('2026 Time Off Request'!$A:$A,'Aug 2026'!$D40,'2026 Time Off Request'!$L:$L,'Aug 2026'!F$6)</f>
        <v>0</v>
      </c>
      <c r="G40" s="147">
        <f>COUNTIFS('2026 Time Off Request'!$A:$A,'Aug 2026'!$D40,'2026 Time Off Request'!$L:$L,'Aug 2026'!G$6)</f>
        <v>0</v>
      </c>
      <c r="H40" s="224">
        <f>COUNTIFS('2026 Time Off Request'!$A:$A,'Aug 2026'!$D40,'2026 Time Off Request'!$L:$L,'Aug 2026'!H$6)</f>
        <v>0</v>
      </c>
      <c r="I40" s="148">
        <f>COUNTIFS('2026 Time Off Request'!$A:$A,'Aug 2026'!$D40,'2026 Time Off Request'!$L:$L,'Aug 2026'!I$6)</f>
        <v>0</v>
      </c>
      <c r="J40" s="148">
        <f>COUNTIFS('2026 Time Off Request'!$A:$A,'Aug 2026'!$D40,'2026 Time Off Request'!$L:$L,'Aug 2026'!J$6)</f>
        <v>0</v>
      </c>
      <c r="K40" s="148">
        <f>COUNTIFS('2026 Time Off Request'!$A:$A,'Aug 2026'!$D40,'2026 Time Off Request'!$L:$L,'Aug 2026'!K$6)</f>
        <v>0</v>
      </c>
      <c r="L40" s="148">
        <f>COUNTIFS('2026 Time Off Request'!$A:$A,'Aug 2026'!$D40,'2026 Time Off Request'!$L:$L,'Aug 2026'!L$6)</f>
        <v>0</v>
      </c>
      <c r="M40" s="147">
        <f>COUNTIFS('2026 Time Off Request'!$A:$A,'Aug 2026'!$D40,'2026 Time Off Request'!$L:$L,'Aug 2026'!M$6)</f>
        <v>0</v>
      </c>
      <c r="N40" s="147">
        <f>COUNTIFS('2026 Time Off Request'!$A:$A,'Aug 2026'!$D40,'2026 Time Off Request'!$L:$L,'Aug 2026'!N$6)</f>
        <v>0</v>
      </c>
      <c r="O40" s="148">
        <f>COUNTIFS('2026 Time Off Request'!$A:$A,'Aug 2026'!$D40,'2026 Time Off Request'!$L:$L,'Aug 2026'!O$6)</f>
        <v>0</v>
      </c>
      <c r="P40" s="148">
        <f>COUNTIFS('2026 Time Off Request'!$A:$A,'Aug 2026'!$D40,'2026 Time Off Request'!$L:$L,'Aug 2026'!P$6)</f>
        <v>0</v>
      </c>
      <c r="Q40" s="148">
        <f>COUNTIFS('2026 Time Off Request'!$A:$A,'Aug 2026'!$D40,'2026 Time Off Request'!$L:$L,'Aug 2026'!Q$6)</f>
        <v>0</v>
      </c>
      <c r="R40" s="148">
        <f>COUNTIFS('2026 Time Off Request'!$A:$A,'Aug 2026'!$D40,'2026 Time Off Request'!$L:$L,'Aug 2026'!R$6)</f>
        <v>0</v>
      </c>
      <c r="S40" s="148">
        <f>COUNTIFS('2026 Time Off Request'!$A:$A,'Aug 2026'!$D40,'2026 Time Off Request'!$L:$L,'Aug 2026'!S$6)</f>
        <v>0</v>
      </c>
      <c r="T40" s="147">
        <f>COUNTIFS('2026 Time Off Request'!$A:$A,'Aug 2026'!$D40,'2026 Time Off Request'!$L:$L,'Aug 2026'!T$6)</f>
        <v>0</v>
      </c>
      <c r="U40" s="147">
        <f>COUNTIFS('2026 Time Off Request'!$A:$A,'Aug 2026'!$D40,'2026 Time Off Request'!$L:$L,'Aug 2026'!U$6)</f>
        <v>0</v>
      </c>
      <c r="V40" s="148">
        <f>COUNTIFS('2026 Time Off Request'!$A:$A,'Aug 2026'!$D40,'2026 Time Off Request'!$L:$L,'Aug 2026'!V$6)</f>
        <v>0</v>
      </c>
      <c r="W40" s="148">
        <f>COUNTIFS('2026 Time Off Request'!$A:$A,'Aug 2026'!$D40,'2026 Time Off Request'!$L:$L,'Aug 2026'!W$6)</f>
        <v>0</v>
      </c>
      <c r="X40" s="148">
        <f>COUNTIFS('2026 Time Off Request'!$A:$A,'Aug 2026'!$D40,'2026 Time Off Request'!$L:$L,'Aug 2026'!X$6)</f>
        <v>0</v>
      </c>
      <c r="Y40" s="148">
        <f>COUNTIFS('2026 Time Off Request'!$A:$A,'Aug 2026'!$D40,'2026 Time Off Request'!$L:$L,'Aug 2026'!Y$6)</f>
        <v>0</v>
      </c>
      <c r="Z40" s="148">
        <f>COUNTIFS('2026 Time Off Request'!$A:$A,'Aug 2026'!$D40,'2026 Time Off Request'!$L:$L,'Aug 2026'!Z$6)</f>
        <v>0</v>
      </c>
      <c r="AA40" s="147">
        <f>COUNTIFS('2026 Time Off Request'!$A:$A,'Aug 2026'!$D40,'2026 Time Off Request'!$L:$L,'Aug 2026'!AA$6)</f>
        <v>0</v>
      </c>
      <c r="AB40" s="147">
        <f>COUNTIFS('2026 Time Off Request'!$A:$A,'Aug 2026'!$D40,'2026 Time Off Request'!$L:$L,'Aug 2026'!AB$6)</f>
        <v>0</v>
      </c>
      <c r="AC40" s="148">
        <f>COUNTIFS('2026 Time Off Request'!$A:$A,'Aug 2026'!$D40,'2026 Time Off Request'!$L:$L,'Aug 2026'!AC$6)</f>
        <v>0</v>
      </c>
      <c r="AD40" s="148">
        <f>COUNTIFS('2026 Time Off Request'!$A:$A,'Aug 2026'!$D40,'2026 Time Off Request'!$L:$L,'Aug 2026'!AD$6)</f>
        <v>0</v>
      </c>
      <c r="AE40" s="148">
        <f>COUNTIFS('2026 Time Off Request'!$A:$A,'Aug 2026'!$D40,'2026 Time Off Request'!$L:$L,'Aug 2026'!AE$6)</f>
        <v>0</v>
      </c>
      <c r="AF40" s="148">
        <f>COUNTIFS('2026 Time Off Request'!$A:$A,'Aug 2026'!$D40,'2026 Time Off Request'!$L:$L,'Aug 2026'!AF$6)</f>
        <v>0</v>
      </c>
      <c r="AG40" s="148">
        <f>COUNTIFS('2026 Time Off Request'!$A:$A,'Aug 2026'!$D40,'2026 Time Off Request'!$L:$L,'Aug 2026'!AG$6)</f>
        <v>0</v>
      </c>
      <c r="AH40" s="147">
        <f>COUNTIFS('2026 Time Off Request'!$A:$A,'Aug 2026'!$D40,'2026 Time Off Request'!$L:$L,'Aug 2026'!AH$6)</f>
        <v>0</v>
      </c>
      <c r="AI40" s="147">
        <f>COUNTIFS('2026 Time Off Request'!$A:$A,'Aug 2026'!$D40,'2026 Time Off Request'!$L:$L,'Aug 2026'!AI$6)</f>
        <v>0</v>
      </c>
      <c r="AJ40" s="148">
        <f>COUNTIFS('2026 Time Off Request'!$A:$A,'Aug 2026'!$D40,'2026 Time Off Request'!$L:$L,'Aug 2026'!AJ$6)</f>
        <v>0</v>
      </c>
    </row>
    <row r="41" spans="1:36" ht="15.75">
      <c r="A41" s="2">
        <v>32</v>
      </c>
      <c r="B41" s="209" t="s">
        <v>45</v>
      </c>
      <c r="C41" s="210" t="s">
        <v>83</v>
      </c>
      <c r="D41" s="215" t="s">
        <v>84</v>
      </c>
      <c r="E41" s="212">
        <f t="shared" si="2"/>
        <v>0</v>
      </c>
      <c r="F41" s="213">
        <f>COUNTIFS('2026 Time Off Request'!$A:$A,'Aug 2026'!$D41,'2026 Time Off Request'!$L:$L,'Aug 2026'!F$6)</f>
        <v>0</v>
      </c>
      <c r="G41" s="147">
        <f>COUNTIFS('2026 Time Off Request'!$A:$A,'Aug 2026'!$D41,'2026 Time Off Request'!$L:$L,'Aug 2026'!G$6)</f>
        <v>0</v>
      </c>
      <c r="H41" s="224">
        <f>COUNTIFS('2026 Time Off Request'!$A:$A,'Aug 2026'!$D41,'2026 Time Off Request'!$L:$L,'Aug 2026'!H$6)</f>
        <v>0</v>
      </c>
      <c r="I41" s="148">
        <f>COUNTIFS('2026 Time Off Request'!$A:$A,'Aug 2026'!$D41,'2026 Time Off Request'!$L:$L,'Aug 2026'!I$6)</f>
        <v>0</v>
      </c>
      <c r="J41" s="148">
        <f>COUNTIFS('2026 Time Off Request'!$A:$A,'Aug 2026'!$D41,'2026 Time Off Request'!$L:$L,'Aug 2026'!J$6)</f>
        <v>0</v>
      </c>
      <c r="K41" s="148">
        <f>COUNTIFS('2026 Time Off Request'!$A:$A,'Aug 2026'!$D41,'2026 Time Off Request'!$L:$L,'Aug 2026'!K$6)</f>
        <v>0</v>
      </c>
      <c r="L41" s="148">
        <f>COUNTIFS('2026 Time Off Request'!$A:$A,'Aug 2026'!$D41,'2026 Time Off Request'!$L:$L,'Aug 2026'!L$6)</f>
        <v>0</v>
      </c>
      <c r="M41" s="147">
        <f>COUNTIFS('2026 Time Off Request'!$A:$A,'Aug 2026'!$D41,'2026 Time Off Request'!$L:$L,'Aug 2026'!M$6)</f>
        <v>0</v>
      </c>
      <c r="N41" s="147">
        <f>COUNTIFS('2026 Time Off Request'!$A:$A,'Aug 2026'!$D41,'2026 Time Off Request'!$L:$L,'Aug 2026'!N$6)</f>
        <v>0</v>
      </c>
      <c r="O41" s="148">
        <f>COUNTIFS('2026 Time Off Request'!$A:$A,'Aug 2026'!$D41,'2026 Time Off Request'!$L:$L,'Aug 2026'!O$6)</f>
        <v>0</v>
      </c>
      <c r="P41" s="148">
        <f>COUNTIFS('2026 Time Off Request'!$A:$A,'Aug 2026'!$D41,'2026 Time Off Request'!$L:$L,'Aug 2026'!P$6)</f>
        <v>0</v>
      </c>
      <c r="Q41" s="148">
        <f>COUNTIFS('2026 Time Off Request'!$A:$A,'Aug 2026'!$D41,'2026 Time Off Request'!$L:$L,'Aug 2026'!Q$6)</f>
        <v>0</v>
      </c>
      <c r="R41" s="148">
        <f>COUNTIFS('2026 Time Off Request'!$A:$A,'Aug 2026'!$D41,'2026 Time Off Request'!$L:$L,'Aug 2026'!R$6)</f>
        <v>0</v>
      </c>
      <c r="S41" s="148">
        <f>COUNTIFS('2026 Time Off Request'!$A:$A,'Aug 2026'!$D41,'2026 Time Off Request'!$L:$L,'Aug 2026'!S$6)</f>
        <v>0</v>
      </c>
      <c r="T41" s="147">
        <f>COUNTIFS('2026 Time Off Request'!$A:$A,'Aug 2026'!$D41,'2026 Time Off Request'!$L:$L,'Aug 2026'!T$6)</f>
        <v>0</v>
      </c>
      <c r="U41" s="147">
        <f>COUNTIFS('2026 Time Off Request'!$A:$A,'Aug 2026'!$D41,'2026 Time Off Request'!$L:$L,'Aug 2026'!U$6)</f>
        <v>0</v>
      </c>
      <c r="V41" s="148">
        <f>COUNTIFS('2026 Time Off Request'!$A:$A,'Aug 2026'!$D41,'2026 Time Off Request'!$L:$L,'Aug 2026'!V$6)</f>
        <v>0</v>
      </c>
      <c r="W41" s="148">
        <f>COUNTIFS('2026 Time Off Request'!$A:$A,'Aug 2026'!$D41,'2026 Time Off Request'!$L:$L,'Aug 2026'!W$6)</f>
        <v>0</v>
      </c>
      <c r="X41" s="148">
        <f>COUNTIFS('2026 Time Off Request'!$A:$A,'Aug 2026'!$D41,'2026 Time Off Request'!$L:$L,'Aug 2026'!X$6)</f>
        <v>0</v>
      </c>
      <c r="Y41" s="148">
        <f>COUNTIFS('2026 Time Off Request'!$A:$A,'Aug 2026'!$D41,'2026 Time Off Request'!$L:$L,'Aug 2026'!Y$6)</f>
        <v>0</v>
      </c>
      <c r="Z41" s="148">
        <f>COUNTIFS('2026 Time Off Request'!$A:$A,'Aug 2026'!$D41,'2026 Time Off Request'!$L:$L,'Aug 2026'!Z$6)</f>
        <v>0</v>
      </c>
      <c r="AA41" s="147">
        <f>COUNTIFS('2026 Time Off Request'!$A:$A,'Aug 2026'!$D41,'2026 Time Off Request'!$L:$L,'Aug 2026'!AA$6)</f>
        <v>0</v>
      </c>
      <c r="AB41" s="147">
        <f>COUNTIFS('2026 Time Off Request'!$A:$A,'Aug 2026'!$D41,'2026 Time Off Request'!$L:$L,'Aug 2026'!AB$6)</f>
        <v>0</v>
      </c>
      <c r="AC41" s="148">
        <f>COUNTIFS('2026 Time Off Request'!$A:$A,'Aug 2026'!$D41,'2026 Time Off Request'!$L:$L,'Aug 2026'!AC$6)</f>
        <v>0</v>
      </c>
      <c r="AD41" s="148">
        <f>COUNTIFS('2026 Time Off Request'!$A:$A,'Aug 2026'!$D41,'2026 Time Off Request'!$L:$L,'Aug 2026'!AD$6)</f>
        <v>0</v>
      </c>
      <c r="AE41" s="148">
        <f>COUNTIFS('2026 Time Off Request'!$A:$A,'Aug 2026'!$D41,'2026 Time Off Request'!$L:$L,'Aug 2026'!AE$6)</f>
        <v>0</v>
      </c>
      <c r="AF41" s="148">
        <f>COUNTIFS('2026 Time Off Request'!$A:$A,'Aug 2026'!$D41,'2026 Time Off Request'!$L:$L,'Aug 2026'!AF$6)</f>
        <v>0</v>
      </c>
      <c r="AG41" s="148">
        <f>COUNTIFS('2026 Time Off Request'!$A:$A,'Aug 2026'!$D41,'2026 Time Off Request'!$L:$L,'Aug 2026'!AG$6)</f>
        <v>0</v>
      </c>
      <c r="AH41" s="147">
        <f>COUNTIFS('2026 Time Off Request'!$A:$A,'Aug 2026'!$D41,'2026 Time Off Request'!$L:$L,'Aug 2026'!AH$6)</f>
        <v>0</v>
      </c>
      <c r="AI41" s="147">
        <f>COUNTIFS('2026 Time Off Request'!$A:$A,'Aug 2026'!$D41,'2026 Time Off Request'!$L:$L,'Aug 2026'!AI$6)</f>
        <v>0</v>
      </c>
      <c r="AJ41" s="148">
        <f>COUNTIFS('2026 Time Off Request'!$A:$A,'Aug 2026'!$D41,'2026 Time Off Request'!$L:$L,'Aug 2026'!AJ$6)</f>
        <v>0</v>
      </c>
    </row>
    <row r="42" spans="1:36" ht="15.75">
      <c r="A42" s="2">
        <v>33</v>
      </c>
      <c r="B42" s="209" t="s">
        <v>45</v>
      </c>
      <c r="C42" s="210" t="s">
        <v>85</v>
      </c>
      <c r="D42" s="215" t="s">
        <v>86</v>
      </c>
      <c r="E42" s="212">
        <f t="shared" si="2"/>
        <v>0</v>
      </c>
      <c r="F42" s="213">
        <f>COUNTIFS('2026 Time Off Request'!$A:$A,'Aug 2026'!$D42,'2026 Time Off Request'!$L:$L,'Aug 2026'!F$6)</f>
        <v>0</v>
      </c>
      <c r="G42" s="147">
        <f>COUNTIFS('2026 Time Off Request'!$A:$A,'Aug 2026'!$D42,'2026 Time Off Request'!$L:$L,'Aug 2026'!G$6)</f>
        <v>0</v>
      </c>
      <c r="H42" s="224">
        <f>COUNTIFS('2026 Time Off Request'!$A:$A,'Aug 2026'!$D42,'2026 Time Off Request'!$L:$L,'Aug 2026'!H$6)</f>
        <v>0</v>
      </c>
      <c r="I42" s="148">
        <f>COUNTIFS('2026 Time Off Request'!$A:$A,'Aug 2026'!$D42,'2026 Time Off Request'!$L:$L,'Aug 2026'!I$6)</f>
        <v>0</v>
      </c>
      <c r="J42" s="148">
        <f>COUNTIFS('2026 Time Off Request'!$A:$A,'Aug 2026'!$D42,'2026 Time Off Request'!$L:$L,'Aug 2026'!J$6)</f>
        <v>0</v>
      </c>
      <c r="K42" s="148">
        <f>COUNTIFS('2026 Time Off Request'!$A:$A,'Aug 2026'!$D42,'2026 Time Off Request'!$L:$L,'Aug 2026'!K$6)</f>
        <v>0</v>
      </c>
      <c r="L42" s="148">
        <f>COUNTIFS('2026 Time Off Request'!$A:$A,'Aug 2026'!$D42,'2026 Time Off Request'!$L:$L,'Aug 2026'!L$6)</f>
        <v>0</v>
      </c>
      <c r="M42" s="147">
        <f>COUNTIFS('2026 Time Off Request'!$A:$A,'Aug 2026'!$D42,'2026 Time Off Request'!$L:$L,'Aug 2026'!M$6)</f>
        <v>0</v>
      </c>
      <c r="N42" s="147">
        <f>COUNTIFS('2026 Time Off Request'!$A:$A,'Aug 2026'!$D42,'2026 Time Off Request'!$L:$L,'Aug 2026'!N$6)</f>
        <v>0</v>
      </c>
      <c r="O42" s="148">
        <f>COUNTIFS('2026 Time Off Request'!$A:$A,'Aug 2026'!$D42,'2026 Time Off Request'!$L:$L,'Aug 2026'!O$6)</f>
        <v>0</v>
      </c>
      <c r="P42" s="148">
        <f>COUNTIFS('2026 Time Off Request'!$A:$A,'Aug 2026'!$D42,'2026 Time Off Request'!$L:$L,'Aug 2026'!P$6)</f>
        <v>0</v>
      </c>
      <c r="Q42" s="148">
        <f>COUNTIFS('2026 Time Off Request'!$A:$A,'Aug 2026'!$D42,'2026 Time Off Request'!$L:$L,'Aug 2026'!Q$6)</f>
        <v>0</v>
      </c>
      <c r="R42" s="148">
        <f>COUNTIFS('2026 Time Off Request'!$A:$A,'Aug 2026'!$D42,'2026 Time Off Request'!$L:$L,'Aug 2026'!R$6)</f>
        <v>0</v>
      </c>
      <c r="S42" s="148">
        <f>COUNTIFS('2026 Time Off Request'!$A:$A,'Aug 2026'!$D42,'2026 Time Off Request'!$L:$L,'Aug 2026'!S$6)</f>
        <v>0</v>
      </c>
      <c r="T42" s="147">
        <f>COUNTIFS('2026 Time Off Request'!$A:$A,'Aug 2026'!$D42,'2026 Time Off Request'!$L:$L,'Aug 2026'!T$6)</f>
        <v>0</v>
      </c>
      <c r="U42" s="147">
        <f>COUNTIFS('2026 Time Off Request'!$A:$A,'Aug 2026'!$D42,'2026 Time Off Request'!$L:$L,'Aug 2026'!U$6)</f>
        <v>0</v>
      </c>
      <c r="V42" s="148">
        <f>COUNTIFS('2026 Time Off Request'!$A:$A,'Aug 2026'!$D42,'2026 Time Off Request'!$L:$L,'Aug 2026'!V$6)</f>
        <v>0</v>
      </c>
      <c r="W42" s="148">
        <f>COUNTIFS('2026 Time Off Request'!$A:$A,'Aug 2026'!$D42,'2026 Time Off Request'!$L:$L,'Aug 2026'!W$6)</f>
        <v>0</v>
      </c>
      <c r="X42" s="148">
        <f>COUNTIFS('2026 Time Off Request'!$A:$A,'Aug 2026'!$D42,'2026 Time Off Request'!$L:$L,'Aug 2026'!X$6)</f>
        <v>0</v>
      </c>
      <c r="Y42" s="148">
        <f>COUNTIFS('2026 Time Off Request'!$A:$A,'Aug 2026'!$D42,'2026 Time Off Request'!$L:$L,'Aug 2026'!Y$6)</f>
        <v>0</v>
      </c>
      <c r="Z42" s="148">
        <f>COUNTIFS('2026 Time Off Request'!$A:$A,'Aug 2026'!$D42,'2026 Time Off Request'!$L:$L,'Aug 2026'!Z$6)</f>
        <v>0</v>
      </c>
      <c r="AA42" s="147">
        <f>COUNTIFS('2026 Time Off Request'!$A:$A,'Aug 2026'!$D42,'2026 Time Off Request'!$L:$L,'Aug 2026'!AA$6)</f>
        <v>0</v>
      </c>
      <c r="AB42" s="147">
        <f>COUNTIFS('2026 Time Off Request'!$A:$A,'Aug 2026'!$D42,'2026 Time Off Request'!$L:$L,'Aug 2026'!AB$6)</f>
        <v>0</v>
      </c>
      <c r="AC42" s="148">
        <f>COUNTIFS('2026 Time Off Request'!$A:$A,'Aug 2026'!$D42,'2026 Time Off Request'!$L:$L,'Aug 2026'!AC$6)</f>
        <v>0</v>
      </c>
      <c r="AD42" s="148">
        <f>COUNTIFS('2026 Time Off Request'!$A:$A,'Aug 2026'!$D42,'2026 Time Off Request'!$L:$L,'Aug 2026'!AD$6)</f>
        <v>0</v>
      </c>
      <c r="AE42" s="148">
        <f>COUNTIFS('2026 Time Off Request'!$A:$A,'Aug 2026'!$D42,'2026 Time Off Request'!$L:$L,'Aug 2026'!AE$6)</f>
        <v>0</v>
      </c>
      <c r="AF42" s="148">
        <f>COUNTIFS('2026 Time Off Request'!$A:$A,'Aug 2026'!$D42,'2026 Time Off Request'!$L:$L,'Aug 2026'!AF$6)</f>
        <v>0</v>
      </c>
      <c r="AG42" s="148">
        <f>COUNTIFS('2026 Time Off Request'!$A:$A,'Aug 2026'!$D42,'2026 Time Off Request'!$L:$L,'Aug 2026'!AG$6)</f>
        <v>0</v>
      </c>
      <c r="AH42" s="147">
        <f>COUNTIFS('2026 Time Off Request'!$A:$A,'Aug 2026'!$D42,'2026 Time Off Request'!$L:$L,'Aug 2026'!AH$6)</f>
        <v>0</v>
      </c>
      <c r="AI42" s="147">
        <f>COUNTIFS('2026 Time Off Request'!$A:$A,'Aug 2026'!$D42,'2026 Time Off Request'!$L:$L,'Aug 2026'!AI$6)</f>
        <v>0</v>
      </c>
      <c r="AJ42" s="148">
        <f>COUNTIFS('2026 Time Off Request'!$A:$A,'Aug 2026'!$D42,'2026 Time Off Request'!$L:$L,'Aug 2026'!AJ$6)</f>
        <v>0</v>
      </c>
    </row>
    <row r="43" spans="1:36" ht="15.75">
      <c r="A43" s="2">
        <v>34</v>
      </c>
      <c r="B43" s="209" t="s">
        <v>45</v>
      </c>
      <c r="C43" s="210" t="s">
        <v>87</v>
      </c>
      <c r="D43" s="215" t="s">
        <v>88</v>
      </c>
      <c r="E43" s="212">
        <f t="shared" si="2"/>
        <v>0</v>
      </c>
      <c r="F43" s="213">
        <f>COUNTIFS('2026 Time Off Request'!$A:$A,'Aug 2026'!$D43,'2026 Time Off Request'!$L:$L,'Aug 2026'!F$6)</f>
        <v>0</v>
      </c>
      <c r="G43" s="147">
        <f>COUNTIFS('2026 Time Off Request'!$A:$A,'Aug 2026'!$D43,'2026 Time Off Request'!$L:$L,'Aug 2026'!G$6)</f>
        <v>0</v>
      </c>
      <c r="H43" s="224">
        <f>COUNTIFS('2026 Time Off Request'!$A:$A,'Aug 2026'!$D43,'2026 Time Off Request'!$L:$L,'Aug 2026'!H$6)</f>
        <v>0</v>
      </c>
      <c r="I43" s="148">
        <f>COUNTIFS('2026 Time Off Request'!$A:$A,'Aug 2026'!$D43,'2026 Time Off Request'!$L:$L,'Aug 2026'!I$6)</f>
        <v>0</v>
      </c>
      <c r="J43" s="148">
        <f>COUNTIFS('2026 Time Off Request'!$A:$A,'Aug 2026'!$D43,'2026 Time Off Request'!$L:$L,'Aug 2026'!J$6)</f>
        <v>0</v>
      </c>
      <c r="K43" s="148">
        <f>COUNTIFS('2026 Time Off Request'!$A:$A,'Aug 2026'!$D43,'2026 Time Off Request'!$L:$L,'Aug 2026'!K$6)</f>
        <v>0</v>
      </c>
      <c r="L43" s="148">
        <f>COUNTIFS('2026 Time Off Request'!$A:$A,'Aug 2026'!$D43,'2026 Time Off Request'!$L:$L,'Aug 2026'!L$6)</f>
        <v>0</v>
      </c>
      <c r="M43" s="147">
        <f>COUNTIFS('2026 Time Off Request'!$A:$A,'Aug 2026'!$D43,'2026 Time Off Request'!$L:$L,'Aug 2026'!M$6)</f>
        <v>0</v>
      </c>
      <c r="N43" s="147">
        <f>COUNTIFS('2026 Time Off Request'!$A:$A,'Aug 2026'!$D43,'2026 Time Off Request'!$L:$L,'Aug 2026'!N$6)</f>
        <v>0</v>
      </c>
      <c r="O43" s="148">
        <f>COUNTIFS('2026 Time Off Request'!$A:$A,'Aug 2026'!$D43,'2026 Time Off Request'!$L:$L,'Aug 2026'!O$6)</f>
        <v>0</v>
      </c>
      <c r="P43" s="148">
        <f>COUNTIFS('2026 Time Off Request'!$A:$A,'Aug 2026'!$D43,'2026 Time Off Request'!$L:$L,'Aug 2026'!P$6)</f>
        <v>0</v>
      </c>
      <c r="Q43" s="148">
        <f>COUNTIFS('2026 Time Off Request'!$A:$A,'Aug 2026'!$D43,'2026 Time Off Request'!$L:$L,'Aug 2026'!Q$6)</f>
        <v>0</v>
      </c>
      <c r="R43" s="148">
        <f>COUNTIFS('2026 Time Off Request'!$A:$A,'Aug 2026'!$D43,'2026 Time Off Request'!$L:$L,'Aug 2026'!R$6)</f>
        <v>0</v>
      </c>
      <c r="S43" s="148">
        <f>COUNTIFS('2026 Time Off Request'!$A:$A,'Aug 2026'!$D43,'2026 Time Off Request'!$L:$L,'Aug 2026'!S$6)</f>
        <v>0</v>
      </c>
      <c r="T43" s="147">
        <f>COUNTIFS('2026 Time Off Request'!$A:$A,'Aug 2026'!$D43,'2026 Time Off Request'!$L:$L,'Aug 2026'!T$6)</f>
        <v>0</v>
      </c>
      <c r="U43" s="147">
        <f>COUNTIFS('2026 Time Off Request'!$A:$A,'Aug 2026'!$D43,'2026 Time Off Request'!$L:$L,'Aug 2026'!U$6)</f>
        <v>0</v>
      </c>
      <c r="V43" s="148">
        <f>COUNTIFS('2026 Time Off Request'!$A:$A,'Aug 2026'!$D43,'2026 Time Off Request'!$L:$L,'Aug 2026'!V$6)</f>
        <v>0</v>
      </c>
      <c r="W43" s="148">
        <f>COUNTIFS('2026 Time Off Request'!$A:$A,'Aug 2026'!$D43,'2026 Time Off Request'!$L:$L,'Aug 2026'!W$6)</f>
        <v>0</v>
      </c>
      <c r="X43" s="148">
        <f>COUNTIFS('2026 Time Off Request'!$A:$A,'Aug 2026'!$D43,'2026 Time Off Request'!$L:$L,'Aug 2026'!X$6)</f>
        <v>0</v>
      </c>
      <c r="Y43" s="148">
        <f>COUNTIFS('2026 Time Off Request'!$A:$A,'Aug 2026'!$D43,'2026 Time Off Request'!$L:$L,'Aug 2026'!Y$6)</f>
        <v>0</v>
      </c>
      <c r="Z43" s="148">
        <f>COUNTIFS('2026 Time Off Request'!$A:$A,'Aug 2026'!$D43,'2026 Time Off Request'!$L:$L,'Aug 2026'!Z$6)</f>
        <v>0</v>
      </c>
      <c r="AA43" s="147">
        <f>COUNTIFS('2026 Time Off Request'!$A:$A,'Aug 2026'!$D43,'2026 Time Off Request'!$L:$L,'Aug 2026'!AA$6)</f>
        <v>0</v>
      </c>
      <c r="AB43" s="147">
        <f>COUNTIFS('2026 Time Off Request'!$A:$A,'Aug 2026'!$D43,'2026 Time Off Request'!$L:$L,'Aug 2026'!AB$6)</f>
        <v>0</v>
      </c>
      <c r="AC43" s="148">
        <f>COUNTIFS('2026 Time Off Request'!$A:$A,'Aug 2026'!$D43,'2026 Time Off Request'!$L:$L,'Aug 2026'!AC$6)</f>
        <v>0</v>
      </c>
      <c r="AD43" s="148">
        <f>COUNTIFS('2026 Time Off Request'!$A:$A,'Aug 2026'!$D43,'2026 Time Off Request'!$L:$L,'Aug 2026'!AD$6)</f>
        <v>0</v>
      </c>
      <c r="AE43" s="148">
        <f>COUNTIFS('2026 Time Off Request'!$A:$A,'Aug 2026'!$D43,'2026 Time Off Request'!$L:$L,'Aug 2026'!AE$6)</f>
        <v>0</v>
      </c>
      <c r="AF43" s="148">
        <f>COUNTIFS('2026 Time Off Request'!$A:$A,'Aug 2026'!$D43,'2026 Time Off Request'!$L:$L,'Aug 2026'!AF$6)</f>
        <v>0</v>
      </c>
      <c r="AG43" s="148">
        <f>COUNTIFS('2026 Time Off Request'!$A:$A,'Aug 2026'!$D43,'2026 Time Off Request'!$L:$L,'Aug 2026'!AG$6)</f>
        <v>0</v>
      </c>
      <c r="AH43" s="147">
        <f>COUNTIFS('2026 Time Off Request'!$A:$A,'Aug 2026'!$D43,'2026 Time Off Request'!$L:$L,'Aug 2026'!AH$6)</f>
        <v>0</v>
      </c>
      <c r="AI43" s="147">
        <f>COUNTIFS('2026 Time Off Request'!$A:$A,'Aug 2026'!$D43,'2026 Time Off Request'!$L:$L,'Aug 2026'!AI$6)</f>
        <v>0</v>
      </c>
      <c r="AJ43" s="148">
        <f>COUNTIFS('2026 Time Off Request'!$A:$A,'Aug 2026'!$D43,'2026 Time Off Request'!$L:$L,'Aug 2026'!AJ$6)</f>
        <v>0</v>
      </c>
    </row>
    <row r="44" spans="1:36" ht="15.75">
      <c r="A44" s="2">
        <v>35</v>
      </c>
      <c r="B44" s="209" t="s">
        <v>45</v>
      </c>
      <c r="C44" s="210" t="s">
        <v>89</v>
      </c>
      <c r="D44" s="215" t="s">
        <v>90</v>
      </c>
      <c r="E44" s="212">
        <f t="shared" si="2"/>
        <v>0</v>
      </c>
      <c r="F44" s="213">
        <f>COUNTIFS('2026 Time Off Request'!$A:$A,'Aug 2026'!$D44,'2026 Time Off Request'!$L:$L,'Aug 2026'!F$6)</f>
        <v>0</v>
      </c>
      <c r="G44" s="147">
        <f>COUNTIFS('2026 Time Off Request'!$A:$A,'Aug 2026'!$D44,'2026 Time Off Request'!$L:$L,'Aug 2026'!G$6)</f>
        <v>0</v>
      </c>
      <c r="H44" s="224">
        <f>COUNTIFS('2026 Time Off Request'!$A:$A,'Aug 2026'!$D44,'2026 Time Off Request'!$L:$L,'Aug 2026'!H$6)</f>
        <v>0</v>
      </c>
      <c r="I44" s="148">
        <f>COUNTIFS('2026 Time Off Request'!$A:$A,'Aug 2026'!$D44,'2026 Time Off Request'!$L:$L,'Aug 2026'!I$6)</f>
        <v>0</v>
      </c>
      <c r="J44" s="148">
        <f>COUNTIFS('2026 Time Off Request'!$A:$A,'Aug 2026'!$D44,'2026 Time Off Request'!$L:$L,'Aug 2026'!J$6)</f>
        <v>0</v>
      </c>
      <c r="K44" s="148">
        <f>COUNTIFS('2026 Time Off Request'!$A:$A,'Aug 2026'!$D44,'2026 Time Off Request'!$L:$L,'Aug 2026'!K$6)</f>
        <v>0</v>
      </c>
      <c r="L44" s="148">
        <f>COUNTIFS('2026 Time Off Request'!$A:$A,'Aug 2026'!$D44,'2026 Time Off Request'!$L:$L,'Aug 2026'!L$6)</f>
        <v>0</v>
      </c>
      <c r="M44" s="147">
        <f>COUNTIFS('2026 Time Off Request'!$A:$A,'Aug 2026'!$D44,'2026 Time Off Request'!$L:$L,'Aug 2026'!M$6)</f>
        <v>0</v>
      </c>
      <c r="N44" s="147">
        <f>COUNTIFS('2026 Time Off Request'!$A:$A,'Aug 2026'!$D44,'2026 Time Off Request'!$L:$L,'Aug 2026'!N$6)</f>
        <v>0</v>
      </c>
      <c r="O44" s="148">
        <f>COUNTIFS('2026 Time Off Request'!$A:$A,'Aug 2026'!$D44,'2026 Time Off Request'!$L:$L,'Aug 2026'!O$6)</f>
        <v>0</v>
      </c>
      <c r="P44" s="148">
        <f>COUNTIFS('2026 Time Off Request'!$A:$A,'Aug 2026'!$D44,'2026 Time Off Request'!$L:$L,'Aug 2026'!P$6)</f>
        <v>0</v>
      </c>
      <c r="Q44" s="148">
        <f>COUNTIFS('2026 Time Off Request'!$A:$A,'Aug 2026'!$D44,'2026 Time Off Request'!$L:$L,'Aug 2026'!Q$6)</f>
        <v>0</v>
      </c>
      <c r="R44" s="148">
        <f>COUNTIFS('2026 Time Off Request'!$A:$A,'Aug 2026'!$D44,'2026 Time Off Request'!$L:$L,'Aug 2026'!R$6)</f>
        <v>0</v>
      </c>
      <c r="S44" s="148">
        <f>COUNTIFS('2026 Time Off Request'!$A:$A,'Aug 2026'!$D44,'2026 Time Off Request'!$L:$L,'Aug 2026'!S$6)</f>
        <v>0</v>
      </c>
      <c r="T44" s="147">
        <f>COUNTIFS('2026 Time Off Request'!$A:$A,'Aug 2026'!$D44,'2026 Time Off Request'!$L:$L,'Aug 2026'!T$6)</f>
        <v>0</v>
      </c>
      <c r="U44" s="147">
        <f>COUNTIFS('2026 Time Off Request'!$A:$A,'Aug 2026'!$D44,'2026 Time Off Request'!$L:$L,'Aug 2026'!U$6)</f>
        <v>0</v>
      </c>
      <c r="V44" s="148">
        <f>COUNTIFS('2026 Time Off Request'!$A:$A,'Aug 2026'!$D44,'2026 Time Off Request'!$L:$L,'Aug 2026'!V$6)</f>
        <v>0</v>
      </c>
      <c r="W44" s="148">
        <f>COUNTIFS('2026 Time Off Request'!$A:$A,'Aug 2026'!$D44,'2026 Time Off Request'!$L:$L,'Aug 2026'!W$6)</f>
        <v>0</v>
      </c>
      <c r="X44" s="148">
        <f>COUNTIFS('2026 Time Off Request'!$A:$A,'Aug 2026'!$D44,'2026 Time Off Request'!$L:$L,'Aug 2026'!X$6)</f>
        <v>0</v>
      </c>
      <c r="Y44" s="148">
        <f>COUNTIFS('2026 Time Off Request'!$A:$A,'Aug 2026'!$D44,'2026 Time Off Request'!$L:$L,'Aug 2026'!Y$6)</f>
        <v>0</v>
      </c>
      <c r="Z44" s="148">
        <f>COUNTIFS('2026 Time Off Request'!$A:$A,'Aug 2026'!$D44,'2026 Time Off Request'!$L:$L,'Aug 2026'!Z$6)</f>
        <v>0</v>
      </c>
      <c r="AA44" s="147">
        <f>COUNTIFS('2026 Time Off Request'!$A:$A,'Aug 2026'!$D44,'2026 Time Off Request'!$L:$L,'Aug 2026'!AA$6)</f>
        <v>0</v>
      </c>
      <c r="AB44" s="147">
        <f>COUNTIFS('2026 Time Off Request'!$A:$A,'Aug 2026'!$D44,'2026 Time Off Request'!$L:$L,'Aug 2026'!AB$6)</f>
        <v>0</v>
      </c>
      <c r="AC44" s="148">
        <f>COUNTIFS('2026 Time Off Request'!$A:$A,'Aug 2026'!$D44,'2026 Time Off Request'!$L:$L,'Aug 2026'!AC$6)</f>
        <v>0</v>
      </c>
      <c r="AD44" s="148">
        <f>COUNTIFS('2026 Time Off Request'!$A:$A,'Aug 2026'!$D44,'2026 Time Off Request'!$L:$L,'Aug 2026'!AD$6)</f>
        <v>0</v>
      </c>
      <c r="AE44" s="148">
        <f>COUNTIFS('2026 Time Off Request'!$A:$A,'Aug 2026'!$D44,'2026 Time Off Request'!$L:$L,'Aug 2026'!AE$6)</f>
        <v>0</v>
      </c>
      <c r="AF44" s="148">
        <f>COUNTIFS('2026 Time Off Request'!$A:$A,'Aug 2026'!$D44,'2026 Time Off Request'!$L:$L,'Aug 2026'!AF$6)</f>
        <v>0</v>
      </c>
      <c r="AG44" s="148">
        <f>COUNTIFS('2026 Time Off Request'!$A:$A,'Aug 2026'!$D44,'2026 Time Off Request'!$L:$L,'Aug 2026'!AG$6)</f>
        <v>0</v>
      </c>
      <c r="AH44" s="147">
        <f>COUNTIFS('2026 Time Off Request'!$A:$A,'Aug 2026'!$D44,'2026 Time Off Request'!$L:$L,'Aug 2026'!AH$6)</f>
        <v>0</v>
      </c>
      <c r="AI44" s="147">
        <f>COUNTIFS('2026 Time Off Request'!$A:$A,'Aug 2026'!$D44,'2026 Time Off Request'!$L:$L,'Aug 2026'!AI$6)</f>
        <v>0</v>
      </c>
      <c r="AJ44" s="148">
        <f>COUNTIFS('2026 Time Off Request'!$A:$A,'Aug 2026'!$D44,'2026 Time Off Request'!$L:$L,'Aug 2026'!AJ$6)</f>
        <v>0</v>
      </c>
    </row>
    <row r="45" spans="1:36" ht="15.75">
      <c r="A45" s="2">
        <v>36</v>
      </c>
      <c r="B45" s="209" t="s">
        <v>45</v>
      </c>
      <c r="C45" s="210" t="s">
        <v>89</v>
      </c>
      <c r="D45" s="215" t="s">
        <v>91</v>
      </c>
      <c r="E45" s="212">
        <f t="shared" si="2"/>
        <v>0</v>
      </c>
      <c r="F45" s="213">
        <f>COUNTIFS('2026 Time Off Request'!$A:$A,'Aug 2026'!$D45,'2026 Time Off Request'!$L:$L,'Aug 2026'!F$6)</f>
        <v>0</v>
      </c>
      <c r="G45" s="147">
        <f>COUNTIFS('2026 Time Off Request'!$A:$A,'Aug 2026'!$D45,'2026 Time Off Request'!$L:$L,'Aug 2026'!G$6)</f>
        <v>0</v>
      </c>
      <c r="H45" s="224">
        <f>COUNTIFS('2026 Time Off Request'!$A:$A,'Aug 2026'!$D45,'2026 Time Off Request'!$L:$L,'Aug 2026'!H$6)</f>
        <v>0</v>
      </c>
      <c r="I45" s="148">
        <f>COUNTIFS('2026 Time Off Request'!$A:$A,'Aug 2026'!$D45,'2026 Time Off Request'!$L:$L,'Aug 2026'!I$6)</f>
        <v>0</v>
      </c>
      <c r="J45" s="148">
        <f>COUNTIFS('2026 Time Off Request'!$A:$A,'Aug 2026'!$D45,'2026 Time Off Request'!$L:$L,'Aug 2026'!J$6)</f>
        <v>0</v>
      </c>
      <c r="K45" s="148">
        <f>COUNTIFS('2026 Time Off Request'!$A:$A,'Aug 2026'!$D45,'2026 Time Off Request'!$L:$L,'Aug 2026'!K$6)</f>
        <v>0</v>
      </c>
      <c r="L45" s="148">
        <f>COUNTIFS('2026 Time Off Request'!$A:$A,'Aug 2026'!$D45,'2026 Time Off Request'!$L:$L,'Aug 2026'!L$6)</f>
        <v>0</v>
      </c>
      <c r="M45" s="147">
        <f>COUNTIFS('2026 Time Off Request'!$A:$A,'Aug 2026'!$D45,'2026 Time Off Request'!$L:$L,'Aug 2026'!M$6)</f>
        <v>0</v>
      </c>
      <c r="N45" s="147">
        <f>COUNTIFS('2026 Time Off Request'!$A:$A,'Aug 2026'!$D45,'2026 Time Off Request'!$L:$L,'Aug 2026'!N$6)</f>
        <v>0</v>
      </c>
      <c r="O45" s="148">
        <f>COUNTIFS('2026 Time Off Request'!$A:$A,'Aug 2026'!$D45,'2026 Time Off Request'!$L:$L,'Aug 2026'!O$6)</f>
        <v>0</v>
      </c>
      <c r="P45" s="148">
        <f>COUNTIFS('2026 Time Off Request'!$A:$A,'Aug 2026'!$D45,'2026 Time Off Request'!$L:$L,'Aug 2026'!P$6)</f>
        <v>0</v>
      </c>
      <c r="Q45" s="148">
        <f>COUNTIFS('2026 Time Off Request'!$A:$A,'Aug 2026'!$D45,'2026 Time Off Request'!$L:$L,'Aug 2026'!Q$6)</f>
        <v>0</v>
      </c>
      <c r="R45" s="148">
        <f>COUNTIFS('2026 Time Off Request'!$A:$A,'Aug 2026'!$D45,'2026 Time Off Request'!$L:$L,'Aug 2026'!R$6)</f>
        <v>0</v>
      </c>
      <c r="S45" s="148">
        <f>COUNTIFS('2026 Time Off Request'!$A:$A,'Aug 2026'!$D45,'2026 Time Off Request'!$L:$L,'Aug 2026'!S$6)</f>
        <v>0</v>
      </c>
      <c r="T45" s="147">
        <f>COUNTIFS('2026 Time Off Request'!$A:$A,'Aug 2026'!$D45,'2026 Time Off Request'!$L:$L,'Aug 2026'!T$6)</f>
        <v>0</v>
      </c>
      <c r="U45" s="147">
        <f>COUNTIFS('2026 Time Off Request'!$A:$A,'Aug 2026'!$D45,'2026 Time Off Request'!$L:$L,'Aug 2026'!U$6)</f>
        <v>0</v>
      </c>
      <c r="V45" s="148">
        <f>COUNTIFS('2026 Time Off Request'!$A:$A,'Aug 2026'!$D45,'2026 Time Off Request'!$L:$L,'Aug 2026'!V$6)</f>
        <v>0</v>
      </c>
      <c r="W45" s="148">
        <f>COUNTIFS('2026 Time Off Request'!$A:$A,'Aug 2026'!$D45,'2026 Time Off Request'!$L:$L,'Aug 2026'!W$6)</f>
        <v>0</v>
      </c>
      <c r="X45" s="148">
        <f>COUNTIFS('2026 Time Off Request'!$A:$A,'Aug 2026'!$D45,'2026 Time Off Request'!$L:$L,'Aug 2026'!X$6)</f>
        <v>0</v>
      </c>
      <c r="Y45" s="148">
        <f>COUNTIFS('2026 Time Off Request'!$A:$A,'Aug 2026'!$D45,'2026 Time Off Request'!$L:$L,'Aug 2026'!Y$6)</f>
        <v>0</v>
      </c>
      <c r="Z45" s="148">
        <f>COUNTIFS('2026 Time Off Request'!$A:$A,'Aug 2026'!$D45,'2026 Time Off Request'!$L:$L,'Aug 2026'!Z$6)</f>
        <v>0</v>
      </c>
      <c r="AA45" s="147">
        <f>COUNTIFS('2026 Time Off Request'!$A:$A,'Aug 2026'!$D45,'2026 Time Off Request'!$L:$L,'Aug 2026'!AA$6)</f>
        <v>0</v>
      </c>
      <c r="AB45" s="147">
        <f>COUNTIFS('2026 Time Off Request'!$A:$A,'Aug 2026'!$D45,'2026 Time Off Request'!$L:$L,'Aug 2026'!AB$6)</f>
        <v>0</v>
      </c>
      <c r="AC45" s="148">
        <f>COUNTIFS('2026 Time Off Request'!$A:$A,'Aug 2026'!$D45,'2026 Time Off Request'!$L:$L,'Aug 2026'!AC$6)</f>
        <v>0</v>
      </c>
      <c r="AD45" s="148">
        <f>COUNTIFS('2026 Time Off Request'!$A:$A,'Aug 2026'!$D45,'2026 Time Off Request'!$L:$L,'Aug 2026'!AD$6)</f>
        <v>0</v>
      </c>
      <c r="AE45" s="148">
        <f>COUNTIFS('2026 Time Off Request'!$A:$A,'Aug 2026'!$D45,'2026 Time Off Request'!$L:$L,'Aug 2026'!AE$6)</f>
        <v>0</v>
      </c>
      <c r="AF45" s="148">
        <f>COUNTIFS('2026 Time Off Request'!$A:$A,'Aug 2026'!$D45,'2026 Time Off Request'!$L:$L,'Aug 2026'!AF$6)</f>
        <v>0</v>
      </c>
      <c r="AG45" s="148">
        <f>COUNTIFS('2026 Time Off Request'!$A:$A,'Aug 2026'!$D45,'2026 Time Off Request'!$L:$L,'Aug 2026'!AG$6)</f>
        <v>0</v>
      </c>
      <c r="AH45" s="147">
        <f>COUNTIFS('2026 Time Off Request'!$A:$A,'Aug 2026'!$D45,'2026 Time Off Request'!$L:$L,'Aug 2026'!AH$6)</f>
        <v>0</v>
      </c>
      <c r="AI45" s="147">
        <f>COUNTIFS('2026 Time Off Request'!$A:$A,'Aug 2026'!$D45,'2026 Time Off Request'!$L:$L,'Aug 2026'!AI$6)</f>
        <v>0</v>
      </c>
      <c r="AJ45" s="148">
        <f>COUNTIFS('2026 Time Off Request'!$A:$A,'Aug 2026'!$D45,'2026 Time Off Request'!$L:$L,'Aug 2026'!AJ$6)</f>
        <v>0</v>
      </c>
    </row>
    <row r="46" spans="1:36" ht="15.75">
      <c r="A46" s="2"/>
      <c r="B46" s="29"/>
      <c r="C46" s="23"/>
      <c r="D46" s="2"/>
      <c r="E46" s="3"/>
    </row>
    <row r="47" spans="1:36" ht="15.6">
      <c r="A47" s="2"/>
      <c r="B47" s="29"/>
      <c r="C47" s="23"/>
      <c r="D47" s="2"/>
      <c r="E47" s="3"/>
    </row>
    <row r="48" spans="1:36" ht="15.6">
      <c r="A48" s="2"/>
      <c r="B48" s="29"/>
      <c r="C48" s="23"/>
      <c r="D48" s="2"/>
      <c r="E48" s="3"/>
    </row>
    <row r="49" spans="1:5" ht="15.6">
      <c r="A49" s="2"/>
      <c r="B49" s="29"/>
      <c r="C49" s="105"/>
      <c r="D49" s="2"/>
      <c r="E49" s="3"/>
    </row>
    <row r="50" spans="1:5" ht="15.6">
      <c r="A50" s="2"/>
      <c r="B50" s="29"/>
      <c r="C50" s="23"/>
      <c r="D50" s="2"/>
      <c r="E50" s="2"/>
    </row>
    <row r="51" spans="1:5" ht="15.6">
      <c r="A51" s="2"/>
      <c r="B51" s="29"/>
      <c r="C51" s="23"/>
      <c r="D51" s="2"/>
      <c r="E51" s="2"/>
    </row>
    <row r="52" spans="1:5" ht="15.6">
      <c r="A52" s="2"/>
      <c r="B52" s="29"/>
      <c r="C52" s="23"/>
      <c r="D52" s="2"/>
      <c r="E52" s="2"/>
    </row>
    <row r="53" spans="1:5" ht="15.6">
      <c r="A53" s="2"/>
      <c r="B53" s="29"/>
      <c r="C53" s="23"/>
      <c r="D53" s="2"/>
      <c r="E53" s="2"/>
    </row>
    <row r="54" spans="1:5" ht="15.6">
      <c r="A54" s="2"/>
      <c r="B54" s="29"/>
      <c r="C54" s="23"/>
      <c r="D54" s="2"/>
      <c r="E54" s="2"/>
    </row>
    <row r="55" spans="1:5" ht="15.6">
      <c r="A55" s="2"/>
      <c r="B55" s="29"/>
      <c r="C55" s="23"/>
      <c r="D55" s="2"/>
      <c r="E55" s="2"/>
    </row>
    <row r="56" spans="1:5" ht="15.6">
      <c r="A56" s="2"/>
      <c r="B56" s="29"/>
      <c r="C56" s="23"/>
      <c r="D56" s="2"/>
      <c r="E56" s="2"/>
    </row>
    <row r="57" spans="1:5" ht="15.6">
      <c r="A57" s="2"/>
      <c r="B57" s="29"/>
      <c r="C57" s="23"/>
      <c r="D57" s="2"/>
      <c r="E57" s="2"/>
    </row>
    <row r="58" spans="1:5" ht="15.6">
      <c r="A58" s="2"/>
      <c r="B58" s="29"/>
      <c r="C58" s="23"/>
      <c r="D58" s="2"/>
      <c r="E58" s="2"/>
    </row>
    <row r="59" spans="1:5" ht="15.6">
      <c r="A59" s="2"/>
      <c r="B59" s="29"/>
      <c r="C59" s="23"/>
      <c r="D59" s="2"/>
      <c r="E59" s="2"/>
    </row>
    <row r="60" spans="1:5" ht="15"/>
    <row r="61" spans="1:5" ht="15"/>
  </sheetData>
  <mergeCells count="1">
    <mergeCell ref="B6:D6"/>
  </mergeCells>
  <conditionalFormatting sqref="E8:AJ45">
    <cfRule type="cellIs" dxfId="4" priority="1" operator="greaterThan">
      <formula>0</formula>
    </cfRule>
  </conditionalFormatting>
  <dataValidations count="1">
    <dataValidation allowBlank="1" showInputMessage="1" showErrorMessage="1" sqref="A3:A59" xr:uid="{D44A5F99-EE1A-427F-A2C1-32B636F6BD4B}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74C8-2B57-430A-B55D-38AB2695FFE9}">
  <sheetPr>
    <tabColor rgb="FF00B050"/>
  </sheetPr>
  <dimension ref="A2:AL61"/>
  <sheetViews>
    <sheetView showGridLines="0" workbookViewId="0">
      <pane xSplit="4" ySplit="7" topLeftCell="AD18" activePane="bottomRight" state="frozen"/>
      <selection pane="bottomRight" activeCell="E23" sqref="E23:AI29"/>
      <selection pane="bottomLeft"/>
      <selection pane="topRight"/>
    </sheetView>
  </sheetViews>
  <sheetFormatPr defaultColWidth="9.140625" defaultRowHeight="14.45"/>
  <cols>
    <col min="1" max="1" width="3.28515625" bestFit="1" customWidth="1"/>
    <col min="3" max="3" width="22.7109375" bestFit="1" customWidth="1"/>
    <col min="4" max="4" width="27.140625" customWidth="1"/>
    <col min="5" max="5" width="15" customWidth="1"/>
    <col min="6" max="6" width="17.140625" style="57" customWidth="1"/>
    <col min="7" max="9" width="17.42578125" bestFit="1" customWidth="1"/>
    <col min="10" max="11" width="17.42578125" style="48" bestFit="1" customWidth="1"/>
    <col min="12" max="12" width="17.42578125" style="51" bestFit="1" customWidth="1"/>
    <col min="13" max="14" width="17.42578125" bestFit="1" customWidth="1"/>
    <col min="15" max="16" width="18.42578125" bestFit="1" customWidth="1"/>
    <col min="17" max="18" width="18.42578125" style="48" bestFit="1" customWidth="1"/>
    <col min="19" max="23" width="18.42578125" bestFit="1" customWidth="1"/>
    <col min="24" max="25" width="18.42578125" style="48" bestFit="1" customWidth="1"/>
    <col min="26" max="30" width="18.42578125" bestFit="1" customWidth="1"/>
    <col min="31" max="32" width="18.42578125" style="48" bestFit="1" customWidth="1"/>
    <col min="33" max="35" width="18.42578125" bestFit="1" customWidth="1"/>
  </cols>
  <sheetData>
    <row r="2" spans="1:38" s="80" customFormat="1" ht="18.75" customHeight="1">
      <c r="D2" s="96" t="s">
        <v>95</v>
      </c>
      <c r="F2" s="115">
        <f>COUNTA($D$8:$D$52)</f>
        <v>38</v>
      </c>
      <c r="G2" s="80">
        <f t="shared" ref="G2:AI2" si="0">COUNTA($D$8:$D$52)</f>
        <v>38</v>
      </c>
      <c r="H2" s="80">
        <f t="shared" si="0"/>
        <v>38</v>
      </c>
      <c r="I2" s="80">
        <f t="shared" si="0"/>
        <v>38</v>
      </c>
      <c r="J2" s="46">
        <f t="shared" si="0"/>
        <v>38</v>
      </c>
      <c r="K2" s="46">
        <f t="shared" si="0"/>
        <v>38</v>
      </c>
      <c r="L2" s="49">
        <f t="shared" si="0"/>
        <v>38</v>
      </c>
      <c r="M2" s="80">
        <f t="shared" si="0"/>
        <v>38</v>
      </c>
      <c r="N2" s="80">
        <f t="shared" si="0"/>
        <v>38</v>
      </c>
      <c r="O2" s="80">
        <f t="shared" si="0"/>
        <v>38</v>
      </c>
      <c r="P2" s="80">
        <f t="shared" si="0"/>
        <v>38</v>
      </c>
      <c r="Q2" s="46">
        <f t="shared" si="0"/>
        <v>38</v>
      </c>
      <c r="R2" s="46">
        <f t="shared" si="0"/>
        <v>38</v>
      </c>
      <c r="S2" s="80">
        <f t="shared" si="0"/>
        <v>38</v>
      </c>
      <c r="T2" s="80">
        <f t="shared" si="0"/>
        <v>38</v>
      </c>
      <c r="U2" s="80">
        <f t="shared" si="0"/>
        <v>38</v>
      </c>
      <c r="V2" s="80">
        <f t="shared" si="0"/>
        <v>38</v>
      </c>
      <c r="W2" s="80">
        <f t="shared" si="0"/>
        <v>38</v>
      </c>
      <c r="X2" s="46">
        <f t="shared" si="0"/>
        <v>38</v>
      </c>
      <c r="Y2" s="46">
        <f t="shared" si="0"/>
        <v>38</v>
      </c>
      <c r="Z2" s="80">
        <f t="shared" si="0"/>
        <v>38</v>
      </c>
      <c r="AA2" s="80">
        <f t="shared" si="0"/>
        <v>38</v>
      </c>
      <c r="AB2" s="80">
        <f t="shared" si="0"/>
        <v>38</v>
      </c>
      <c r="AC2" s="80">
        <f t="shared" si="0"/>
        <v>38</v>
      </c>
      <c r="AD2" s="80">
        <f t="shared" si="0"/>
        <v>38</v>
      </c>
      <c r="AE2" s="46">
        <f t="shared" si="0"/>
        <v>38</v>
      </c>
      <c r="AF2" s="46">
        <f t="shared" si="0"/>
        <v>38</v>
      </c>
      <c r="AG2" s="80">
        <f t="shared" si="0"/>
        <v>38</v>
      </c>
      <c r="AH2" s="80">
        <f t="shared" si="0"/>
        <v>38</v>
      </c>
      <c r="AI2" s="80">
        <f t="shared" si="0"/>
        <v>38</v>
      </c>
    </row>
    <row r="3" spans="1:38" s="80" customFormat="1" ht="12">
      <c r="A3" s="96"/>
      <c r="C3" s="96"/>
      <c r="D3" s="96" t="s">
        <v>96</v>
      </c>
      <c r="E3" s="96"/>
      <c r="F3" s="115">
        <f>SUM(F8:F49)</f>
        <v>0</v>
      </c>
      <c r="G3" s="80">
        <f t="shared" ref="G3:AI3" si="1">SUM(G8:G49)</f>
        <v>0</v>
      </c>
      <c r="H3" s="80">
        <f t="shared" si="1"/>
        <v>0</v>
      </c>
      <c r="I3" s="80">
        <f t="shared" si="1"/>
        <v>0</v>
      </c>
      <c r="J3" s="46">
        <f t="shared" si="1"/>
        <v>0</v>
      </c>
      <c r="K3" s="46">
        <f t="shared" si="1"/>
        <v>0</v>
      </c>
      <c r="L3" s="49">
        <f t="shared" si="1"/>
        <v>0</v>
      </c>
      <c r="M3" s="80">
        <f>SUM(M8:M49)</f>
        <v>0</v>
      </c>
      <c r="N3" s="80">
        <f t="shared" si="1"/>
        <v>0</v>
      </c>
      <c r="O3" s="80">
        <f t="shared" si="1"/>
        <v>0</v>
      </c>
      <c r="P3" s="80">
        <f t="shared" si="1"/>
        <v>0</v>
      </c>
      <c r="Q3" s="46">
        <f t="shared" si="1"/>
        <v>0</v>
      </c>
      <c r="R3" s="46">
        <f>SUM(R8:R49)</f>
        <v>0</v>
      </c>
      <c r="S3" s="80">
        <f t="shared" si="1"/>
        <v>0</v>
      </c>
      <c r="T3" s="80">
        <f t="shared" si="1"/>
        <v>0</v>
      </c>
      <c r="U3" s="80">
        <f t="shared" si="1"/>
        <v>0</v>
      </c>
      <c r="V3" s="80">
        <f t="shared" si="1"/>
        <v>0</v>
      </c>
      <c r="W3" s="80">
        <f>SUM(W8:W49)</f>
        <v>0</v>
      </c>
      <c r="X3" s="46">
        <f t="shared" si="1"/>
        <v>0</v>
      </c>
      <c r="Y3" s="46">
        <f t="shared" si="1"/>
        <v>0</v>
      </c>
      <c r="Z3" s="80">
        <f t="shared" si="1"/>
        <v>0</v>
      </c>
      <c r="AA3" s="80">
        <f t="shared" si="1"/>
        <v>0</v>
      </c>
      <c r="AB3" s="80">
        <f t="shared" si="1"/>
        <v>0</v>
      </c>
      <c r="AC3" s="80">
        <f t="shared" si="1"/>
        <v>0</v>
      </c>
      <c r="AD3" s="80">
        <f>SUM(AD8:AD49)</f>
        <v>0</v>
      </c>
      <c r="AE3" s="46">
        <f t="shared" si="1"/>
        <v>0</v>
      </c>
      <c r="AF3" s="46">
        <f>SUM(AF8:AF49)</f>
        <v>0</v>
      </c>
      <c r="AG3" s="80">
        <f t="shared" si="1"/>
        <v>0</v>
      </c>
      <c r="AH3" s="80">
        <f t="shared" si="1"/>
        <v>0</v>
      </c>
      <c r="AI3" s="80">
        <f t="shared" si="1"/>
        <v>0</v>
      </c>
    </row>
    <row r="4" spans="1:38" s="80" customFormat="1" ht="12">
      <c r="A4" s="96"/>
      <c r="B4" s="97"/>
      <c r="C4" s="96"/>
      <c r="D4" s="96" t="s">
        <v>97</v>
      </c>
      <c r="E4" s="96"/>
      <c r="F4" s="116">
        <f>(COUNTA($D$8:$D$49)-F$3)/(COUNTA($D$8:$D$49))</f>
        <v>1</v>
      </c>
      <c r="G4" s="81">
        <f>(COUNTA($D$8:$D$49)-G$3)/(COUNTA($D$8:$D$49))</f>
        <v>1</v>
      </c>
      <c r="H4" s="81">
        <f>(COUNTA($D$8:$D$49)-H$3)/(COUNTA($D$8:$D$49))</f>
        <v>1</v>
      </c>
      <c r="I4" s="81">
        <f>(COUNTA($D$8:$D$49)-I$3)/(COUNTA($D$8:$D$49))</f>
        <v>1</v>
      </c>
      <c r="J4" s="47">
        <f>(COUNTA($D$8:$D$49)-J$3)/(COUNTA($D$8:$D$49))</f>
        <v>1</v>
      </c>
      <c r="K4" s="47">
        <f>(COUNTA($D$8:$D$49)-K$3)/(COUNTA($D$8:$D$49))</f>
        <v>1</v>
      </c>
      <c r="L4" s="50">
        <f>(COUNTA($D$8:$D$49)-L$3)/(COUNTA($D$8:$D$49))</f>
        <v>1</v>
      </c>
      <c r="M4" s="81">
        <f>(COUNTA($D$8:$D$49)-M$3)/(COUNTA($D$8:$D$49))</f>
        <v>1</v>
      </c>
      <c r="N4" s="81">
        <f>(COUNTA($D$8:$D$49)-N$3)/(COUNTA($D$8:$D$49))</f>
        <v>1</v>
      </c>
      <c r="O4" s="81">
        <f>(COUNTA($D$8:$D$49)-O$3)/(COUNTA($D$8:$D$49))</f>
        <v>1</v>
      </c>
      <c r="P4" s="81">
        <f>(COUNTA($D$8:$D$49)-P$3)/(COUNTA($D$8:$D$49))</f>
        <v>1</v>
      </c>
      <c r="Q4" s="47">
        <f>(COUNTA($D$8:$D$49)-Q$3)/(COUNTA($D$8:$D$49))</f>
        <v>1</v>
      </c>
      <c r="R4" s="47">
        <f>(COUNTA($D$8:$D$49)-R$3)/(COUNTA($D$8:$D$49))</f>
        <v>1</v>
      </c>
      <c r="S4" s="81">
        <f>(COUNTA($D$8:$D$49)-S$3)/(COUNTA($D$8:$D$49))</f>
        <v>1</v>
      </c>
      <c r="T4" s="81">
        <f>(COUNTA($D$8:$D$49)-T$3)/(COUNTA($D$8:$D$49))</f>
        <v>1</v>
      </c>
      <c r="U4" s="81">
        <f>(COUNTA($D$8:$D$49)-U$3)/(COUNTA($D$8:$D$49))</f>
        <v>1</v>
      </c>
      <c r="V4" s="81">
        <f>(COUNTA($D$8:$D$49)-V$3)/(COUNTA($D$8:$D$49))</f>
        <v>1</v>
      </c>
      <c r="W4" s="81">
        <f>(COUNTA($D$8:$D$49)-W$3)/(COUNTA($D$8:$D$49))</f>
        <v>1</v>
      </c>
      <c r="X4" s="47">
        <f>(COUNTA($D$8:$D$49)-X$3)/(COUNTA($D$8:$D$49))</f>
        <v>1</v>
      </c>
      <c r="Y4" s="47">
        <f>(COUNTA($D$8:$D$49)-Y$3)/(COUNTA($D$8:$D$49))</f>
        <v>1</v>
      </c>
      <c r="Z4" s="81">
        <f>(COUNTA($D$8:$D$49)-Z$3)/(COUNTA($D$8:$D$49))</f>
        <v>1</v>
      </c>
      <c r="AA4" s="81">
        <f>(COUNTA($D$8:$D$49)-AA$3)/(COUNTA($D$8:$D$49))</f>
        <v>1</v>
      </c>
      <c r="AB4" s="81">
        <f>(COUNTA($D$8:$D$49)-AB$3)/(COUNTA($D$8:$D$49))</f>
        <v>1</v>
      </c>
      <c r="AC4" s="81">
        <f>(COUNTA($D$8:$D$49)-AC$3)/(COUNTA($D$8:$D$49))</f>
        <v>1</v>
      </c>
      <c r="AD4" s="81">
        <f>(COUNTA($D$8:$D$49)-AD$3)/(COUNTA($D$8:$D$49))</f>
        <v>1</v>
      </c>
      <c r="AE4" s="47">
        <f>(COUNTA($D$8:$D$49)-AE$3)/(COUNTA($D$8:$D$49))</f>
        <v>1</v>
      </c>
      <c r="AF4" s="47">
        <f>(COUNTA($D$8:$D$49)-AF$3)/(COUNTA($D$8:$D$49))</f>
        <v>1</v>
      </c>
      <c r="AG4" s="81">
        <f>(COUNTA($D$8:$D$49)-AG$3)/(COUNTA($D$8:$D$49))</f>
        <v>1</v>
      </c>
      <c r="AH4" s="81">
        <f>(COUNTA($D$8:$D$49)-AH$3)/(COUNTA($D$8:$D$49))</f>
        <v>1</v>
      </c>
      <c r="AI4" s="81">
        <f>(COUNTA($D$8:$D$49)-AI$3)/(COUNTA($D$8:$D$49))</f>
        <v>1</v>
      </c>
    </row>
    <row r="5" spans="1:38" s="80" customFormat="1" ht="8.25" customHeight="1">
      <c r="A5" s="96"/>
      <c r="B5" s="97"/>
      <c r="C5" s="96"/>
      <c r="D5" s="96"/>
      <c r="E5" s="96"/>
      <c r="F5" s="116"/>
      <c r="G5" s="81"/>
      <c r="H5" s="81"/>
      <c r="I5" s="81"/>
      <c r="J5" s="47"/>
      <c r="K5" s="47"/>
      <c r="L5" s="50"/>
      <c r="M5" s="81"/>
      <c r="N5" s="81"/>
      <c r="O5" s="81"/>
      <c r="P5" s="81"/>
      <c r="Q5" s="47"/>
      <c r="R5" s="47"/>
      <c r="S5" s="81"/>
      <c r="T5" s="81"/>
      <c r="U5" s="81"/>
      <c r="V5" s="81"/>
      <c r="W5" s="81"/>
      <c r="X5" s="47"/>
      <c r="Y5" s="47"/>
      <c r="Z5" s="81"/>
      <c r="AA5" s="81"/>
      <c r="AB5" s="81"/>
      <c r="AC5" s="81"/>
      <c r="AD5" s="81"/>
      <c r="AE5" s="47"/>
      <c r="AF5" s="47"/>
      <c r="AG5" s="81"/>
      <c r="AH5" s="81"/>
      <c r="AI5" s="81"/>
    </row>
    <row r="6" spans="1:38" s="100" customFormat="1" ht="34.5" customHeight="1">
      <c r="A6" s="98"/>
      <c r="B6" s="246" t="s">
        <v>0</v>
      </c>
      <c r="C6" s="247"/>
      <c r="D6" s="247"/>
      <c r="E6" s="16" t="s">
        <v>98</v>
      </c>
      <c r="F6" s="95">
        <v>45901</v>
      </c>
      <c r="G6" s="95">
        <v>45902</v>
      </c>
      <c r="H6" s="95">
        <v>45903</v>
      </c>
      <c r="I6" s="95">
        <v>45904</v>
      </c>
      <c r="J6" s="109">
        <v>45905</v>
      </c>
      <c r="K6" s="109">
        <v>45906</v>
      </c>
      <c r="L6" s="85">
        <v>45907</v>
      </c>
      <c r="M6" s="95">
        <v>45908</v>
      </c>
      <c r="N6" s="95">
        <v>45909</v>
      </c>
      <c r="O6" s="95">
        <v>45910</v>
      </c>
      <c r="P6" s="95">
        <v>45911</v>
      </c>
      <c r="Q6" s="109">
        <v>45912</v>
      </c>
      <c r="R6" s="109">
        <v>45913</v>
      </c>
      <c r="S6" s="95">
        <v>45914</v>
      </c>
      <c r="T6" s="95">
        <v>45915</v>
      </c>
      <c r="U6" s="95">
        <v>45916</v>
      </c>
      <c r="V6" s="95">
        <v>45917</v>
      </c>
      <c r="W6" s="95">
        <v>45918</v>
      </c>
      <c r="X6" s="109">
        <v>45919</v>
      </c>
      <c r="Y6" s="109">
        <v>45920</v>
      </c>
      <c r="Z6" s="95">
        <v>45921</v>
      </c>
      <c r="AA6" s="95">
        <v>45922</v>
      </c>
      <c r="AB6" s="95">
        <v>45923</v>
      </c>
      <c r="AC6" s="95">
        <v>45924</v>
      </c>
      <c r="AD6" s="95">
        <v>45925</v>
      </c>
      <c r="AE6" s="109">
        <v>45926</v>
      </c>
      <c r="AF6" s="109">
        <v>45927</v>
      </c>
      <c r="AG6" s="95">
        <v>45928</v>
      </c>
      <c r="AH6" s="95">
        <v>45929</v>
      </c>
      <c r="AI6" s="117">
        <v>45930</v>
      </c>
      <c r="AJ6" s="99"/>
      <c r="AK6" s="99"/>
      <c r="AL6" s="99"/>
    </row>
    <row r="7" spans="1:38" ht="15.75">
      <c r="A7" s="1"/>
      <c r="B7" s="28" t="s">
        <v>3</v>
      </c>
      <c r="C7" s="24" t="s">
        <v>4</v>
      </c>
      <c r="D7" s="1" t="s">
        <v>5</v>
      </c>
      <c r="E7" s="5" t="s">
        <v>99</v>
      </c>
      <c r="F7" s="218" t="s">
        <v>101</v>
      </c>
      <c r="G7" s="218" t="s">
        <v>102</v>
      </c>
      <c r="H7" s="218" t="s">
        <v>103</v>
      </c>
      <c r="I7" s="218" t="s">
        <v>104</v>
      </c>
      <c r="J7" s="216" t="s">
        <v>105</v>
      </c>
      <c r="K7" s="216" t="s">
        <v>106</v>
      </c>
      <c r="L7" s="225" t="s">
        <v>100</v>
      </c>
      <c r="M7" s="218" t="s">
        <v>101</v>
      </c>
      <c r="N7" s="218" t="s">
        <v>102</v>
      </c>
      <c r="O7" s="218" t="s">
        <v>103</v>
      </c>
      <c r="P7" s="218" t="s">
        <v>104</v>
      </c>
      <c r="Q7" s="216" t="s">
        <v>105</v>
      </c>
      <c r="R7" s="216" t="s">
        <v>106</v>
      </c>
      <c r="S7" s="218" t="s">
        <v>100</v>
      </c>
      <c r="T7" s="218" t="s">
        <v>101</v>
      </c>
      <c r="U7" s="218" t="s">
        <v>102</v>
      </c>
      <c r="V7" s="218" t="s">
        <v>103</v>
      </c>
      <c r="W7" s="218" t="s">
        <v>104</v>
      </c>
      <c r="X7" s="216" t="s">
        <v>105</v>
      </c>
      <c r="Y7" s="216" t="s">
        <v>106</v>
      </c>
      <c r="Z7" s="218" t="s">
        <v>100</v>
      </c>
      <c r="AA7" s="218" t="s">
        <v>101</v>
      </c>
      <c r="AB7" s="218" t="s">
        <v>102</v>
      </c>
      <c r="AC7" s="218" t="s">
        <v>103</v>
      </c>
      <c r="AD7" s="218" t="s">
        <v>104</v>
      </c>
      <c r="AE7" s="216" t="s">
        <v>105</v>
      </c>
      <c r="AF7" s="216" t="s">
        <v>106</v>
      </c>
      <c r="AG7" s="218" t="s">
        <v>100</v>
      </c>
      <c r="AH7" s="218" t="s">
        <v>101</v>
      </c>
      <c r="AI7" s="222" t="s">
        <v>102</v>
      </c>
    </row>
    <row r="8" spans="1:38" ht="15.75">
      <c r="A8" s="2">
        <v>1</v>
      </c>
      <c r="B8" s="209" t="s">
        <v>25</v>
      </c>
      <c r="C8" s="210" t="s">
        <v>26</v>
      </c>
      <c r="D8" s="211" t="s">
        <v>27</v>
      </c>
      <c r="E8" s="212">
        <f t="shared" ref="E8:E45" si="2">SUM(F8:AI8)</f>
        <v>0</v>
      </c>
      <c r="F8" s="223">
        <f>COUNTIFS('2026 Time Off Request'!$A:$A,'Sept 2026'!$D8,'2026 Time Off Request'!$L:$L,'Sept 2026'!F$6)</f>
        <v>0</v>
      </c>
      <c r="G8" s="148">
        <f>COUNTIFS('2026 Time Off Request'!$A:$A,'Sept 2026'!$D8,'2026 Time Off Request'!$L:$L,'Sept 2026'!G$6)</f>
        <v>0</v>
      </c>
      <c r="H8" s="148">
        <f>COUNTIFS('2026 Time Off Request'!$A:$A,'Sept 2026'!$D8,'2026 Time Off Request'!$L:$L,'Sept 2026'!H$6)</f>
        <v>0</v>
      </c>
      <c r="I8" s="148">
        <f>COUNTIFS('2026 Time Off Request'!$A:$A,'Sept 2026'!$D8,'2026 Time Off Request'!$L:$L,'Sept 2026'!I$6)</f>
        <v>0</v>
      </c>
      <c r="J8" s="147">
        <f>COUNTIFS('2026 Time Off Request'!$A:$A,'Sept 2026'!$D8,'2026 Time Off Request'!$L:$L,'Sept 2026'!J$6)</f>
        <v>0</v>
      </c>
      <c r="K8" s="147">
        <f>COUNTIFS('2026 Time Off Request'!$A:$A,'Sept 2026'!$D8,'2026 Time Off Request'!$L:$L,'Sept 2026'!K$6)</f>
        <v>0</v>
      </c>
      <c r="L8" s="224">
        <f>COUNTIFS('2026 Time Off Request'!$A:$A,'Sept 2026'!$D8,'2026 Time Off Request'!$L:$L,'Sept 2026'!L$6)</f>
        <v>0</v>
      </c>
      <c r="M8" s="148">
        <f>COUNTIFS('2026 Time Off Request'!$A:$A,'Sept 2026'!$D8,'2026 Time Off Request'!$L:$L,'Sept 2026'!M$6)</f>
        <v>0</v>
      </c>
      <c r="N8" s="148">
        <f>COUNTIFS('2026 Time Off Request'!$A:$A,'Sept 2026'!$D8,'2026 Time Off Request'!$L:$L,'Sept 2026'!N$6)</f>
        <v>0</v>
      </c>
      <c r="O8" s="148">
        <f>COUNTIFS('2026 Time Off Request'!$A:$A,'Sept 2026'!$D8,'2026 Time Off Request'!$L:$L,'Sept 2026'!O$6)</f>
        <v>0</v>
      </c>
      <c r="P8" s="148">
        <f>COUNTIFS('2026 Time Off Request'!$A:$A,'Sept 2026'!$D8,'2026 Time Off Request'!$L:$L,'Sept 2026'!P$6)</f>
        <v>0</v>
      </c>
      <c r="Q8" s="147">
        <f>COUNTIFS('2026 Time Off Request'!$A:$A,'Sept 2026'!$D8,'2026 Time Off Request'!$L:$L,'Sept 2026'!Q$6)</f>
        <v>0</v>
      </c>
      <c r="R8" s="147">
        <f>COUNTIFS('2026 Time Off Request'!$A:$A,'Sept 2026'!$D8,'2026 Time Off Request'!$L:$L,'Sept 2026'!R$6)</f>
        <v>0</v>
      </c>
      <c r="S8" s="148">
        <f>COUNTIFS('2026 Time Off Request'!$A:$A,'Sept 2026'!$D8,'2026 Time Off Request'!$L:$L,'Sept 2026'!S$6)</f>
        <v>0</v>
      </c>
      <c r="T8" s="148">
        <f>COUNTIFS('2026 Time Off Request'!$A:$A,'Sept 2026'!$D8,'2026 Time Off Request'!$L:$L,'Sept 2026'!T$6)</f>
        <v>0</v>
      </c>
      <c r="U8" s="148">
        <f>COUNTIFS('2026 Time Off Request'!$A:$A,'Sept 2026'!$D8,'2026 Time Off Request'!$L:$L,'Sept 2026'!U$6)</f>
        <v>0</v>
      </c>
      <c r="V8" s="148">
        <f>COUNTIFS('2026 Time Off Request'!$A:$A,'Sept 2026'!$D8,'2026 Time Off Request'!$L:$L,'Sept 2026'!V$6)</f>
        <v>0</v>
      </c>
      <c r="W8" s="148">
        <f>COUNTIFS('2026 Time Off Request'!$A:$A,'Sept 2026'!$D8,'2026 Time Off Request'!$L:$L,'Sept 2026'!W$6)</f>
        <v>0</v>
      </c>
      <c r="X8" s="147">
        <f>COUNTIFS('2026 Time Off Request'!$A:$A,'Sept 2026'!$D8,'2026 Time Off Request'!$L:$L,'Sept 2026'!X$6)</f>
        <v>0</v>
      </c>
      <c r="Y8" s="147">
        <f>COUNTIFS('2026 Time Off Request'!$A:$A,'Sept 2026'!$D8,'2026 Time Off Request'!$L:$L,'Sept 2026'!Y$6)</f>
        <v>0</v>
      </c>
      <c r="Z8" s="148">
        <f>COUNTIFS('2026 Time Off Request'!$A:$A,'Sept 2026'!$D8,'2026 Time Off Request'!$L:$L,'Sept 2026'!Z$6)</f>
        <v>0</v>
      </c>
      <c r="AA8" s="148">
        <f>COUNTIFS('2026 Time Off Request'!$A:$A,'Sept 2026'!$D8,'2026 Time Off Request'!$L:$L,'Sept 2026'!AA$6)</f>
        <v>0</v>
      </c>
      <c r="AB8" s="148">
        <f>COUNTIFS('2026 Time Off Request'!$A:$A,'Sept 2026'!$D8,'2026 Time Off Request'!$L:$L,'Sept 2026'!AB$6)</f>
        <v>0</v>
      </c>
      <c r="AC8" s="148">
        <f>COUNTIFS('2026 Time Off Request'!$A:$A,'Sept 2026'!$D8,'2026 Time Off Request'!$L:$L,'Sept 2026'!AC$6)</f>
        <v>0</v>
      </c>
      <c r="AD8" s="148">
        <f>COUNTIFS('2026 Time Off Request'!$A:$A,'Sept 2026'!$D8,'2026 Time Off Request'!$L:$L,'Sept 2026'!AD$6)</f>
        <v>0</v>
      </c>
      <c r="AE8" s="147">
        <f>COUNTIFS('2026 Time Off Request'!$A:$A,'Sept 2026'!$D8,'2026 Time Off Request'!$L:$L,'Sept 2026'!AE$6)</f>
        <v>0</v>
      </c>
      <c r="AF8" s="147">
        <f>COUNTIFS('2026 Time Off Request'!$A:$A,'Sept 2026'!$D8,'2026 Time Off Request'!$L:$L,'Sept 2026'!AF$6)</f>
        <v>0</v>
      </c>
      <c r="AG8" s="148">
        <f>COUNTIFS('2026 Time Off Request'!$A:$A,'Sept 2026'!$D8,'2026 Time Off Request'!$L:$L,'Sept 2026'!AG$6)</f>
        <v>0</v>
      </c>
      <c r="AH8" s="148">
        <f>COUNTIFS('2026 Time Off Request'!$A:$A,'Sept 2026'!$D8,'2026 Time Off Request'!$L:$L,'Sept 2026'!AH$6)</f>
        <v>0</v>
      </c>
      <c r="AI8" s="148">
        <f>COUNTIFS('2026 Time Off Request'!$A:$A,'Sept 2026'!$D8,'2026 Time Off Request'!$L:$L,'Sept 2026'!AI$6)</f>
        <v>0</v>
      </c>
    </row>
    <row r="9" spans="1:38" ht="15.75">
      <c r="A9" s="2">
        <v>2</v>
      </c>
      <c r="B9" s="209" t="s">
        <v>25</v>
      </c>
      <c r="C9" s="210" t="s">
        <v>28</v>
      </c>
      <c r="D9" s="215" t="s">
        <v>29</v>
      </c>
      <c r="E9" s="212">
        <f t="shared" si="2"/>
        <v>0</v>
      </c>
      <c r="F9" s="223">
        <f>COUNTIFS('2026 Time Off Request'!$A:$A,'Sept 2026'!$D9,'2026 Time Off Request'!$L:$L,'Sept 2026'!F$6)</f>
        <v>0</v>
      </c>
      <c r="G9" s="148">
        <f>COUNTIFS('2026 Time Off Request'!$A:$A,'Sept 2026'!$D9,'2026 Time Off Request'!$L:$L,'Sept 2026'!G$6)</f>
        <v>0</v>
      </c>
      <c r="H9" s="148">
        <f>COUNTIFS('2026 Time Off Request'!$A:$A,'Sept 2026'!$D9,'2026 Time Off Request'!$L:$L,'Sept 2026'!H$6)</f>
        <v>0</v>
      </c>
      <c r="I9" s="148">
        <f>COUNTIFS('2026 Time Off Request'!$A:$A,'Sept 2026'!$D9,'2026 Time Off Request'!$L:$L,'Sept 2026'!I$6)</f>
        <v>0</v>
      </c>
      <c r="J9" s="147">
        <f>COUNTIFS('2026 Time Off Request'!$A:$A,'Sept 2026'!$D9,'2026 Time Off Request'!$L:$L,'Sept 2026'!J$6)</f>
        <v>0</v>
      </c>
      <c r="K9" s="147">
        <f>COUNTIFS('2026 Time Off Request'!$A:$A,'Sept 2026'!$D9,'2026 Time Off Request'!$L:$L,'Sept 2026'!K$6)</f>
        <v>0</v>
      </c>
      <c r="L9" s="224">
        <f>COUNTIFS('2026 Time Off Request'!$A:$A,'Sept 2026'!$D9,'2026 Time Off Request'!$L:$L,'Sept 2026'!L$6)</f>
        <v>0</v>
      </c>
      <c r="M9" s="148">
        <f>COUNTIFS('2026 Time Off Request'!$A:$A,'Sept 2026'!$D9,'2026 Time Off Request'!$L:$L,'Sept 2026'!M$6)</f>
        <v>0</v>
      </c>
      <c r="N9" s="148">
        <f>COUNTIFS('2026 Time Off Request'!$A:$A,'Sept 2026'!$D9,'2026 Time Off Request'!$L:$L,'Sept 2026'!N$6)</f>
        <v>0</v>
      </c>
      <c r="O9" s="148">
        <f>COUNTIFS('2026 Time Off Request'!$A:$A,'Sept 2026'!$D9,'2026 Time Off Request'!$L:$L,'Sept 2026'!O$6)</f>
        <v>0</v>
      </c>
      <c r="P9" s="148">
        <f>COUNTIFS('2026 Time Off Request'!$A:$A,'Sept 2026'!$D9,'2026 Time Off Request'!$L:$L,'Sept 2026'!P$6)</f>
        <v>0</v>
      </c>
      <c r="Q9" s="147">
        <f>COUNTIFS('2026 Time Off Request'!$A:$A,'Sept 2026'!$D9,'2026 Time Off Request'!$L:$L,'Sept 2026'!Q$6)</f>
        <v>0</v>
      </c>
      <c r="R9" s="147">
        <f>COUNTIFS('2026 Time Off Request'!$A:$A,'Sept 2026'!$D9,'2026 Time Off Request'!$L:$L,'Sept 2026'!R$6)</f>
        <v>0</v>
      </c>
      <c r="S9" s="148">
        <f>COUNTIFS('2026 Time Off Request'!$A:$A,'Sept 2026'!$D9,'2026 Time Off Request'!$L:$L,'Sept 2026'!S$6)</f>
        <v>0</v>
      </c>
      <c r="T9" s="148">
        <f>COUNTIFS('2026 Time Off Request'!$A:$A,'Sept 2026'!$D9,'2026 Time Off Request'!$L:$L,'Sept 2026'!T$6)</f>
        <v>0</v>
      </c>
      <c r="U9" s="148">
        <f>COUNTIFS('2026 Time Off Request'!$A:$A,'Sept 2026'!$D9,'2026 Time Off Request'!$L:$L,'Sept 2026'!U$6)</f>
        <v>0</v>
      </c>
      <c r="V9" s="148">
        <f>COUNTIFS('2026 Time Off Request'!$A:$A,'Sept 2026'!$D9,'2026 Time Off Request'!$L:$L,'Sept 2026'!V$6)</f>
        <v>0</v>
      </c>
      <c r="W9" s="148">
        <f>COUNTIFS('2026 Time Off Request'!$A:$A,'Sept 2026'!$D9,'2026 Time Off Request'!$L:$L,'Sept 2026'!W$6)</f>
        <v>0</v>
      </c>
      <c r="X9" s="147">
        <f>COUNTIFS('2026 Time Off Request'!$A:$A,'Sept 2026'!$D9,'2026 Time Off Request'!$L:$L,'Sept 2026'!X$6)</f>
        <v>0</v>
      </c>
      <c r="Y9" s="147">
        <f>COUNTIFS('2026 Time Off Request'!$A:$A,'Sept 2026'!$D9,'2026 Time Off Request'!$L:$L,'Sept 2026'!Y$6)</f>
        <v>0</v>
      </c>
      <c r="Z9" s="148">
        <f>COUNTIFS('2026 Time Off Request'!$A:$A,'Sept 2026'!$D9,'2026 Time Off Request'!$L:$L,'Sept 2026'!Z$6)</f>
        <v>0</v>
      </c>
      <c r="AA9" s="148">
        <f>COUNTIFS('2026 Time Off Request'!$A:$A,'Sept 2026'!$D9,'2026 Time Off Request'!$L:$L,'Sept 2026'!AA$6)</f>
        <v>0</v>
      </c>
      <c r="AB9" s="148">
        <f>COUNTIFS('2026 Time Off Request'!$A:$A,'Sept 2026'!$D9,'2026 Time Off Request'!$L:$L,'Sept 2026'!AB$6)</f>
        <v>0</v>
      </c>
      <c r="AC9" s="148">
        <f>COUNTIFS('2026 Time Off Request'!$A:$A,'Sept 2026'!$D9,'2026 Time Off Request'!$L:$L,'Sept 2026'!AC$6)</f>
        <v>0</v>
      </c>
      <c r="AD9" s="148">
        <f>COUNTIFS('2026 Time Off Request'!$A:$A,'Sept 2026'!$D9,'2026 Time Off Request'!$L:$L,'Sept 2026'!AD$6)</f>
        <v>0</v>
      </c>
      <c r="AE9" s="147">
        <f>COUNTIFS('2026 Time Off Request'!$A:$A,'Sept 2026'!$D9,'2026 Time Off Request'!$L:$L,'Sept 2026'!AE$6)</f>
        <v>0</v>
      </c>
      <c r="AF9" s="147">
        <f>COUNTIFS('2026 Time Off Request'!$A:$A,'Sept 2026'!$D9,'2026 Time Off Request'!$L:$L,'Sept 2026'!AF$6)</f>
        <v>0</v>
      </c>
      <c r="AG9" s="148">
        <f>COUNTIFS('2026 Time Off Request'!$A:$A,'Sept 2026'!$D9,'2026 Time Off Request'!$L:$L,'Sept 2026'!AG$6)</f>
        <v>0</v>
      </c>
      <c r="AH9" s="148">
        <f>COUNTIFS('2026 Time Off Request'!$A:$A,'Sept 2026'!$D9,'2026 Time Off Request'!$L:$L,'Sept 2026'!AH$6)</f>
        <v>0</v>
      </c>
      <c r="AI9" s="148">
        <f>COUNTIFS('2026 Time Off Request'!$A:$A,'Sept 2026'!$D9,'2026 Time Off Request'!$L:$L,'Sept 2026'!AI$6)</f>
        <v>0</v>
      </c>
    </row>
    <row r="10" spans="1:38" ht="15.75">
      <c r="A10" s="2">
        <v>3</v>
      </c>
      <c r="B10" s="209" t="s">
        <v>25</v>
      </c>
      <c r="C10" s="210" t="s">
        <v>30</v>
      </c>
      <c r="D10" s="215" t="s">
        <v>31</v>
      </c>
      <c r="E10" s="212">
        <f t="shared" si="2"/>
        <v>0</v>
      </c>
      <c r="F10" s="223">
        <f>COUNTIFS('2026 Time Off Request'!$A:$A,'Sept 2026'!$D10,'2026 Time Off Request'!$L:$L,'Sept 2026'!F$6)</f>
        <v>0</v>
      </c>
      <c r="G10" s="148">
        <f>COUNTIFS('2026 Time Off Request'!$A:$A,'Sept 2026'!$D10,'2026 Time Off Request'!$L:$L,'Sept 2026'!G$6)</f>
        <v>0</v>
      </c>
      <c r="H10" s="148">
        <f>COUNTIFS('2026 Time Off Request'!$A:$A,'Sept 2026'!$D10,'2026 Time Off Request'!$L:$L,'Sept 2026'!H$6)</f>
        <v>0</v>
      </c>
      <c r="I10" s="148">
        <f>COUNTIFS('2026 Time Off Request'!$A:$A,'Sept 2026'!$D10,'2026 Time Off Request'!$L:$L,'Sept 2026'!I$6)</f>
        <v>0</v>
      </c>
      <c r="J10" s="147">
        <f>COUNTIFS('2026 Time Off Request'!$A:$A,'Sept 2026'!$D10,'2026 Time Off Request'!$L:$L,'Sept 2026'!J$6)</f>
        <v>0</v>
      </c>
      <c r="K10" s="147">
        <f>COUNTIFS('2026 Time Off Request'!$A:$A,'Sept 2026'!$D10,'2026 Time Off Request'!$L:$L,'Sept 2026'!K$6)</f>
        <v>0</v>
      </c>
      <c r="L10" s="224">
        <f>COUNTIFS('2026 Time Off Request'!$A:$A,'Sept 2026'!$D10,'2026 Time Off Request'!$L:$L,'Sept 2026'!L$6)</f>
        <v>0</v>
      </c>
      <c r="M10" s="148">
        <f>COUNTIFS('2026 Time Off Request'!$A:$A,'Sept 2026'!$D10,'2026 Time Off Request'!$L:$L,'Sept 2026'!M$6)</f>
        <v>0</v>
      </c>
      <c r="N10" s="148">
        <f>COUNTIFS('2026 Time Off Request'!$A:$A,'Sept 2026'!$D10,'2026 Time Off Request'!$L:$L,'Sept 2026'!N$6)</f>
        <v>0</v>
      </c>
      <c r="O10" s="148">
        <f>COUNTIFS('2026 Time Off Request'!$A:$A,'Sept 2026'!$D10,'2026 Time Off Request'!$L:$L,'Sept 2026'!O$6)</f>
        <v>0</v>
      </c>
      <c r="P10" s="148">
        <f>COUNTIFS('2026 Time Off Request'!$A:$A,'Sept 2026'!$D10,'2026 Time Off Request'!$L:$L,'Sept 2026'!P$6)</f>
        <v>0</v>
      </c>
      <c r="Q10" s="147">
        <f>COUNTIFS('2026 Time Off Request'!$A:$A,'Sept 2026'!$D10,'2026 Time Off Request'!$L:$L,'Sept 2026'!Q$6)</f>
        <v>0</v>
      </c>
      <c r="R10" s="147">
        <f>COUNTIFS('2026 Time Off Request'!$A:$A,'Sept 2026'!$D10,'2026 Time Off Request'!$L:$L,'Sept 2026'!R$6)</f>
        <v>0</v>
      </c>
      <c r="S10" s="148">
        <f>COUNTIFS('2026 Time Off Request'!$A:$A,'Sept 2026'!$D10,'2026 Time Off Request'!$L:$L,'Sept 2026'!S$6)</f>
        <v>0</v>
      </c>
      <c r="T10" s="148">
        <f>COUNTIFS('2026 Time Off Request'!$A:$A,'Sept 2026'!$D10,'2026 Time Off Request'!$L:$L,'Sept 2026'!T$6)</f>
        <v>0</v>
      </c>
      <c r="U10" s="148">
        <f>COUNTIFS('2026 Time Off Request'!$A:$A,'Sept 2026'!$D10,'2026 Time Off Request'!$L:$L,'Sept 2026'!U$6)</f>
        <v>0</v>
      </c>
      <c r="V10" s="148">
        <f>COUNTIFS('2026 Time Off Request'!$A:$A,'Sept 2026'!$D10,'2026 Time Off Request'!$L:$L,'Sept 2026'!V$6)</f>
        <v>0</v>
      </c>
      <c r="W10" s="148">
        <f>COUNTIFS('2026 Time Off Request'!$A:$A,'Sept 2026'!$D10,'2026 Time Off Request'!$L:$L,'Sept 2026'!W$6)</f>
        <v>0</v>
      </c>
      <c r="X10" s="147">
        <f>COUNTIFS('2026 Time Off Request'!$A:$A,'Sept 2026'!$D10,'2026 Time Off Request'!$L:$L,'Sept 2026'!X$6)</f>
        <v>0</v>
      </c>
      <c r="Y10" s="147">
        <f>COUNTIFS('2026 Time Off Request'!$A:$A,'Sept 2026'!$D10,'2026 Time Off Request'!$L:$L,'Sept 2026'!Y$6)</f>
        <v>0</v>
      </c>
      <c r="Z10" s="148">
        <f>COUNTIFS('2026 Time Off Request'!$A:$A,'Sept 2026'!$D10,'2026 Time Off Request'!$L:$L,'Sept 2026'!Z$6)</f>
        <v>0</v>
      </c>
      <c r="AA10" s="148">
        <f>COUNTIFS('2026 Time Off Request'!$A:$A,'Sept 2026'!$D10,'2026 Time Off Request'!$L:$L,'Sept 2026'!AA$6)</f>
        <v>0</v>
      </c>
      <c r="AB10" s="148">
        <f>COUNTIFS('2026 Time Off Request'!$A:$A,'Sept 2026'!$D10,'2026 Time Off Request'!$L:$L,'Sept 2026'!AB$6)</f>
        <v>0</v>
      </c>
      <c r="AC10" s="148">
        <f>COUNTIFS('2026 Time Off Request'!$A:$A,'Sept 2026'!$D10,'2026 Time Off Request'!$L:$L,'Sept 2026'!AC$6)</f>
        <v>0</v>
      </c>
      <c r="AD10" s="148">
        <f>COUNTIFS('2026 Time Off Request'!$A:$A,'Sept 2026'!$D10,'2026 Time Off Request'!$L:$L,'Sept 2026'!AD$6)</f>
        <v>0</v>
      </c>
      <c r="AE10" s="147">
        <f>COUNTIFS('2026 Time Off Request'!$A:$A,'Sept 2026'!$D10,'2026 Time Off Request'!$L:$L,'Sept 2026'!AE$6)</f>
        <v>0</v>
      </c>
      <c r="AF10" s="147">
        <f>COUNTIFS('2026 Time Off Request'!$A:$A,'Sept 2026'!$D10,'2026 Time Off Request'!$L:$L,'Sept 2026'!AF$6)</f>
        <v>0</v>
      </c>
      <c r="AG10" s="148">
        <f>COUNTIFS('2026 Time Off Request'!$A:$A,'Sept 2026'!$D10,'2026 Time Off Request'!$L:$L,'Sept 2026'!AG$6)</f>
        <v>0</v>
      </c>
      <c r="AH10" s="148">
        <f>COUNTIFS('2026 Time Off Request'!$A:$A,'Sept 2026'!$D10,'2026 Time Off Request'!$L:$L,'Sept 2026'!AH$6)</f>
        <v>0</v>
      </c>
      <c r="AI10" s="148">
        <f>COUNTIFS('2026 Time Off Request'!$A:$A,'Sept 2026'!$D10,'2026 Time Off Request'!$L:$L,'Sept 2026'!AI$6)</f>
        <v>0</v>
      </c>
    </row>
    <row r="11" spans="1:38" ht="15.75">
      <c r="A11" s="2">
        <v>4</v>
      </c>
      <c r="B11" s="209" t="s">
        <v>25</v>
      </c>
      <c r="C11" s="210" t="s">
        <v>32</v>
      </c>
      <c r="D11" s="215" t="s">
        <v>33</v>
      </c>
      <c r="E11" s="212">
        <f t="shared" si="2"/>
        <v>0</v>
      </c>
      <c r="F11" s="223">
        <f>COUNTIFS('2026 Time Off Request'!$A:$A,'Sept 2026'!$D11,'2026 Time Off Request'!$L:$L,'Sept 2026'!F$6)</f>
        <v>0</v>
      </c>
      <c r="G11" s="148">
        <f>COUNTIFS('2026 Time Off Request'!$A:$A,'Sept 2026'!$D11,'2026 Time Off Request'!$L:$L,'Sept 2026'!G$6)</f>
        <v>0</v>
      </c>
      <c r="H11" s="148">
        <f>COUNTIFS('2026 Time Off Request'!$A:$A,'Sept 2026'!$D11,'2026 Time Off Request'!$L:$L,'Sept 2026'!H$6)</f>
        <v>0</v>
      </c>
      <c r="I11" s="148">
        <f>COUNTIFS('2026 Time Off Request'!$A:$A,'Sept 2026'!$D11,'2026 Time Off Request'!$L:$L,'Sept 2026'!I$6)</f>
        <v>0</v>
      </c>
      <c r="J11" s="147">
        <f>COUNTIFS('2026 Time Off Request'!$A:$A,'Sept 2026'!$D11,'2026 Time Off Request'!$L:$L,'Sept 2026'!J$6)</f>
        <v>0</v>
      </c>
      <c r="K11" s="147">
        <f>COUNTIFS('2026 Time Off Request'!$A:$A,'Sept 2026'!$D11,'2026 Time Off Request'!$L:$L,'Sept 2026'!K$6)</f>
        <v>0</v>
      </c>
      <c r="L11" s="224">
        <f>COUNTIFS('2026 Time Off Request'!$A:$A,'Sept 2026'!$D11,'2026 Time Off Request'!$L:$L,'Sept 2026'!L$6)</f>
        <v>0</v>
      </c>
      <c r="M11" s="148">
        <f>COUNTIFS('2026 Time Off Request'!$A:$A,'Sept 2026'!$D11,'2026 Time Off Request'!$L:$L,'Sept 2026'!M$6)</f>
        <v>0</v>
      </c>
      <c r="N11" s="148">
        <f>COUNTIFS('2026 Time Off Request'!$A:$A,'Sept 2026'!$D11,'2026 Time Off Request'!$L:$L,'Sept 2026'!N$6)</f>
        <v>0</v>
      </c>
      <c r="O11" s="148">
        <f>COUNTIFS('2026 Time Off Request'!$A:$A,'Sept 2026'!$D11,'2026 Time Off Request'!$L:$L,'Sept 2026'!O$6)</f>
        <v>0</v>
      </c>
      <c r="P11" s="148">
        <f>COUNTIFS('2026 Time Off Request'!$A:$A,'Sept 2026'!$D11,'2026 Time Off Request'!$L:$L,'Sept 2026'!P$6)</f>
        <v>0</v>
      </c>
      <c r="Q11" s="147">
        <f>COUNTIFS('2026 Time Off Request'!$A:$A,'Sept 2026'!$D11,'2026 Time Off Request'!$L:$L,'Sept 2026'!Q$6)</f>
        <v>0</v>
      </c>
      <c r="R11" s="147">
        <f>COUNTIFS('2026 Time Off Request'!$A:$A,'Sept 2026'!$D11,'2026 Time Off Request'!$L:$L,'Sept 2026'!R$6)</f>
        <v>0</v>
      </c>
      <c r="S11" s="148">
        <f>COUNTIFS('2026 Time Off Request'!$A:$A,'Sept 2026'!$D11,'2026 Time Off Request'!$L:$L,'Sept 2026'!S$6)</f>
        <v>0</v>
      </c>
      <c r="T11" s="148">
        <f>COUNTIFS('2026 Time Off Request'!$A:$A,'Sept 2026'!$D11,'2026 Time Off Request'!$L:$L,'Sept 2026'!T$6)</f>
        <v>0</v>
      </c>
      <c r="U11" s="148">
        <f>COUNTIFS('2026 Time Off Request'!$A:$A,'Sept 2026'!$D11,'2026 Time Off Request'!$L:$L,'Sept 2026'!U$6)</f>
        <v>0</v>
      </c>
      <c r="V11" s="148">
        <f>COUNTIFS('2026 Time Off Request'!$A:$A,'Sept 2026'!$D11,'2026 Time Off Request'!$L:$L,'Sept 2026'!V$6)</f>
        <v>0</v>
      </c>
      <c r="W11" s="148">
        <f>COUNTIFS('2026 Time Off Request'!$A:$A,'Sept 2026'!$D11,'2026 Time Off Request'!$L:$L,'Sept 2026'!W$6)</f>
        <v>0</v>
      </c>
      <c r="X11" s="147">
        <f>COUNTIFS('2026 Time Off Request'!$A:$A,'Sept 2026'!$D11,'2026 Time Off Request'!$L:$L,'Sept 2026'!X$6)</f>
        <v>0</v>
      </c>
      <c r="Y11" s="147">
        <f>COUNTIFS('2026 Time Off Request'!$A:$A,'Sept 2026'!$D11,'2026 Time Off Request'!$L:$L,'Sept 2026'!Y$6)</f>
        <v>0</v>
      </c>
      <c r="Z11" s="148">
        <f>COUNTIFS('2026 Time Off Request'!$A:$A,'Sept 2026'!$D11,'2026 Time Off Request'!$L:$L,'Sept 2026'!Z$6)</f>
        <v>0</v>
      </c>
      <c r="AA11" s="148">
        <f>COUNTIFS('2026 Time Off Request'!$A:$A,'Sept 2026'!$D11,'2026 Time Off Request'!$L:$L,'Sept 2026'!AA$6)</f>
        <v>0</v>
      </c>
      <c r="AB11" s="148">
        <f>COUNTIFS('2026 Time Off Request'!$A:$A,'Sept 2026'!$D11,'2026 Time Off Request'!$L:$L,'Sept 2026'!AB$6)</f>
        <v>0</v>
      </c>
      <c r="AC11" s="148">
        <f>COUNTIFS('2026 Time Off Request'!$A:$A,'Sept 2026'!$D11,'2026 Time Off Request'!$L:$L,'Sept 2026'!AC$6)</f>
        <v>0</v>
      </c>
      <c r="AD11" s="148">
        <f>COUNTIFS('2026 Time Off Request'!$A:$A,'Sept 2026'!$D11,'2026 Time Off Request'!$L:$L,'Sept 2026'!AD$6)</f>
        <v>0</v>
      </c>
      <c r="AE11" s="147">
        <f>COUNTIFS('2026 Time Off Request'!$A:$A,'Sept 2026'!$D11,'2026 Time Off Request'!$L:$L,'Sept 2026'!AE$6)</f>
        <v>0</v>
      </c>
      <c r="AF11" s="147">
        <f>COUNTIFS('2026 Time Off Request'!$A:$A,'Sept 2026'!$D11,'2026 Time Off Request'!$L:$L,'Sept 2026'!AF$6)</f>
        <v>0</v>
      </c>
      <c r="AG11" s="148">
        <f>COUNTIFS('2026 Time Off Request'!$A:$A,'Sept 2026'!$D11,'2026 Time Off Request'!$L:$L,'Sept 2026'!AG$6)</f>
        <v>0</v>
      </c>
      <c r="AH11" s="148">
        <f>COUNTIFS('2026 Time Off Request'!$A:$A,'Sept 2026'!$D11,'2026 Time Off Request'!$L:$L,'Sept 2026'!AH$6)</f>
        <v>0</v>
      </c>
      <c r="AI11" s="148">
        <f>COUNTIFS('2026 Time Off Request'!$A:$A,'Sept 2026'!$D11,'2026 Time Off Request'!$L:$L,'Sept 2026'!AI$6)</f>
        <v>0</v>
      </c>
    </row>
    <row r="12" spans="1:38" ht="15.75">
      <c r="A12" s="2">
        <v>5</v>
      </c>
      <c r="B12" s="209" t="s">
        <v>25</v>
      </c>
      <c r="C12" s="210" t="s">
        <v>34</v>
      </c>
      <c r="D12" s="215" t="s">
        <v>35</v>
      </c>
      <c r="E12" s="212">
        <f t="shared" si="2"/>
        <v>0</v>
      </c>
      <c r="F12" s="223">
        <f>COUNTIFS('2026 Time Off Request'!$A:$A,'Sept 2026'!$D12,'2026 Time Off Request'!$L:$L,'Sept 2026'!F$6)</f>
        <v>0</v>
      </c>
      <c r="G12" s="148">
        <f>COUNTIFS('2026 Time Off Request'!$A:$A,'Sept 2026'!$D12,'2026 Time Off Request'!$L:$L,'Sept 2026'!G$6)</f>
        <v>0</v>
      </c>
      <c r="H12" s="148">
        <f>COUNTIFS('2026 Time Off Request'!$A:$A,'Sept 2026'!$D12,'2026 Time Off Request'!$L:$L,'Sept 2026'!H$6)</f>
        <v>0</v>
      </c>
      <c r="I12" s="148">
        <f>COUNTIFS('2026 Time Off Request'!$A:$A,'Sept 2026'!$D12,'2026 Time Off Request'!$L:$L,'Sept 2026'!I$6)</f>
        <v>0</v>
      </c>
      <c r="J12" s="147">
        <f>COUNTIFS('2026 Time Off Request'!$A:$A,'Sept 2026'!$D12,'2026 Time Off Request'!$L:$L,'Sept 2026'!J$6)</f>
        <v>0</v>
      </c>
      <c r="K12" s="147">
        <f>COUNTIFS('2026 Time Off Request'!$A:$A,'Sept 2026'!$D12,'2026 Time Off Request'!$L:$L,'Sept 2026'!K$6)</f>
        <v>0</v>
      </c>
      <c r="L12" s="224">
        <f>COUNTIFS('2026 Time Off Request'!$A:$A,'Sept 2026'!$D12,'2026 Time Off Request'!$L:$L,'Sept 2026'!L$6)</f>
        <v>0</v>
      </c>
      <c r="M12" s="148">
        <f>COUNTIFS('2026 Time Off Request'!$A:$A,'Sept 2026'!$D12,'2026 Time Off Request'!$L:$L,'Sept 2026'!M$6)</f>
        <v>0</v>
      </c>
      <c r="N12" s="148">
        <f>COUNTIFS('2026 Time Off Request'!$A:$A,'Sept 2026'!$D12,'2026 Time Off Request'!$L:$L,'Sept 2026'!N$6)</f>
        <v>0</v>
      </c>
      <c r="O12" s="148">
        <f>COUNTIFS('2026 Time Off Request'!$A:$A,'Sept 2026'!$D12,'2026 Time Off Request'!$L:$L,'Sept 2026'!O$6)</f>
        <v>0</v>
      </c>
      <c r="P12" s="148">
        <f>COUNTIFS('2026 Time Off Request'!$A:$A,'Sept 2026'!$D12,'2026 Time Off Request'!$L:$L,'Sept 2026'!P$6)</f>
        <v>0</v>
      </c>
      <c r="Q12" s="147">
        <f>COUNTIFS('2026 Time Off Request'!$A:$A,'Sept 2026'!$D12,'2026 Time Off Request'!$L:$L,'Sept 2026'!Q$6)</f>
        <v>0</v>
      </c>
      <c r="R12" s="147">
        <f>COUNTIFS('2026 Time Off Request'!$A:$A,'Sept 2026'!$D12,'2026 Time Off Request'!$L:$L,'Sept 2026'!R$6)</f>
        <v>0</v>
      </c>
      <c r="S12" s="148">
        <f>COUNTIFS('2026 Time Off Request'!$A:$A,'Sept 2026'!$D12,'2026 Time Off Request'!$L:$L,'Sept 2026'!S$6)</f>
        <v>0</v>
      </c>
      <c r="T12" s="148">
        <f>COUNTIFS('2026 Time Off Request'!$A:$A,'Sept 2026'!$D12,'2026 Time Off Request'!$L:$L,'Sept 2026'!T$6)</f>
        <v>0</v>
      </c>
      <c r="U12" s="148">
        <f>COUNTIFS('2026 Time Off Request'!$A:$A,'Sept 2026'!$D12,'2026 Time Off Request'!$L:$L,'Sept 2026'!U$6)</f>
        <v>0</v>
      </c>
      <c r="V12" s="148">
        <f>COUNTIFS('2026 Time Off Request'!$A:$A,'Sept 2026'!$D12,'2026 Time Off Request'!$L:$L,'Sept 2026'!V$6)</f>
        <v>0</v>
      </c>
      <c r="W12" s="148">
        <f>COUNTIFS('2026 Time Off Request'!$A:$A,'Sept 2026'!$D12,'2026 Time Off Request'!$L:$L,'Sept 2026'!W$6)</f>
        <v>0</v>
      </c>
      <c r="X12" s="147">
        <f>COUNTIFS('2026 Time Off Request'!$A:$A,'Sept 2026'!$D12,'2026 Time Off Request'!$L:$L,'Sept 2026'!X$6)</f>
        <v>0</v>
      </c>
      <c r="Y12" s="147">
        <f>COUNTIFS('2026 Time Off Request'!$A:$A,'Sept 2026'!$D12,'2026 Time Off Request'!$L:$L,'Sept 2026'!Y$6)</f>
        <v>0</v>
      </c>
      <c r="Z12" s="148">
        <f>COUNTIFS('2026 Time Off Request'!$A:$A,'Sept 2026'!$D12,'2026 Time Off Request'!$L:$L,'Sept 2026'!Z$6)</f>
        <v>0</v>
      </c>
      <c r="AA12" s="148">
        <f>COUNTIFS('2026 Time Off Request'!$A:$A,'Sept 2026'!$D12,'2026 Time Off Request'!$L:$L,'Sept 2026'!AA$6)</f>
        <v>0</v>
      </c>
      <c r="AB12" s="148">
        <f>COUNTIFS('2026 Time Off Request'!$A:$A,'Sept 2026'!$D12,'2026 Time Off Request'!$L:$L,'Sept 2026'!AB$6)</f>
        <v>0</v>
      </c>
      <c r="AC12" s="148">
        <f>COUNTIFS('2026 Time Off Request'!$A:$A,'Sept 2026'!$D12,'2026 Time Off Request'!$L:$L,'Sept 2026'!AC$6)</f>
        <v>0</v>
      </c>
      <c r="AD12" s="148">
        <f>COUNTIFS('2026 Time Off Request'!$A:$A,'Sept 2026'!$D12,'2026 Time Off Request'!$L:$L,'Sept 2026'!AD$6)</f>
        <v>0</v>
      </c>
      <c r="AE12" s="147">
        <f>COUNTIFS('2026 Time Off Request'!$A:$A,'Sept 2026'!$D12,'2026 Time Off Request'!$L:$L,'Sept 2026'!AE$6)</f>
        <v>0</v>
      </c>
      <c r="AF12" s="147">
        <f>COUNTIFS('2026 Time Off Request'!$A:$A,'Sept 2026'!$D12,'2026 Time Off Request'!$L:$L,'Sept 2026'!AF$6)</f>
        <v>0</v>
      </c>
      <c r="AG12" s="148">
        <f>COUNTIFS('2026 Time Off Request'!$A:$A,'Sept 2026'!$D12,'2026 Time Off Request'!$L:$L,'Sept 2026'!AG$6)</f>
        <v>0</v>
      </c>
      <c r="AH12" s="148">
        <f>COUNTIFS('2026 Time Off Request'!$A:$A,'Sept 2026'!$D12,'2026 Time Off Request'!$L:$L,'Sept 2026'!AH$6)</f>
        <v>0</v>
      </c>
      <c r="AI12" s="148">
        <f>COUNTIFS('2026 Time Off Request'!$A:$A,'Sept 2026'!$D12,'2026 Time Off Request'!$L:$L,'Sept 2026'!AI$6)</f>
        <v>0</v>
      </c>
    </row>
    <row r="13" spans="1:38" ht="15.75">
      <c r="A13" s="2">
        <v>7</v>
      </c>
      <c r="B13" s="209" t="s">
        <v>36</v>
      </c>
      <c r="C13" s="210" t="s">
        <v>37</v>
      </c>
      <c r="D13" s="215" t="s">
        <v>38</v>
      </c>
      <c r="E13" s="212">
        <f t="shared" si="2"/>
        <v>0</v>
      </c>
      <c r="F13" s="223">
        <f>COUNTIFS('2026 Time Off Request'!$A:$A,'Sept 2026'!$D13,'2026 Time Off Request'!$L:$L,'Sept 2026'!F$6)</f>
        <v>0</v>
      </c>
      <c r="G13" s="148">
        <f>COUNTIFS('2026 Time Off Request'!$A:$A,'Sept 2026'!$D13,'2026 Time Off Request'!$L:$L,'Sept 2026'!G$6)</f>
        <v>0</v>
      </c>
      <c r="H13" s="148">
        <f>COUNTIFS('2026 Time Off Request'!$A:$A,'Sept 2026'!$D13,'2026 Time Off Request'!$L:$L,'Sept 2026'!H$6)</f>
        <v>0</v>
      </c>
      <c r="I13" s="148">
        <f>COUNTIFS('2026 Time Off Request'!$A:$A,'Sept 2026'!$D13,'2026 Time Off Request'!$L:$L,'Sept 2026'!I$6)</f>
        <v>0</v>
      </c>
      <c r="J13" s="147">
        <f>COUNTIFS('2026 Time Off Request'!$A:$A,'Sept 2026'!$D13,'2026 Time Off Request'!$L:$L,'Sept 2026'!J$6)</f>
        <v>0</v>
      </c>
      <c r="K13" s="147">
        <f>COUNTIFS('2026 Time Off Request'!$A:$A,'Sept 2026'!$D13,'2026 Time Off Request'!$L:$L,'Sept 2026'!K$6)</f>
        <v>0</v>
      </c>
      <c r="L13" s="224">
        <f>COUNTIFS('2026 Time Off Request'!$A:$A,'Sept 2026'!$D13,'2026 Time Off Request'!$L:$L,'Sept 2026'!L$6)</f>
        <v>0</v>
      </c>
      <c r="M13" s="148">
        <f>COUNTIFS('2026 Time Off Request'!$A:$A,'Sept 2026'!$D13,'2026 Time Off Request'!$L:$L,'Sept 2026'!M$6)</f>
        <v>0</v>
      </c>
      <c r="N13" s="148">
        <f>COUNTIFS('2026 Time Off Request'!$A:$A,'Sept 2026'!$D13,'2026 Time Off Request'!$L:$L,'Sept 2026'!N$6)</f>
        <v>0</v>
      </c>
      <c r="O13" s="148">
        <f>COUNTIFS('2026 Time Off Request'!$A:$A,'Sept 2026'!$D13,'2026 Time Off Request'!$L:$L,'Sept 2026'!O$6)</f>
        <v>0</v>
      </c>
      <c r="P13" s="148">
        <f>COUNTIFS('2026 Time Off Request'!$A:$A,'Sept 2026'!$D13,'2026 Time Off Request'!$L:$L,'Sept 2026'!P$6)</f>
        <v>0</v>
      </c>
      <c r="Q13" s="147">
        <f>COUNTIFS('2026 Time Off Request'!$A:$A,'Sept 2026'!$D13,'2026 Time Off Request'!$L:$L,'Sept 2026'!Q$6)</f>
        <v>0</v>
      </c>
      <c r="R13" s="147">
        <f>COUNTIFS('2026 Time Off Request'!$A:$A,'Sept 2026'!$D13,'2026 Time Off Request'!$L:$L,'Sept 2026'!R$6)</f>
        <v>0</v>
      </c>
      <c r="S13" s="148">
        <f>COUNTIFS('2026 Time Off Request'!$A:$A,'Sept 2026'!$D13,'2026 Time Off Request'!$L:$L,'Sept 2026'!S$6)</f>
        <v>0</v>
      </c>
      <c r="T13" s="148">
        <f>COUNTIFS('2026 Time Off Request'!$A:$A,'Sept 2026'!$D13,'2026 Time Off Request'!$L:$L,'Sept 2026'!T$6)</f>
        <v>0</v>
      </c>
      <c r="U13" s="148">
        <f>COUNTIFS('2026 Time Off Request'!$A:$A,'Sept 2026'!$D13,'2026 Time Off Request'!$L:$L,'Sept 2026'!U$6)</f>
        <v>0</v>
      </c>
      <c r="V13" s="148">
        <f>COUNTIFS('2026 Time Off Request'!$A:$A,'Sept 2026'!$D13,'2026 Time Off Request'!$L:$L,'Sept 2026'!V$6)</f>
        <v>0</v>
      </c>
      <c r="W13" s="148">
        <f>COUNTIFS('2026 Time Off Request'!$A:$A,'Sept 2026'!$D13,'2026 Time Off Request'!$L:$L,'Sept 2026'!W$6)</f>
        <v>0</v>
      </c>
      <c r="X13" s="147">
        <f>COUNTIFS('2026 Time Off Request'!$A:$A,'Sept 2026'!$D13,'2026 Time Off Request'!$L:$L,'Sept 2026'!X$6)</f>
        <v>0</v>
      </c>
      <c r="Y13" s="147">
        <f>COUNTIFS('2026 Time Off Request'!$A:$A,'Sept 2026'!$D13,'2026 Time Off Request'!$L:$L,'Sept 2026'!Y$6)</f>
        <v>0</v>
      </c>
      <c r="Z13" s="148">
        <f>COUNTIFS('2026 Time Off Request'!$A:$A,'Sept 2026'!$D13,'2026 Time Off Request'!$L:$L,'Sept 2026'!Z$6)</f>
        <v>0</v>
      </c>
      <c r="AA13" s="148">
        <f>COUNTIFS('2026 Time Off Request'!$A:$A,'Sept 2026'!$D13,'2026 Time Off Request'!$L:$L,'Sept 2026'!AA$6)</f>
        <v>0</v>
      </c>
      <c r="AB13" s="148">
        <f>COUNTIFS('2026 Time Off Request'!$A:$A,'Sept 2026'!$D13,'2026 Time Off Request'!$L:$L,'Sept 2026'!AB$6)</f>
        <v>0</v>
      </c>
      <c r="AC13" s="148">
        <f>COUNTIFS('2026 Time Off Request'!$A:$A,'Sept 2026'!$D13,'2026 Time Off Request'!$L:$L,'Sept 2026'!AC$6)</f>
        <v>0</v>
      </c>
      <c r="AD13" s="148">
        <f>COUNTIFS('2026 Time Off Request'!$A:$A,'Sept 2026'!$D13,'2026 Time Off Request'!$L:$L,'Sept 2026'!AD$6)</f>
        <v>0</v>
      </c>
      <c r="AE13" s="147">
        <f>COUNTIFS('2026 Time Off Request'!$A:$A,'Sept 2026'!$D13,'2026 Time Off Request'!$L:$L,'Sept 2026'!AE$6)</f>
        <v>0</v>
      </c>
      <c r="AF13" s="147">
        <f>COUNTIFS('2026 Time Off Request'!$A:$A,'Sept 2026'!$D13,'2026 Time Off Request'!$L:$L,'Sept 2026'!AF$6)</f>
        <v>0</v>
      </c>
      <c r="AG13" s="148">
        <f>COUNTIFS('2026 Time Off Request'!$A:$A,'Sept 2026'!$D13,'2026 Time Off Request'!$L:$L,'Sept 2026'!AG$6)</f>
        <v>0</v>
      </c>
      <c r="AH13" s="148">
        <f>COUNTIFS('2026 Time Off Request'!$A:$A,'Sept 2026'!$D13,'2026 Time Off Request'!$L:$L,'Sept 2026'!AH$6)</f>
        <v>0</v>
      </c>
      <c r="AI13" s="148">
        <f>COUNTIFS('2026 Time Off Request'!$A:$A,'Sept 2026'!$D13,'2026 Time Off Request'!$L:$L,'Sept 2026'!AI$6)</f>
        <v>0</v>
      </c>
    </row>
    <row r="14" spans="1:38" ht="15.75">
      <c r="A14" s="2">
        <v>8</v>
      </c>
      <c r="B14" s="209" t="s">
        <v>36</v>
      </c>
      <c r="C14" s="210" t="s">
        <v>37</v>
      </c>
      <c r="D14" s="215" t="s">
        <v>39</v>
      </c>
      <c r="E14" s="212">
        <f t="shared" si="2"/>
        <v>0</v>
      </c>
      <c r="F14" s="223">
        <f>COUNTIFS('2026 Time Off Request'!$A:$A,'Sept 2026'!$D14,'2026 Time Off Request'!$L:$L,'Sept 2026'!F$6)</f>
        <v>0</v>
      </c>
      <c r="G14" s="148">
        <f>COUNTIFS('2026 Time Off Request'!$A:$A,'Sept 2026'!$D14,'2026 Time Off Request'!$L:$L,'Sept 2026'!G$6)</f>
        <v>0</v>
      </c>
      <c r="H14" s="148">
        <f>COUNTIFS('2026 Time Off Request'!$A:$A,'Sept 2026'!$D14,'2026 Time Off Request'!$L:$L,'Sept 2026'!H$6)</f>
        <v>0</v>
      </c>
      <c r="I14" s="148">
        <f>COUNTIFS('2026 Time Off Request'!$A:$A,'Sept 2026'!$D14,'2026 Time Off Request'!$L:$L,'Sept 2026'!I$6)</f>
        <v>0</v>
      </c>
      <c r="J14" s="147">
        <f>COUNTIFS('2026 Time Off Request'!$A:$A,'Sept 2026'!$D14,'2026 Time Off Request'!$L:$L,'Sept 2026'!J$6)</f>
        <v>0</v>
      </c>
      <c r="K14" s="147">
        <f>COUNTIFS('2026 Time Off Request'!$A:$A,'Sept 2026'!$D14,'2026 Time Off Request'!$L:$L,'Sept 2026'!K$6)</f>
        <v>0</v>
      </c>
      <c r="L14" s="224">
        <f>COUNTIFS('2026 Time Off Request'!$A:$A,'Sept 2026'!$D14,'2026 Time Off Request'!$L:$L,'Sept 2026'!L$6)</f>
        <v>0</v>
      </c>
      <c r="M14" s="148">
        <f>COUNTIFS('2026 Time Off Request'!$A:$A,'Sept 2026'!$D14,'2026 Time Off Request'!$L:$L,'Sept 2026'!M$6)</f>
        <v>0</v>
      </c>
      <c r="N14" s="148">
        <f>COUNTIFS('2026 Time Off Request'!$A:$A,'Sept 2026'!$D14,'2026 Time Off Request'!$L:$L,'Sept 2026'!N$6)</f>
        <v>0</v>
      </c>
      <c r="O14" s="148">
        <f>COUNTIFS('2026 Time Off Request'!$A:$A,'Sept 2026'!$D14,'2026 Time Off Request'!$L:$L,'Sept 2026'!O$6)</f>
        <v>0</v>
      </c>
      <c r="P14" s="148">
        <f>COUNTIFS('2026 Time Off Request'!$A:$A,'Sept 2026'!$D14,'2026 Time Off Request'!$L:$L,'Sept 2026'!P$6)</f>
        <v>0</v>
      </c>
      <c r="Q14" s="147">
        <f>COUNTIFS('2026 Time Off Request'!$A:$A,'Sept 2026'!$D14,'2026 Time Off Request'!$L:$L,'Sept 2026'!Q$6)</f>
        <v>0</v>
      </c>
      <c r="R14" s="147">
        <f>COUNTIFS('2026 Time Off Request'!$A:$A,'Sept 2026'!$D14,'2026 Time Off Request'!$L:$L,'Sept 2026'!R$6)</f>
        <v>0</v>
      </c>
      <c r="S14" s="148">
        <f>COUNTIFS('2026 Time Off Request'!$A:$A,'Sept 2026'!$D14,'2026 Time Off Request'!$L:$L,'Sept 2026'!S$6)</f>
        <v>0</v>
      </c>
      <c r="T14" s="148">
        <f>COUNTIFS('2026 Time Off Request'!$A:$A,'Sept 2026'!$D14,'2026 Time Off Request'!$L:$L,'Sept 2026'!T$6)</f>
        <v>0</v>
      </c>
      <c r="U14" s="148">
        <f>COUNTIFS('2026 Time Off Request'!$A:$A,'Sept 2026'!$D14,'2026 Time Off Request'!$L:$L,'Sept 2026'!U$6)</f>
        <v>0</v>
      </c>
      <c r="V14" s="148">
        <f>COUNTIFS('2026 Time Off Request'!$A:$A,'Sept 2026'!$D14,'2026 Time Off Request'!$L:$L,'Sept 2026'!V$6)</f>
        <v>0</v>
      </c>
      <c r="W14" s="148">
        <f>COUNTIFS('2026 Time Off Request'!$A:$A,'Sept 2026'!$D14,'2026 Time Off Request'!$L:$L,'Sept 2026'!W$6)</f>
        <v>0</v>
      </c>
      <c r="X14" s="147">
        <f>COUNTIFS('2026 Time Off Request'!$A:$A,'Sept 2026'!$D14,'2026 Time Off Request'!$L:$L,'Sept 2026'!X$6)</f>
        <v>0</v>
      </c>
      <c r="Y14" s="147">
        <f>COUNTIFS('2026 Time Off Request'!$A:$A,'Sept 2026'!$D14,'2026 Time Off Request'!$L:$L,'Sept 2026'!Y$6)</f>
        <v>0</v>
      </c>
      <c r="Z14" s="148">
        <f>COUNTIFS('2026 Time Off Request'!$A:$A,'Sept 2026'!$D14,'2026 Time Off Request'!$L:$L,'Sept 2026'!Z$6)</f>
        <v>0</v>
      </c>
      <c r="AA14" s="148">
        <f>COUNTIFS('2026 Time Off Request'!$A:$A,'Sept 2026'!$D14,'2026 Time Off Request'!$L:$L,'Sept 2026'!AA$6)</f>
        <v>0</v>
      </c>
      <c r="AB14" s="148">
        <f>COUNTIFS('2026 Time Off Request'!$A:$A,'Sept 2026'!$D14,'2026 Time Off Request'!$L:$L,'Sept 2026'!AB$6)</f>
        <v>0</v>
      </c>
      <c r="AC14" s="148">
        <f>COUNTIFS('2026 Time Off Request'!$A:$A,'Sept 2026'!$D14,'2026 Time Off Request'!$L:$L,'Sept 2026'!AC$6)</f>
        <v>0</v>
      </c>
      <c r="AD14" s="148">
        <f>COUNTIFS('2026 Time Off Request'!$A:$A,'Sept 2026'!$D14,'2026 Time Off Request'!$L:$L,'Sept 2026'!AD$6)</f>
        <v>0</v>
      </c>
      <c r="AE14" s="147">
        <f>COUNTIFS('2026 Time Off Request'!$A:$A,'Sept 2026'!$D14,'2026 Time Off Request'!$L:$L,'Sept 2026'!AE$6)</f>
        <v>0</v>
      </c>
      <c r="AF14" s="147">
        <f>COUNTIFS('2026 Time Off Request'!$A:$A,'Sept 2026'!$D14,'2026 Time Off Request'!$L:$L,'Sept 2026'!AF$6)</f>
        <v>0</v>
      </c>
      <c r="AG14" s="148">
        <f>COUNTIFS('2026 Time Off Request'!$A:$A,'Sept 2026'!$D14,'2026 Time Off Request'!$L:$L,'Sept 2026'!AG$6)</f>
        <v>0</v>
      </c>
      <c r="AH14" s="148">
        <f>COUNTIFS('2026 Time Off Request'!$A:$A,'Sept 2026'!$D14,'2026 Time Off Request'!$L:$L,'Sept 2026'!AH$6)</f>
        <v>0</v>
      </c>
      <c r="AI14" s="148">
        <f>COUNTIFS('2026 Time Off Request'!$A:$A,'Sept 2026'!$D14,'2026 Time Off Request'!$L:$L,'Sept 2026'!AI$6)</f>
        <v>0</v>
      </c>
    </row>
    <row r="15" spans="1:38" ht="15.75">
      <c r="A15" s="2">
        <v>9</v>
      </c>
      <c r="B15" s="209" t="s">
        <v>36</v>
      </c>
      <c r="C15" s="210" t="s">
        <v>37</v>
      </c>
      <c r="D15" s="215" t="s">
        <v>40</v>
      </c>
      <c r="E15" s="212">
        <f t="shared" si="2"/>
        <v>0</v>
      </c>
      <c r="F15" s="223">
        <f>COUNTIFS('2026 Time Off Request'!$A:$A,'Sept 2026'!$D15,'2026 Time Off Request'!$L:$L,'Sept 2026'!F$6)</f>
        <v>0</v>
      </c>
      <c r="G15" s="148">
        <f>COUNTIFS('2026 Time Off Request'!$A:$A,'Sept 2026'!$D15,'2026 Time Off Request'!$L:$L,'Sept 2026'!G$6)</f>
        <v>0</v>
      </c>
      <c r="H15" s="148">
        <f>COUNTIFS('2026 Time Off Request'!$A:$A,'Sept 2026'!$D15,'2026 Time Off Request'!$L:$L,'Sept 2026'!H$6)</f>
        <v>0</v>
      </c>
      <c r="I15" s="148">
        <f>COUNTIFS('2026 Time Off Request'!$A:$A,'Sept 2026'!$D15,'2026 Time Off Request'!$L:$L,'Sept 2026'!I$6)</f>
        <v>0</v>
      </c>
      <c r="J15" s="147">
        <f>COUNTIFS('2026 Time Off Request'!$A:$A,'Sept 2026'!$D15,'2026 Time Off Request'!$L:$L,'Sept 2026'!J$6)</f>
        <v>0</v>
      </c>
      <c r="K15" s="147">
        <f>COUNTIFS('2026 Time Off Request'!$A:$A,'Sept 2026'!$D15,'2026 Time Off Request'!$L:$L,'Sept 2026'!K$6)</f>
        <v>0</v>
      </c>
      <c r="L15" s="224">
        <f>COUNTIFS('2026 Time Off Request'!$A:$A,'Sept 2026'!$D15,'2026 Time Off Request'!$L:$L,'Sept 2026'!L$6)</f>
        <v>0</v>
      </c>
      <c r="M15" s="148">
        <f>COUNTIFS('2026 Time Off Request'!$A:$A,'Sept 2026'!$D15,'2026 Time Off Request'!$L:$L,'Sept 2026'!M$6)</f>
        <v>0</v>
      </c>
      <c r="N15" s="148">
        <f>COUNTIFS('2026 Time Off Request'!$A:$A,'Sept 2026'!$D15,'2026 Time Off Request'!$L:$L,'Sept 2026'!N$6)</f>
        <v>0</v>
      </c>
      <c r="O15" s="148">
        <f>COUNTIFS('2026 Time Off Request'!$A:$A,'Sept 2026'!$D15,'2026 Time Off Request'!$L:$L,'Sept 2026'!O$6)</f>
        <v>0</v>
      </c>
      <c r="P15" s="148">
        <f>COUNTIFS('2026 Time Off Request'!$A:$A,'Sept 2026'!$D15,'2026 Time Off Request'!$L:$L,'Sept 2026'!P$6)</f>
        <v>0</v>
      </c>
      <c r="Q15" s="147">
        <f>COUNTIFS('2026 Time Off Request'!$A:$A,'Sept 2026'!$D15,'2026 Time Off Request'!$L:$L,'Sept 2026'!Q$6)</f>
        <v>0</v>
      </c>
      <c r="R15" s="147">
        <f>COUNTIFS('2026 Time Off Request'!$A:$A,'Sept 2026'!$D15,'2026 Time Off Request'!$L:$L,'Sept 2026'!R$6)</f>
        <v>0</v>
      </c>
      <c r="S15" s="148">
        <f>COUNTIFS('2026 Time Off Request'!$A:$A,'Sept 2026'!$D15,'2026 Time Off Request'!$L:$L,'Sept 2026'!S$6)</f>
        <v>0</v>
      </c>
      <c r="T15" s="148">
        <f>COUNTIFS('2026 Time Off Request'!$A:$A,'Sept 2026'!$D15,'2026 Time Off Request'!$L:$L,'Sept 2026'!T$6)</f>
        <v>0</v>
      </c>
      <c r="U15" s="148">
        <f>COUNTIFS('2026 Time Off Request'!$A:$A,'Sept 2026'!$D15,'2026 Time Off Request'!$L:$L,'Sept 2026'!U$6)</f>
        <v>0</v>
      </c>
      <c r="V15" s="148">
        <f>COUNTIFS('2026 Time Off Request'!$A:$A,'Sept 2026'!$D15,'2026 Time Off Request'!$L:$L,'Sept 2026'!V$6)</f>
        <v>0</v>
      </c>
      <c r="W15" s="148">
        <f>COUNTIFS('2026 Time Off Request'!$A:$A,'Sept 2026'!$D15,'2026 Time Off Request'!$L:$L,'Sept 2026'!W$6)</f>
        <v>0</v>
      </c>
      <c r="X15" s="147">
        <f>COUNTIFS('2026 Time Off Request'!$A:$A,'Sept 2026'!$D15,'2026 Time Off Request'!$L:$L,'Sept 2026'!X$6)</f>
        <v>0</v>
      </c>
      <c r="Y15" s="147">
        <f>COUNTIFS('2026 Time Off Request'!$A:$A,'Sept 2026'!$D15,'2026 Time Off Request'!$L:$L,'Sept 2026'!Y$6)</f>
        <v>0</v>
      </c>
      <c r="Z15" s="148">
        <f>COUNTIFS('2026 Time Off Request'!$A:$A,'Sept 2026'!$D15,'2026 Time Off Request'!$L:$L,'Sept 2026'!Z$6)</f>
        <v>0</v>
      </c>
      <c r="AA15" s="148">
        <f>COUNTIFS('2026 Time Off Request'!$A:$A,'Sept 2026'!$D15,'2026 Time Off Request'!$L:$L,'Sept 2026'!AA$6)</f>
        <v>0</v>
      </c>
      <c r="AB15" s="148">
        <f>COUNTIFS('2026 Time Off Request'!$A:$A,'Sept 2026'!$D15,'2026 Time Off Request'!$L:$L,'Sept 2026'!AB$6)</f>
        <v>0</v>
      </c>
      <c r="AC15" s="148">
        <f>COUNTIFS('2026 Time Off Request'!$A:$A,'Sept 2026'!$D15,'2026 Time Off Request'!$L:$L,'Sept 2026'!AC$6)</f>
        <v>0</v>
      </c>
      <c r="AD15" s="148">
        <f>COUNTIFS('2026 Time Off Request'!$A:$A,'Sept 2026'!$D15,'2026 Time Off Request'!$L:$L,'Sept 2026'!AD$6)</f>
        <v>0</v>
      </c>
      <c r="AE15" s="147">
        <f>COUNTIFS('2026 Time Off Request'!$A:$A,'Sept 2026'!$D15,'2026 Time Off Request'!$L:$L,'Sept 2026'!AE$6)</f>
        <v>0</v>
      </c>
      <c r="AF15" s="147">
        <f>COUNTIFS('2026 Time Off Request'!$A:$A,'Sept 2026'!$D15,'2026 Time Off Request'!$L:$L,'Sept 2026'!AF$6)</f>
        <v>0</v>
      </c>
      <c r="AG15" s="148">
        <f>COUNTIFS('2026 Time Off Request'!$A:$A,'Sept 2026'!$D15,'2026 Time Off Request'!$L:$L,'Sept 2026'!AG$6)</f>
        <v>0</v>
      </c>
      <c r="AH15" s="148">
        <f>COUNTIFS('2026 Time Off Request'!$A:$A,'Sept 2026'!$D15,'2026 Time Off Request'!$L:$L,'Sept 2026'!AH$6)</f>
        <v>0</v>
      </c>
      <c r="AI15" s="148">
        <f>COUNTIFS('2026 Time Off Request'!$A:$A,'Sept 2026'!$D15,'2026 Time Off Request'!$L:$L,'Sept 2026'!AI$6)</f>
        <v>0</v>
      </c>
    </row>
    <row r="16" spans="1:38" ht="15.75">
      <c r="A16" s="2">
        <v>10</v>
      </c>
      <c r="B16" s="209" t="s">
        <v>36</v>
      </c>
      <c r="C16" s="210" t="s">
        <v>37</v>
      </c>
      <c r="D16" s="215" t="s">
        <v>41</v>
      </c>
      <c r="E16" s="212">
        <f t="shared" si="2"/>
        <v>0</v>
      </c>
      <c r="F16" s="223">
        <f>COUNTIFS('2026 Time Off Request'!$A:$A,'Sept 2026'!$D16,'2026 Time Off Request'!$L:$L,'Sept 2026'!F$6)</f>
        <v>0</v>
      </c>
      <c r="G16" s="148">
        <f>COUNTIFS('2026 Time Off Request'!$A:$A,'Sept 2026'!$D16,'2026 Time Off Request'!$L:$L,'Sept 2026'!G$6)</f>
        <v>0</v>
      </c>
      <c r="H16" s="148">
        <f>COUNTIFS('2026 Time Off Request'!$A:$A,'Sept 2026'!$D16,'2026 Time Off Request'!$L:$L,'Sept 2026'!H$6)</f>
        <v>0</v>
      </c>
      <c r="I16" s="148">
        <f>COUNTIFS('2026 Time Off Request'!$A:$A,'Sept 2026'!$D16,'2026 Time Off Request'!$L:$L,'Sept 2026'!I$6)</f>
        <v>0</v>
      </c>
      <c r="J16" s="147">
        <f>COUNTIFS('2026 Time Off Request'!$A:$A,'Sept 2026'!$D16,'2026 Time Off Request'!$L:$L,'Sept 2026'!J$6)</f>
        <v>0</v>
      </c>
      <c r="K16" s="147">
        <f>COUNTIFS('2026 Time Off Request'!$A:$A,'Sept 2026'!$D16,'2026 Time Off Request'!$L:$L,'Sept 2026'!K$6)</f>
        <v>0</v>
      </c>
      <c r="L16" s="224">
        <f>COUNTIFS('2026 Time Off Request'!$A:$A,'Sept 2026'!$D16,'2026 Time Off Request'!$L:$L,'Sept 2026'!L$6)</f>
        <v>0</v>
      </c>
      <c r="M16" s="148">
        <f>COUNTIFS('2026 Time Off Request'!$A:$A,'Sept 2026'!$D16,'2026 Time Off Request'!$L:$L,'Sept 2026'!M$6)</f>
        <v>0</v>
      </c>
      <c r="N16" s="148">
        <f>COUNTIFS('2026 Time Off Request'!$A:$A,'Sept 2026'!$D16,'2026 Time Off Request'!$L:$L,'Sept 2026'!N$6)</f>
        <v>0</v>
      </c>
      <c r="O16" s="148">
        <f>COUNTIFS('2026 Time Off Request'!$A:$A,'Sept 2026'!$D16,'2026 Time Off Request'!$L:$L,'Sept 2026'!O$6)</f>
        <v>0</v>
      </c>
      <c r="P16" s="148">
        <f>COUNTIFS('2026 Time Off Request'!$A:$A,'Sept 2026'!$D16,'2026 Time Off Request'!$L:$L,'Sept 2026'!P$6)</f>
        <v>0</v>
      </c>
      <c r="Q16" s="147">
        <f>COUNTIFS('2026 Time Off Request'!$A:$A,'Sept 2026'!$D16,'2026 Time Off Request'!$L:$L,'Sept 2026'!Q$6)</f>
        <v>0</v>
      </c>
      <c r="R16" s="147">
        <f>COUNTIFS('2026 Time Off Request'!$A:$A,'Sept 2026'!$D16,'2026 Time Off Request'!$L:$L,'Sept 2026'!R$6)</f>
        <v>0</v>
      </c>
      <c r="S16" s="148">
        <f>COUNTIFS('2026 Time Off Request'!$A:$A,'Sept 2026'!$D16,'2026 Time Off Request'!$L:$L,'Sept 2026'!S$6)</f>
        <v>0</v>
      </c>
      <c r="T16" s="148">
        <f>COUNTIFS('2026 Time Off Request'!$A:$A,'Sept 2026'!$D16,'2026 Time Off Request'!$L:$L,'Sept 2026'!T$6)</f>
        <v>0</v>
      </c>
      <c r="U16" s="148">
        <f>COUNTIFS('2026 Time Off Request'!$A:$A,'Sept 2026'!$D16,'2026 Time Off Request'!$L:$L,'Sept 2026'!U$6)</f>
        <v>0</v>
      </c>
      <c r="V16" s="148">
        <f>COUNTIFS('2026 Time Off Request'!$A:$A,'Sept 2026'!$D16,'2026 Time Off Request'!$L:$L,'Sept 2026'!V$6)</f>
        <v>0</v>
      </c>
      <c r="W16" s="148">
        <f>COUNTIFS('2026 Time Off Request'!$A:$A,'Sept 2026'!$D16,'2026 Time Off Request'!$L:$L,'Sept 2026'!W$6)</f>
        <v>0</v>
      </c>
      <c r="X16" s="147">
        <f>COUNTIFS('2026 Time Off Request'!$A:$A,'Sept 2026'!$D16,'2026 Time Off Request'!$L:$L,'Sept 2026'!X$6)</f>
        <v>0</v>
      </c>
      <c r="Y16" s="147">
        <f>COUNTIFS('2026 Time Off Request'!$A:$A,'Sept 2026'!$D16,'2026 Time Off Request'!$L:$L,'Sept 2026'!Y$6)</f>
        <v>0</v>
      </c>
      <c r="Z16" s="148">
        <f>COUNTIFS('2026 Time Off Request'!$A:$A,'Sept 2026'!$D16,'2026 Time Off Request'!$L:$L,'Sept 2026'!Z$6)</f>
        <v>0</v>
      </c>
      <c r="AA16" s="148">
        <f>COUNTIFS('2026 Time Off Request'!$A:$A,'Sept 2026'!$D16,'2026 Time Off Request'!$L:$L,'Sept 2026'!AA$6)</f>
        <v>0</v>
      </c>
      <c r="AB16" s="148">
        <f>COUNTIFS('2026 Time Off Request'!$A:$A,'Sept 2026'!$D16,'2026 Time Off Request'!$L:$L,'Sept 2026'!AB$6)</f>
        <v>0</v>
      </c>
      <c r="AC16" s="148">
        <f>COUNTIFS('2026 Time Off Request'!$A:$A,'Sept 2026'!$D16,'2026 Time Off Request'!$L:$L,'Sept 2026'!AC$6)</f>
        <v>0</v>
      </c>
      <c r="AD16" s="148">
        <f>COUNTIFS('2026 Time Off Request'!$A:$A,'Sept 2026'!$D16,'2026 Time Off Request'!$L:$L,'Sept 2026'!AD$6)</f>
        <v>0</v>
      </c>
      <c r="AE16" s="147">
        <f>COUNTIFS('2026 Time Off Request'!$A:$A,'Sept 2026'!$D16,'2026 Time Off Request'!$L:$L,'Sept 2026'!AE$6)</f>
        <v>0</v>
      </c>
      <c r="AF16" s="147">
        <f>COUNTIFS('2026 Time Off Request'!$A:$A,'Sept 2026'!$D16,'2026 Time Off Request'!$L:$L,'Sept 2026'!AF$6)</f>
        <v>0</v>
      </c>
      <c r="AG16" s="148">
        <f>COUNTIFS('2026 Time Off Request'!$A:$A,'Sept 2026'!$D16,'2026 Time Off Request'!$L:$L,'Sept 2026'!AG$6)</f>
        <v>0</v>
      </c>
      <c r="AH16" s="148">
        <f>COUNTIFS('2026 Time Off Request'!$A:$A,'Sept 2026'!$D16,'2026 Time Off Request'!$L:$L,'Sept 2026'!AH$6)</f>
        <v>0</v>
      </c>
      <c r="AI16" s="148">
        <f>COUNTIFS('2026 Time Off Request'!$A:$A,'Sept 2026'!$D16,'2026 Time Off Request'!$L:$L,'Sept 2026'!AI$6)</f>
        <v>0</v>
      </c>
    </row>
    <row r="17" spans="1:35" ht="15.75">
      <c r="A17" s="2">
        <v>11</v>
      </c>
      <c r="B17" s="209" t="s">
        <v>36</v>
      </c>
      <c r="C17" s="210" t="s">
        <v>37</v>
      </c>
      <c r="D17" s="215" t="s">
        <v>42</v>
      </c>
      <c r="E17" s="212">
        <f t="shared" si="2"/>
        <v>0</v>
      </c>
      <c r="F17" s="223">
        <f>COUNTIFS('2026 Time Off Request'!$A:$A,'Sept 2026'!$D17,'2026 Time Off Request'!$L:$L,'Sept 2026'!F$6)</f>
        <v>0</v>
      </c>
      <c r="G17" s="148">
        <f>COUNTIFS('2026 Time Off Request'!$A:$A,'Sept 2026'!$D17,'2026 Time Off Request'!$L:$L,'Sept 2026'!G$6)</f>
        <v>0</v>
      </c>
      <c r="H17" s="148">
        <f>COUNTIFS('2026 Time Off Request'!$A:$A,'Sept 2026'!$D17,'2026 Time Off Request'!$L:$L,'Sept 2026'!H$6)</f>
        <v>0</v>
      </c>
      <c r="I17" s="148">
        <f>COUNTIFS('2026 Time Off Request'!$A:$A,'Sept 2026'!$D17,'2026 Time Off Request'!$L:$L,'Sept 2026'!I$6)</f>
        <v>0</v>
      </c>
      <c r="J17" s="147">
        <f>COUNTIFS('2026 Time Off Request'!$A:$A,'Sept 2026'!$D17,'2026 Time Off Request'!$L:$L,'Sept 2026'!J$6)</f>
        <v>0</v>
      </c>
      <c r="K17" s="147">
        <f>COUNTIFS('2026 Time Off Request'!$A:$A,'Sept 2026'!$D17,'2026 Time Off Request'!$L:$L,'Sept 2026'!K$6)</f>
        <v>0</v>
      </c>
      <c r="L17" s="224">
        <f>COUNTIFS('2026 Time Off Request'!$A:$A,'Sept 2026'!$D17,'2026 Time Off Request'!$L:$L,'Sept 2026'!L$6)</f>
        <v>0</v>
      </c>
      <c r="M17" s="148">
        <f>COUNTIFS('2026 Time Off Request'!$A:$A,'Sept 2026'!$D17,'2026 Time Off Request'!$L:$L,'Sept 2026'!M$6)</f>
        <v>0</v>
      </c>
      <c r="N17" s="148">
        <f>COUNTIFS('2026 Time Off Request'!$A:$A,'Sept 2026'!$D17,'2026 Time Off Request'!$L:$L,'Sept 2026'!N$6)</f>
        <v>0</v>
      </c>
      <c r="O17" s="148">
        <f>COUNTIFS('2026 Time Off Request'!$A:$A,'Sept 2026'!$D17,'2026 Time Off Request'!$L:$L,'Sept 2026'!O$6)</f>
        <v>0</v>
      </c>
      <c r="P17" s="148">
        <f>COUNTIFS('2026 Time Off Request'!$A:$A,'Sept 2026'!$D17,'2026 Time Off Request'!$L:$L,'Sept 2026'!P$6)</f>
        <v>0</v>
      </c>
      <c r="Q17" s="147">
        <f>COUNTIFS('2026 Time Off Request'!$A:$A,'Sept 2026'!$D17,'2026 Time Off Request'!$L:$L,'Sept 2026'!Q$6)</f>
        <v>0</v>
      </c>
      <c r="R17" s="147">
        <f>COUNTIFS('2026 Time Off Request'!$A:$A,'Sept 2026'!$D17,'2026 Time Off Request'!$L:$L,'Sept 2026'!R$6)</f>
        <v>0</v>
      </c>
      <c r="S17" s="148">
        <f>COUNTIFS('2026 Time Off Request'!$A:$A,'Sept 2026'!$D17,'2026 Time Off Request'!$L:$L,'Sept 2026'!S$6)</f>
        <v>0</v>
      </c>
      <c r="T17" s="148">
        <f>COUNTIFS('2026 Time Off Request'!$A:$A,'Sept 2026'!$D17,'2026 Time Off Request'!$L:$L,'Sept 2026'!T$6)</f>
        <v>0</v>
      </c>
      <c r="U17" s="148">
        <f>COUNTIFS('2026 Time Off Request'!$A:$A,'Sept 2026'!$D17,'2026 Time Off Request'!$L:$L,'Sept 2026'!U$6)</f>
        <v>0</v>
      </c>
      <c r="V17" s="148">
        <f>COUNTIFS('2026 Time Off Request'!$A:$A,'Sept 2026'!$D17,'2026 Time Off Request'!$L:$L,'Sept 2026'!V$6)</f>
        <v>0</v>
      </c>
      <c r="W17" s="148">
        <f>COUNTIFS('2026 Time Off Request'!$A:$A,'Sept 2026'!$D17,'2026 Time Off Request'!$L:$L,'Sept 2026'!W$6)</f>
        <v>0</v>
      </c>
      <c r="X17" s="147">
        <f>COUNTIFS('2026 Time Off Request'!$A:$A,'Sept 2026'!$D17,'2026 Time Off Request'!$L:$L,'Sept 2026'!X$6)</f>
        <v>0</v>
      </c>
      <c r="Y17" s="147">
        <f>COUNTIFS('2026 Time Off Request'!$A:$A,'Sept 2026'!$D17,'2026 Time Off Request'!$L:$L,'Sept 2026'!Y$6)</f>
        <v>0</v>
      </c>
      <c r="Z17" s="148">
        <f>COUNTIFS('2026 Time Off Request'!$A:$A,'Sept 2026'!$D17,'2026 Time Off Request'!$L:$L,'Sept 2026'!Z$6)</f>
        <v>0</v>
      </c>
      <c r="AA17" s="148">
        <f>COUNTIFS('2026 Time Off Request'!$A:$A,'Sept 2026'!$D17,'2026 Time Off Request'!$L:$L,'Sept 2026'!AA$6)</f>
        <v>0</v>
      </c>
      <c r="AB17" s="148">
        <f>COUNTIFS('2026 Time Off Request'!$A:$A,'Sept 2026'!$D17,'2026 Time Off Request'!$L:$L,'Sept 2026'!AB$6)</f>
        <v>0</v>
      </c>
      <c r="AC17" s="148">
        <f>COUNTIFS('2026 Time Off Request'!$A:$A,'Sept 2026'!$D17,'2026 Time Off Request'!$L:$L,'Sept 2026'!AC$6)</f>
        <v>0</v>
      </c>
      <c r="AD17" s="148">
        <f>COUNTIFS('2026 Time Off Request'!$A:$A,'Sept 2026'!$D17,'2026 Time Off Request'!$L:$L,'Sept 2026'!AD$6)</f>
        <v>0</v>
      </c>
      <c r="AE17" s="147">
        <f>COUNTIFS('2026 Time Off Request'!$A:$A,'Sept 2026'!$D17,'2026 Time Off Request'!$L:$L,'Sept 2026'!AE$6)</f>
        <v>0</v>
      </c>
      <c r="AF17" s="147">
        <f>COUNTIFS('2026 Time Off Request'!$A:$A,'Sept 2026'!$D17,'2026 Time Off Request'!$L:$L,'Sept 2026'!AF$6)</f>
        <v>0</v>
      </c>
      <c r="AG17" s="148">
        <f>COUNTIFS('2026 Time Off Request'!$A:$A,'Sept 2026'!$D17,'2026 Time Off Request'!$L:$L,'Sept 2026'!AG$6)</f>
        <v>0</v>
      </c>
      <c r="AH17" s="148">
        <f>COUNTIFS('2026 Time Off Request'!$A:$A,'Sept 2026'!$D17,'2026 Time Off Request'!$L:$L,'Sept 2026'!AH$6)</f>
        <v>0</v>
      </c>
      <c r="AI17" s="148">
        <f>COUNTIFS('2026 Time Off Request'!$A:$A,'Sept 2026'!$D17,'2026 Time Off Request'!$L:$L,'Sept 2026'!AI$6)</f>
        <v>0</v>
      </c>
    </row>
    <row r="18" spans="1:35" ht="15.75">
      <c r="A18" s="2">
        <v>12</v>
      </c>
      <c r="B18" s="209" t="s">
        <v>36</v>
      </c>
      <c r="C18" s="210" t="s">
        <v>37</v>
      </c>
      <c r="D18" s="215" t="s">
        <v>43</v>
      </c>
      <c r="E18" s="212">
        <f t="shared" si="2"/>
        <v>0</v>
      </c>
      <c r="F18" s="223">
        <f>COUNTIFS('2026 Time Off Request'!$A:$A,'Sept 2026'!$D18,'2026 Time Off Request'!$L:$L,'Sept 2026'!F$6)</f>
        <v>0</v>
      </c>
      <c r="G18" s="148">
        <f>COUNTIFS('2026 Time Off Request'!$A:$A,'Sept 2026'!$D18,'2026 Time Off Request'!$L:$L,'Sept 2026'!G$6)</f>
        <v>0</v>
      </c>
      <c r="H18" s="148">
        <f>COUNTIFS('2026 Time Off Request'!$A:$A,'Sept 2026'!$D18,'2026 Time Off Request'!$L:$L,'Sept 2026'!H$6)</f>
        <v>0</v>
      </c>
      <c r="I18" s="148">
        <f>COUNTIFS('2026 Time Off Request'!$A:$A,'Sept 2026'!$D18,'2026 Time Off Request'!$L:$L,'Sept 2026'!I$6)</f>
        <v>0</v>
      </c>
      <c r="J18" s="147">
        <f>COUNTIFS('2026 Time Off Request'!$A:$A,'Sept 2026'!$D18,'2026 Time Off Request'!$L:$L,'Sept 2026'!J$6)</f>
        <v>0</v>
      </c>
      <c r="K18" s="147">
        <f>COUNTIFS('2026 Time Off Request'!$A:$A,'Sept 2026'!$D18,'2026 Time Off Request'!$L:$L,'Sept 2026'!K$6)</f>
        <v>0</v>
      </c>
      <c r="L18" s="224">
        <f>COUNTIFS('2026 Time Off Request'!$A:$A,'Sept 2026'!$D18,'2026 Time Off Request'!$L:$L,'Sept 2026'!L$6)</f>
        <v>0</v>
      </c>
      <c r="M18" s="148">
        <f>COUNTIFS('2026 Time Off Request'!$A:$A,'Sept 2026'!$D18,'2026 Time Off Request'!$L:$L,'Sept 2026'!M$6)</f>
        <v>0</v>
      </c>
      <c r="N18" s="148">
        <f>COUNTIFS('2026 Time Off Request'!$A:$A,'Sept 2026'!$D18,'2026 Time Off Request'!$L:$L,'Sept 2026'!N$6)</f>
        <v>0</v>
      </c>
      <c r="O18" s="148">
        <f>COUNTIFS('2026 Time Off Request'!$A:$A,'Sept 2026'!$D18,'2026 Time Off Request'!$L:$L,'Sept 2026'!O$6)</f>
        <v>0</v>
      </c>
      <c r="P18" s="148">
        <f>COUNTIFS('2026 Time Off Request'!$A:$A,'Sept 2026'!$D18,'2026 Time Off Request'!$L:$L,'Sept 2026'!P$6)</f>
        <v>0</v>
      </c>
      <c r="Q18" s="147">
        <f>COUNTIFS('2026 Time Off Request'!$A:$A,'Sept 2026'!$D18,'2026 Time Off Request'!$L:$L,'Sept 2026'!Q$6)</f>
        <v>0</v>
      </c>
      <c r="R18" s="147">
        <f>COUNTIFS('2026 Time Off Request'!$A:$A,'Sept 2026'!$D18,'2026 Time Off Request'!$L:$L,'Sept 2026'!R$6)</f>
        <v>0</v>
      </c>
      <c r="S18" s="148">
        <f>COUNTIFS('2026 Time Off Request'!$A:$A,'Sept 2026'!$D18,'2026 Time Off Request'!$L:$L,'Sept 2026'!S$6)</f>
        <v>0</v>
      </c>
      <c r="T18" s="148">
        <f>COUNTIFS('2026 Time Off Request'!$A:$A,'Sept 2026'!$D18,'2026 Time Off Request'!$L:$L,'Sept 2026'!T$6)</f>
        <v>0</v>
      </c>
      <c r="U18" s="148">
        <f>COUNTIFS('2026 Time Off Request'!$A:$A,'Sept 2026'!$D18,'2026 Time Off Request'!$L:$L,'Sept 2026'!U$6)</f>
        <v>0</v>
      </c>
      <c r="V18" s="148">
        <f>COUNTIFS('2026 Time Off Request'!$A:$A,'Sept 2026'!$D18,'2026 Time Off Request'!$L:$L,'Sept 2026'!V$6)</f>
        <v>0</v>
      </c>
      <c r="W18" s="148">
        <f>COUNTIFS('2026 Time Off Request'!$A:$A,'Sept 2026'!$D18,'2026 Time Off Request'!$L:$L,'Sept 2026'!W$6)</f>
        <v>0</v>
      </c>
      <c r="X18" s="147">
        <f>COUNTIFS('2026 Time Off Request'!$A:$A,'Sept 2026'!$D18,'2026 Time Off Request'!$L:$L,'Sept 2026'!X$6)</f>
        <v>0</v>
      </c>
      <c r="Y18" s="147">
        <f>COUNTIFS('2026 Time Off Request'!$A:$A,'Sept 2026'!$D18,'2026 Time Off Request'!$L:$L,'Sept 2026'!Y$6)</f>
        <v>0</v>
      </c>
      <c r="Z18" s="148">
        <f>COUNTIFS('2026 Time Off Request'!$A:$A,'Sept 2026'!$D18,'2026 Time Off Request'!$L:$L,'Sept 2026'!Z$6)</f>
        <v>0</v>
      </c>
      <c r="AA18" s="148">
        <f>COUNTIFS('2026 Time Off Request'!$A:$A,'Sept 2026'!$D18,'2026 Time Off Request'!$L:$L,'Sept 2026'!AA$6)</f>
        <v>0</v>
      </c>
      <c r="AB18" s="148">
        <f>COUNTIFS('2026 Time Off Request'!$A:$A,'Sept 2026'!$D18,'2026 Time Off Request'!$L:$L,'Sept 2026'!AB$6)</f>
        <v>0</v>
      </c>
      <c r="AC18" s="148">
        <f>COUNTIFS('2026 Time Off Request'!$A:$A,'Sept 2026'!$D18,'2026 Time Off Request'!$L:$L,'Sept 2026'!AC$6)</f>
        <v>0</v>
      </c>
      <c r="AD18" s="148">
        <f>COUNTIFS('2026 Time Off Request'!$A:$A,'Sept 2026'!$D18,'2026 Time Off Request'!$L:$L,'Sept 2026'!AD$6)</f>
        <v>0</v>
      </c>
      <c r="AE18" s="147">
        <f>COUNTIFS('2026 Time Off Request'!$A:$A,'Sept 2026'!$D18,'2026 Time Off Request'!$L:$L,'Sept 2026'!AE$6)</f>
        <v>0</v>
      </c>
      <c r="AF18" s="147">
        <f>COUNTIFS('2026 Time Off Request'!$A:$A,'Sept 2026'!$D18,'2026 Time Off Request'!$L:$L,'Sept 2026'!AF$6)</f>
        <v>0</v>
      </c>
      <c r="AG18" s="148">
        <f>COUNTIFS('2026 Time Off Request'!$A:$A,'Sept 2026'!$D18,'2026 Time Off Request'!$L:$L,'Sept 2026'!AG$6)</f>
        <v>0</v>
      </c>
      <c r="AH18" s="148">
        <f>COUNTIFS('2026 Time Off Request'!$A:$A,'Sept 2026'!$D18,'2026 Time Off Request'!$L:$L,'Sept 2026'!AH$6)</f>
        <v>0</v>
      </c>
      <c r="AI18" s="148">
        <f>COUNTIFS('2026 Time Off Request'!$A:$A,'Sept 2026'!$D18,'2026 Time Off Request'!$L:$L,'Sept 2026'!AI$6)</f>
        <v>0</v>
      </c>
    </row>
    <row r="19" spans="1:35" ht="15.75">
      <c r="A19" s="2">
        <v>13</v>
      </c>
      <c r="B19" s="209" t="s">
        <v>36</v>
      </c>
      <c r="C19" s="210" t="s">
        <v>37</v>
      </c>
      <c r="D19" s="215" t="s">
        <v>44</v>
      </c>
      <c r="E19" s="212">
        <f t="shared" si="2"/>
        <v>0</v>
      </c>
      <c r="F19" s="223">
        <f>COUNTIFS('2026 Time Off Request'!$A:$A,'Sept 2026'!$D19,'2026 Time Off Request'!$L:$L,'Sept 2026'!F$6)</f>
        <v>0</v>
      </c>
      <c r="G19" s="148">
        <f>COUNTIFS('2026 Time Off Request'!$A:$A,'Sept 2026'!$D19,'2026 Time Off Request'!$L:$L,'Sept 2026'!G$6)</f>
        <v>0</v>
      </c>
      <c r="H19" s="148">
        <f>COUNTIFS('2026 Time Off Request'!$A:$A,'Sept 2026'!$D19,'2026 Time Off Request'!$L:$L,'Sept 2026'!H$6)</f>
        <v>0</v>
      </c>
      <c r="I19" s="148">
        <f>COUNTIFS('2026 Time Off Request'!$A:$A,'Sept 2026'!$D19,'2026 Time Off Request'!$L:$L,'Sept 2026'!I$6)</f>
        <v>0</v>
      </c>
      <c r="J19" s="147">
        <f>COUNTIFS('2026 Time Off Request'!$A:$A,'Sept 2026'!$D19,'2026 Time Off Request'!$L:$L,'Sept 2026'!J$6)</f>
        <v>0</v>
      </c>
      <c r="K19" s="147">
        <f>COUNTIFS('2026 Time Off Request'!$A:$A,'Sept 2026'!$D19,'2026 Time Off Request'!$L:$L,'Sept 2026'!K$6)</f>
        <v>0</v>
      </c>
      <c r="L19" s="224">
        <f>COUNTIFS('2026 Time Off Request'!$A:$A,'Sept 2026'!$D19,'2026 Time Off Request'!$L:$L,'Sept 2026'!L$6)</f>
        <v>0</v>
      </c>
      <c r="M19" s="148">
        <f>COUNTIFS('2026 Time Off Request'!$A:$A,'Sept 2026'!$D19,'2026 Time Off Request'!$L:$L,'Sept 2026'!M$6)</f>
        <v>0</v>
      </c>
      <c r="N19" s="148">
        <f>COUNTIFS('2026 Time Off Request'!$A:$A,'Sept 2026'!$D19,'2026 Time Off Request'!$L:$L,'Sept 2026'!N$6)</f>
        <v>0</v>
      </c>
      <c r="O19" s="148">
        <f>COUNTIFS('2026 Time Off Request'!$A:$A,'Sept 2026'!$D19,'2026 Time Off Request'!$L:$L,'Sept 2026'!O$6)</f>
        <v>0</v>
      </c>
      <c r="P19" s="148">
        <f>COUNTIFS('2026 Time Off Request'!$A:$A,'Sept 2026'!$D19,'2026 Time Off Request'!$L:$L,'Sept 2026'!P$6)</f>
        <v>0</v>
      </c>
      <c r="Q19" s="147">
        <f>COUNTIFS('2026 Time Off Request'!$A:$A,'Sept 2026'!$D19,'2026 Time Off Request'!$L:$L,'Sept 2026'!Q$6)</f>
        <v>0</v>
      </c>
      <c r="R19" s="147">
        <f>COUNTIFS('2026 Time Off Request'!$A:$A,'Sept 2026'!$D19,'2026 Time Off Request'!$L:$L,'Sept 2026'!R$6)</f>
        <v>0</v>
      </c>
      <c r="S19" s="148">
        <f>COUNTIFS('2026 Time Off Request'!$A:$A,'Sept 2026'!$D19,'2026 Time Off Request'!$L:$L,'Sept 2026'!S$6)</f>
        <v>0</v>
      </c>
      <c r="T19" s="148">
        <f>COUNTIFS('2026 Time Off Request'!$A:$A,'Sept 2026'!$D19,'2026 Time Off Request'!$L:$L,'Sept 2026'!T$6)</f>
        <v>0</v>
      </c>
      <c r="U19" s="148">
        <f>COUNTIFS('2026 Time Off Request'!$A:$A,'Sept 2026'!$D19,'2026 Time Off Request'!$L:$L,'Sept 2026'!U$6)</f>
        <v>0</v>
      </c>
      <c r="V19" s="148">
        <f>COUNTIFS('2026 Time Off Request'!$A:$A,'Sept 2026'!$D19,'2026 Time Off Request'!$L:$L,'Sept 2026'!V$6)</f>
        <v>0</v>
      </c>
      <c r="W19" s="148">
        <f>COUNTIFS('2026 Time Off Request'!$A:$A,'Sept 2026'!$D19,'2026 Time Off Request'!$L:$L,'Sept 2026'!W$6)</f>
        <v>0</v>
      </c>
      <c r="X19" s="147">
        <f>COUNTIFS('2026 Time Off Request'!$A:$A,'Sept 2026'!$D19,'2026 Time Off Request'!$L:$L,'Sept 2026'!X$6)</f>
        <v>0</v>
      </c>
      <c r="Y19" s="147">
        <f>COUNTIFS('2026 Time Off Request'!$A:$A,'Sept 2026'!$D19,'2026 Time Off Request'!$L:$L,'Sept 2026'!Y$6)</f>
        <v>0</v>
      </c>
      <c r="Z19" s="148">
        <f>COUNTIFS('2026 Time Off Request'!$A:$A,'Sept 2026'!$D19,'2026 Time Off Request'!$L:$L,'Sept 2026'!Z$6)</f>
        <v>0</v>
      </c>
      <c r="AA19" s="148">
        <f>COUNTIFS('2026 Time Off Request'!$A:$A,'Sept 2026'!$D19,'2026 Time Off Request'!$L:$L,'Sept 2026'!AA$6)</f>
        <v>0</v>
      </c>
      <c r="AB19" s="148">
        <f>COUNTIFS('2026 Time Off Request'!$A:$A,'Sept 2026'!$D19,'2026 Time Off Request'!$L:$L,'Sept 2026'!AB$6)</f>
        <v>0</v>
      </c>
      <c r="AC19" s="148">
        <f>COUNTIFS('2026 Time Off Request'!$A:$A,'Sept 2026'!$D19,'2026 Time Off Request'!$L:$L,'Sept 2026'!AC$6)</f>
        <v>0</v>
      </c>
      <c r="AD19" s="148">
        <f>COUNTIFS('2026 Time Off Request'!$A:$A,'Sept 2026'!$D19,'2026 Time Off Request'!$L:$L,'Sept 2026'!AD$6)</f>
        <v>0</v>
      </c>
      <c r="AE19" s="147">
        <f>COUNTIFS('2026 Time Off Request'!$A:$A,'Sept 2026'!$D19,'2026 Time Off Request'!$L:$L,'Sept 2026'!AE$6)</f>
        <v>0</v>
      </c>
      <c r="AF19" s="147">
        <f>COUNTIFS('2026 Time Off Request'!$A:$A,'Sept 2026'!$D19,'2026 Time Off Request'!$L:$L,'Sept 2026'!AF$6)</f>
        <v>0</v>
      </c>
      <c r="AG19" s="148">
        <f>COUNTIFS('2026 Time Off Request'!$A:$A,'Sept 2026'!$D19,'2026 Time Off Request'!$L:$L,'Sept 2026'!AG$6)</f>
        <v>0</v>
      </c>
      <c r="AH19" s="148">
        <f>COUNTIFS('2026 Time Off Request'!$A:$A,'Sept 2026'!$D19,'2026 Time Off Request'!$L:$L,'Sept 2026'!AH$6)</f>
        <v>0</v>
      </c>
      <c r="AI19" s="148">
        <f>COUNTIFS('2026 Time Off Request'!$A:$A,'Sept 2026'!$D19,'2026 Time Off Request'!$L:$L,'Sept 2026'!AI$6)</f>
        <v>0</v>
      </c>
    </row>
    <row r="20" spans="1:35" ht="15.75">
      <c r="A20" s="2">
        <v>14</v>
      </c>
      <c r="B20" s="209" t="s">
        <v>45</v>
      </c>
      <c r="C20" s="210" t="s">
        <v>37</v>
      </c>
      <c r="D20" s="215" t="s">
        <v>46</v>
      </c>
      <c r="E20" s="212">
        <f t="shared" si="2"/>
        <v>0</v>
      </c>
      <c r="F20" s="223">
        <f>COUNTIFS('2026 Time Off Request'!$A:$A,'Sept 2026'!$D20,'2026 Time Off Request'!$L:$L,'Sept 2026'!F$6)</f>
        <v>0</v>
      </c>
      <c r="G20" s="148">
        <f>COUNTIFS('2026 Time Off Request'!$A:$A,'Sept 2026'!$D20,'2026 Time Off Request'!$L:$L,'Sept 2026'!G$6)</f>
        <v>0</v>
      </c>
      <c r="H20" s="148">
        <f>COUNTIFS('2026 Time Off Request'!$A:$A,'Sept 2026'!$D20,'2026 Time Off Request'!$L:$L,'Sept 2026'!H$6)</f>
        <v>0</v>
      </c>
      <c r="I20" s="148">
        <f>COUNTIFS('2026 Time Off Request'!$A:$A,'Sept 2026'!$D20,'2026 Time Off Request'!$L:$L,'Sept 2026'!I$6)</f>
        <v>0</v>
      </c>
      <c r="J20" s="147">
        <f>COUNTIFS('2026 Time Off Request'!$A:$A,'Sept 2026'!$D20,'2026 Time Off Request'!$L:$L,'Sept 2026'!J$6)</f>
        <v>0</v>
      </c>
      <c r="K20" s="147">
        <f>COUNTIFS('2026 Time Off Request'!$A:$A,'Sept 2026'!$D20,'2026 Time Off Request'!$L:$L,'Sept 2026'!K$6)</f>
        <v>0</v>
      </c>
      <c r="L20" s="224">
        <f>COUNTIFS('2026 Time Off Request'!$A:$A,'Sept 2026'!$D20,'2026 Time Off Request'!$L:$L,'Sept 2026'!L$6)</f>
        <v>0</v>
      </c>
      <c r="M20" s="148">
        <f>COUNTIFS('2026 Time Off Request'!$A:$A,'Sept 2026'!$D20,'2026 Time Off Request'!$L:$L,'Sept 2026'!M$6)</f>
        <v>0</v>
      </c>
      <c r="N20" s="148">
        <f>COUNTIFS('2026 Time Off Request'!$A:$A,'Sept 2026'!$D20,'2026 Time Off Request'!$L:$L,'Sept 2026'!N$6)</f>
        <v>0</v>
      </c>
      <c r="O20" s="148">
        <f>COUNTIFS('2026 Time Off Request'!$A:$A,'Sept 2026'!$D20,'2026 Time Off Request'!$L:$L,'Sept 2026'!O$6)</f>
        <v>0</v>
      </c>
      <c r="P20" s="148">
        <f>COUNTIFS('2026 Time Off Request'!$A:$A,'Sept 2026'!$D20,'2026 Time Off Request'!$L:$L,'Sept 2026'!P$6)</f>
        <v>0</v>
      </c>
      <c r="Q20" s="147">
        <f>COUNTIFS('2026 Time Off Request'!$A:$A,'Sept 2026'!$D20,'2026 Time Off Request'!$L:$L,'Sept 2026'!Q$6)</f>
        <v>0</v>
      </c>
      <c r="R20" s="147">
        <f>COUNTIFS('2026 Time Off Request'!$A:$A,'Sept 2026'!$D20,'2026 Time Off Request'!$L:$L,'Sept 2026'!R$6)</f>
        <v>0</v>
      </c>
      <c r="S20" s="148">
        <f>COUNTIFS('2026 Time Off Request'!$A:$A,'Sept 2026'!$D20,'2026 Time Off Request'!$L:$L,'Sept 2026'!S$6)</f>
        <v>0</v>
      </c>
      <c r="T20" s="148">
        <f>COUNTIFS('2026 Time Off Request'!$A:$A,'Sept 2026'!$D20,'2026 Time Off Request'!$L:$L,'Sept 2026'!T$6)</f>
        <v>0</v>
      </c>
      <c r="U20" s="148">
        <f>COUNTIFS('2026 Time Off Request'!$A:$A,'Sept 2026'!$D20,'2026 Time Off Request'!$L:$L,'Sept 2026'!U$6)</f>
        <v>0</v>
      </c>
      <c r="V20" s="148">
        <f>COUNTIFS('2026 Time Off Request'!$A:$A,'Sept 2026'!$D20,'2026 Time Off Request'!$L:$L,'Sept 2026'!V$6)</f>
        <v>0</v>
      </c>
      <c r="W20" s="148">
        <f>COUNTIFS('2026 Time Off Request'!$A:$A,'Sept 2026'!$D20,'2026 Time Off Request'!$L:$L,'Sept 2026'!W$6)</f>
        <v>0</v>
      </c>
      <c r="X20" s="147">
        <f>COUNTIFS('2026 Time Off Request'!$A:$A,'Sept 2026'!$D20,'2026 Time Off Request'!$L:$L,'Sept 2026'!X$6)</f>
        <v>0</v>
      </c>
      <c r="Y20" s="147">
        <f>COUNTIFS('2026 Time Off Request'!$A:$A,'Sept 2026'!$D20,'2026 Time Off Request'!$L:$L,'Sept 2026'!Y$6)</f>
        <v>0</v>
      </c>
      <c r="Z20" s="148">
        <f>COUNTIFS('2026 Time Off Request'!$A:$A,'Sept 2026'!$D20,'2026 Time Off Request'!$L:$L,'Sept 2026'!Z$6)</f>
        <v>0</v>
      </c>
      <c r="AA20" s="148">
        <f>COUNTIFS('2026 Time Off Request'!$A:$A,'Sept 2026'!$D20,'2026 Time Off Request'!$L:$L,'Sept 2026'!AA$6)</f>
        <v>0</v>
      </c>
      <c r="AB20" s="148">
        <f>COUNTIFS('2026 Time Off Request'!$A:$A,'Sept 2026'!$D20,'2026 Time Off Request'!$L:$L,'Sept 2026'!AB$6)</f>
        <v>0</v>
      </c>
      <c r="AC20" s="148">
        <f>COUNTIFS('2026 Time Off Request'!$A:$A,'Sept 2026'!$D20,'2026 Time Off Request'!$L:$L,'Sept 2026'!AC$6)</f>
        <v>0</v>
      </c>
      <c r="AD20" s="148">
        <f>COUNTIFS('2026 Time Off Request'!$A:$A,'Sept 2026'!$D20,'2026 Time Off Request'!$L:$L,'Sept 2026'!AD$6)</f>
        <v>0</v>
      </c>
      <c r="AE20" s="147">
        <f>COUNTIFS('2026 Time Off Request'!$A:$A,'Sept 2026'!$D20,'2026 Time Off Request'!$L:$L,'Sept 2026'!AE$6)</f>
        <v>0</v>
      </c>
      <c r="AF20" s="147">
        <f>COUNTIFS('2026 Time Off Request'!$A:$A,'Sept 2026'!$D20,'2026 Time Off Request'!$L:$L,'Sept 2026'!AF$6)</f>
        <v>0</v>
      </c>
      <c r="AG20" s="148">
        <f>COUNTIFS('2026 Time Off Request'!$A:$A,'Sept 2026'!$D20,'2026 Time Off Request'!$L:$L,'Sept 2026'!AG$6)</f>
        <v>0</v>
      </c>
      <c r="AH20" s="148">
        <f>COUNTIFS('2026 Time Off Request'!$A:$A,'Sept 2026'!$D20,'2026 Time Off Request'!$L:$L,'Sept 2026'!AH$6)</f>
        <v>0</v>
      </c>
      <c r="AI20" s="148">
        <f>COUNTIFS('2026 Time Off Request'!$A:$A,'Sept 2026'!$D20,'2026 Time Off Request'!$L:$L,'Sept 2026'!AI$6)</f>
        <v>0</v>
      </c>
    </row>
    <row r="21" spans="1:35" ht="15.75">
      <c r="A21" s="2">
        <v>15</v>
      </c>
      <c r="B21" s="209" t="s">
        <v>45</v>
      </c>
      <c r="C21" s="210" t="s">
        <v>47</v>
      </c>
      <c r="D21" s="215" t="s">
        <v>48</v>
      </c>
      <c r="E21" s="212">
        <f t="shared" si="2"/>
        <v>0</v>
      </c>
      <c r="F21" s="223">
        <f>COUNTIFS('2026 Time Off Request'!$A:$A,'Sept 2026'!$D21,'2026 Time Off Request'!$L:$L,'Sept 2026'!F$6)</f>
        <v>0</v>
      </c>
      <c r="G21" s="148">
        <f>COUNTIFS('2026 Time Off Request'!$A:$A,'Sept 2026'!$D21,'2026 Time Off Request'!$L:$L,'Sept 2026'!G$6)</f>
        <v>0</v>
      </c>
      <c r="H21" s="148">
        <f>COUNTIFS('2026 Time Off Request'!$A:$A,'Sept 2026'!$D21,'2026 Time Off Request'!$L:$L,'Sept 2026'!H$6)</f>
        <v>0</v>
      </c>
      <c r="I21" s="148">
        <f>COUNTIFS('2026 Time Off Request'!$A:$A,'Sept 2026'!$D21,'2026 Time Off Request'!$L:$L,'Sept 2026'!I$6)</f>
        <v>0</v>
      </c>
      <c r="J21" s="147">
        <f>COUNTIFS('2026 Time Off Request'!$A:$A,'Sept 2026'!$D21,'2026 Time Off Request'!$L:$L,'Sept 2026'!J$6)</f>
        <v>0</v>
      </c>
      <c r="K21" s="147">
        <f>COUNTIFS('2026 Time Off Request'!$A:$A,'Sept 2026'!$D21,'2026 Time Off Request'!$L:$L,'Sept 2026'!K$6)</f>
        <v>0</v>
      </c>
      <c r="L21" s="224">
        <f>COUNTIFS('2026 Time Off Request'!$A:$A,'Sept 2026'!$D21,'2026 Time Off Request'!$L:$L,'Sept 2026'!L$6)</f>
        <v>0</v>
      </c>
      <c r="M21" s="148">
        <f>COUNTIFS('2026 Time Off Request'!$A:$A,'Sept 2026'!$D21,'2026 Time Off Request'!$L:$L,'Sept 2026'!M$6)</f>
        <v>0</v>
      </c>
      <c r="N21" s="148">
        <f>COUNTIFS('2026 Time Off Request'!$A:$A,'Sept 2026'!$D21,'2026 Time Off Request'!$L:$L,'Sept 2026'!N$6)</f>
        <v>0</v>
      </c>
      <c r="O21" s="148">
        <f>COUNTIFS('2026 Time Off Request'!$A:$A,'Sept 2026'!$D21,'2026 Time Off Request'!$L:$L,'Sept 2026'!O$6)</f>
        <v>0</v>
      </c>
      <c r="P21" s="148">
        <f>COUNTIFS('2026 Time Off Request'!$A:$A,'Sept 2026'!$D21,'2026 Time Off Request'!$L:$L,'Sept 2026'!P$6)</f>
        <v>0</v>
      </c>
      <c r="Q21" s="147">
        <f>COUNTIFS('2026 Time Off Request'!$A:$A,'Sept 2026'!$D21,'2026 Time Off Request'!$L:$L,'Sept 2026'!Q$6)</f>
        <v>0</v>
      </c>
      <c r="R21" s="147">
        <f>COUNTIFS('2026 Time Off Request'!$A:$A,'Sept 2026'!$D21,'2026 Time Off Request'!$L:$L,'Sept 2026'!R$6)</f>
        <v>0</v>
      </c>
      <c r="S21" s="148">
        <f>COUNTIFS('2026 Time Off Request'!$A:$A,'Sept 2026'!$D21,'2026 Time Off Request'!$L:$L,'Sept 2026'!S$6)</f>
        <v>0</v>
      </c>
      <c r="T21" s="148">
        <f>COUNTIFS('2026 Time Off Request'!$A:$A,'Sept 2026'!$D21,'2026 Time Off Request'!$L:$L,'Sept 2026'!T$6)</f>
        <v>0</v>
      </c>
      <c r="U21" s="148">
        <f>COUNTIFS('2026 Time Off Request'!$A:$A,'Sept 2026'!$D21,'2026 Time Off Request'!$L:$L,'Sept 2026'!U$6)</f>
        <v>0</v>
      </c>
      <c r="V21" s="148">
        <f>COUNTIFS('2026 Time Off Request'!$A:$A,'Sept 2026'!$D21,'2026 Time Off Request'!$L:$L,'Sept 2026'!V$6)</f>
        <v>0</v>
      </c>
      <c r="W21" s="148">
        <f>COUNTIFS('2026 Time Off Request'!$A:$A,'Sept 2026'!$D21,'2026 Time Off Request'!$L:$L,'Sept 2026'!W$6)</f>
        <v>0</v>
      </c>
      <c r="X21" s="147">
        <f>COUNTIFS('2026 Time Off Request'!$A:$A,'Sept 2026'!$D21,'2026 Time Off Request'!$L:$L,'Sept 2026'!X$6)</f>
        <v>0</v>
      </c>
      <c r="Y21" s="147">
        <f>COUNTIFS('2026 Time Off Request'!$A:$A,'Sept 2026'!$D21,'2026 Time Off Request'!$L:$L,'Sept 2026'!Y$6)</f>
        <v>0</v>
      </c>
      <c r="Z21" s="148">
        <f>COUNTIFS('2026 Time Off Request'!$A:$A,'Sept 2026'!$D21,'2026 Time Off Request'!$L:$L,'Sept 2026'!Z$6)</f>
        <v>0</v>
      </c>
      <c r="AA21" s="148">
        <f>COUNTIFS('2026 Time Off Request'!$A:$A,'Sept 2026'!$D21,'2026 Time Off Request'!$L:$L,'Sept 2026'!AA$6)</f>
        <v>0</v>
      </c>
      <c r="AB21" s="148">
        <f>COUNTIFS('2026 Time Off Request'!$A:$A,'Sept 2026'!$D21,'2026 Time Off Request'!$L:$L,'Sept 2026'!AB$6)</f>
        <v>0</v>
      </c>
      <c r="AC21" s="148">
        <f>COUNTIFS('2026 Time Off Request'!$A:$A,'Sept 2026'!$D21,'2026 Time Off Request'!$L:$L,'Sept 2026'!AC$6)</f>
        <v>0</v>
      </c>
      <c r="AD21" s="148">
        <f>COUNTIFS('2026 Time Off Request'!$A:$A,'Sept 2026'!$D21,'2026 Time Off Request'!$L:$L,'Sept 2026'!AD$6)</f>
        <v>0</v>
      </c>
      <c r="AE21" s="147">
        <f>COUNTIFS('2026 Time Off Request'!$A:$A,'Sept 2026'!$D21,'2026 Time Off Request'!$L:$L,'Sept 2026'!AE$6)</f>
        <v>0</v>
      </c>
      <c r="AF21" s="147">
        <f>COUNTIFS('2026 Time Off Request'!$A:$A,'Sept 2026'!$D21,'2026 Time Off Request'!$L:$L,'Sept 2026'!AF$6)</f>
        <v>0</v>
      </c>
      <c r="AG21" s="148">
        <f>COUNTIFS('2026 Time Off Request'!$A:$A,'Sept 2026'!$D21,'2026 Time Off Request'!$L:$L,'Sept 2026'!AG$6)</f>
        <v>0</v>
      </c>
      <c r="AH21" s="148">
        <f>COUNTIFS('2026 Time Off Request'!$A:$A,'Sept 2026'!$D21,'2026 Time Off Request'!$L:$L,'Sept 2026'!AH$6)</f>
        <v>0</v>
      </c>
      <c r="AI21" s="148">
        <f>COUNTIFS('2026 Time Off Request'!$A:$A,'Sept 2026'!$D21,'2026 Time Off Request'!$L:$L,'Sept 2026'!AI$6)</f>
        <v>0</v>
      </c>
    </row>
    <row r="22" spans="1:35" ht="15.75">
      <c r="A22" s="2">
        <v>16</v>
      </c>
      <c r="B22" s="209" t="s">
        <v>49</v>
      </c>
      <c r="C22" s="210" t="s">
        <v>50</v>
      </c>
      <c r="D22" s="215" t="s">
        <v>51</v>
      </c>
      <c r="E22" s="212">
        <f t="shared" si="2"/>
        <v>0</v>
      </c>
      <c r="F22" s="223">
        <f>COUNTIFS('2026 Time Off Request'!$A:$A,'Sept 2026'!$D22,'2026 Time Off Request'!$L:$L,'Sept 2026'!F$6)</f>
        <v>0</v>
      </c>
      <c r="G22" s="148">
        <f>COUNTIFS('2026 Time Off Request'!$A:$A,'Sept 2026'!$D22,'2026 Time Off Request'!$L:$L,'Sept 2026'!G$6)</f>
        <v>0</v>
      </c>
      <c r="H22" s="148">
        <f>COUNTIFS('2026 Time Off Request'!$A:$A,'Sept 2026'!$D22,'2026 Time Off Request'!$L:$L,'Sept 2026'!H$6)</f>
        <v>0</v>
      </c>
      <c r="I22" s="148">
        <f>COUNTIFS('2026 Time Off Request'!$A:$A,'Sept 2026'!$D22,'2026 Time Off Request'!$L:$L,'Sept 2026'!I$6)</f>
        <v>0</v>
      </c>
      <c r="J22" s="147">
        <f>COUNTIFS('2026 Time Off Request'!$A:$A,'Sept 2026'!$D22,'2026 Time Off Request'!$L:$L,'Sept 2026'!J$6)</f>
        <v>0</v>
      </c>
      <c r="K22" s="147">
        <f>COUNTIFS('2026 Time Off Request'!$A:$A,'Sept 2026'!$D22,'2026 Time Off Request'!$L:$L,'Sept 2026'!K$6)</f>
        <v>0</v>
      </c>
      <c r="L22" s="224">
        <f>COUNTIFS('2026 Time Off Request'!$A:$A,'Sept 2026'!$D22,'2026 Time Off Request'!$L:$L,'Sept 2026'!L$6)</f>
        <v>0</v>
      </c>
      <c r="M22" s="148">
        <f>COUNTIFS('2026 Time Off Request'!$A:$A,'Sept 2026'!$D22,'2026 Time Off Request'!$L:$L,'Sept 2026'!M$6)</f>
        <v>0</v>
      </c>
      <c r="N22" s="148">
        <f>COUNTIFS('2026 Time Off Request'!$A:$A,'Sept 2026'!$D22,'2026 Time Off Request'!$L:$L,'Sept 2026'!N$6)</f>
        <v>0</v>
      </c>
      <c r="O22" s="148">
        <f>COUNTIFS('2026 Time Off Request'!$A:$A,'Sept 2026'!$D22,'2026 Time Off Request'!$L:$L,'Sept 2026'!O$6)</f>
        <v>0</v>
      </c>
      <c r="P22" s="148">
        <f>COUNTIFS('2026 Time Off Request'!$A:$A,'Sept 2026'!$D22,'2026 Time Off Request'!$L:$L,'Sept 2026'!P$6)</f>
        <v>0</v>
      </c>
      <c r="Q22" s="147">
        <f>COUNTIFS('2026 Time Off Request'!$A:$A,'Sept 2026'!$D22,'2026 Time Off Request'!$L:$L,'Sept 2026'!Q$6)</f>
        <v>0</v>
      </c>
      <c r="R22" s="147">
        <f>COUNTIFS('2026 Time Off Request'!$A:$A,'Sept 2026'!$D22,'2026 Time Off Request'!$L:$L,'Sept 2026'!R$6)</f>
        <v>0</v>
      </c>
      <c r="S22" s="148">
        <f>COUNTIFS('2026 Time Off Request'!$A:$A,'Sept 2026'!$D22,'2026 Time Off Request'!$L:$L,'Sept 2026'!S$6)</f>
        <v>0</v>
      </c>
      <c r="T22" s="148">
        <f>COUNTIFS('2026 Time Off Request'!$A:$A,'Sept 2026'!$D22,'2026 Time Off Request'!$L:$L,'Sept 2026'!T$6)</f>
        <v>0</v>
      </c>
      <c r="U22" s="148">
        <f>COUNTIFS('2026 Time Off Request'!$A:$A,'Sept 2026'!$D22,'2026 Time Off Request'!$L:$L,'Sept 2026'!U$6)</f>
        <v>0</v>
      </c>
      <c r="V22" s="148">
        <f>COUNTIFS('2026 Time Off Request'!$A:$A,'Sept 2026'!$D22,'2026 Time Off Request'!$L:$L,'Sept 2026'!V$6)</f>
        <v>0</v>
      </c>
      <c r="W22" s="148">
        <f>COUNTIFS('2026 Time Off Request'!$A:$A,'Sept 2026'!$D22,'2026 Time Off Request'!$L:$L,'Sept 2026'!W$6)</f>
        <v>0</v>
      </c>
      <c r="X22" s="147">
        <f>COUNTIFS('2026 Time Off Request'!$A:$A,'Sept 2026'!$D22,'2026 Time Off Request'!$L:$L,'Sept 2026'!X$6)</f>
        <v>0</v>
      </c>
      <c r="Y22" s="147">
        <f>COUNTIFS('2026 Time Off Request'!$A:$A,'Sept 2026'!$D22,'2026 Time Off Request'!$L:$L,'Sept 2026'!Y$6)</f>
        <v>0</v>
      </c>
      <c r="Z22" s="148">
        <f>COUNTIFS('2026 Time Off Request'!$A:$A,'Sept 2026'!$D22,'2026 Time Off Request'!$L:$L,'Sept 2026'!Z$6)</f>
        <v>0</v>
      </c>
      <c r="AA22" s="148">
        <f>COUNTIFS('2026 Time Off Request'!$A:$A,'Sept 2026'!$D22,'2026 Time Off Request'!$L:$L,'Sept 2026'!AA$6)</f>
        <v>0</v>
      </c>
      <c r="AB22" s="148">
        <f>COUNTIFS('2026 Time Off Request'!$A:$A,'Sept 2026'!$D22,'2026 Time Off Request'!$L:$L,'Sept 2026'!AB$6)</f>
        <v>0</v>
      </c>
      <c r="AC22" s="148">
        <f>COUNTIFS('2026 Time Off Request'!$A:$A,'Sept 2026'!$D22,'2026 Time Off Request'!$L:$L,'Sept 2026'!AC$6)</f>
        <v>0</v>
      </c>
      <c r="AD22" s="148">
        <f>COUNTIFS('2026 Time Off Request'!$A:$A,'Sept 2026'!$D22,'2026 Time Off Request'!$L:$L,'Sept 2026'!AD$6)</f>
        <v>0</v>
      </c>
      <c r="AE22" s="147">
        <f>COUNTIFS('2026 Time Off Request'!$A:$A,'Sept 2026'!$D22,'2026 Time Off Request'!$L:$L,'Sept 2026'!AE$6)</f>
        <v>0</v>
      </c>
      <c r="AF22" s="147">
        <f>COUNTIFS('2026 Time Off Request'!$A:$A,'Sept 2026'!$D22,'2026 Time Off Request'!$L:$L,'Sept 2026'!AF$6)</f>
        <v>0</v>
      </c>
      <c r="AG22" s="148">
        <f>COUNTIFS('2026 Time Off Request'!$A:$A,'Sept 2026'!$D22,'2026 Time Off Request'!$L:$L,'Sept 2026'!AG$6)</f>
        <v>0</v>
      </c>
      <c r="AH22" s="148">
        <f>COUNTIFS('2026 Time Off Request'!$A:$A,'Sept 2026'!$D22,'2026 Time Off Request'!$L:$L,'Sept 2026'!AH$6)</f>
        <v>0</v>
      </c>
      <c r="AI22" s="148">
        <f>COUNTIFS('2026 Time Off Request'!$A:$A,'Sept 2026'!$D22,'2026 Time Off Request'!$L:$L,'Sept 2026'!AI$6)</f>
        <v>0</v>
      </c>
    </row>
    <row r="23" spans="1:35" ht="15.75">
      <c r="A23" s="2">
        <v>17</v>
      </c>
      <c r="B23" s="209" t="s">
        <v>45</v>
      </c>
      <c r="C23" s="210" t="s">
        <v>52</v>
      </c>
      <c r="D23" s="215" t="s">
        <v>53</v>
      </c>
      <c r="E23" s="212">
        <f t="shared" si="2"/>
        <v>0</v>
      </c>
      <c r="F23" s="223">
        <f>COUNTIFS('2026 Time Off Request'!$A:$A,'Sept 2026'!$D23,'2026 Time Off Request'!$L:$L,'Sept 2026'!F$6)</f>
        <v>0</v>
      </c>
      <c r="G23" s="148">
        <f>COUNTIFS('2026 Time Off Request'!$A:$A,'Sept 2026'!$D23,'2026 Time Off Request'!$L:$L,'Sept 2026'!G$6)</f>
        <v>0</v>
      </c>
      <c r="H23" s="148">
        <f>COUNTIFS('2026 Time Off Request'!$A:$A,'Sept 2026'!$D23,'2026 Time Off Request'!$L:$L,'Sept 2026'!H$6)</f>
        <v>0</v>
      </c>
      <c r="I23" s="148">
        <f>COUNTIFS('2026 Time Off Request'!$A:$A,'Sept 2026'!$D23,'2026 Time Off Request'!$L:$L,'Sept 2026'!I$6)</f>
        <v>0</v>
      </c>
      <c r="J23" s="147">
        <f>COUNTIFS('2026 Time Off Request'!$A:$A,'Sept 2026'!$D23,'2026 Time Off Request'!$L:$L,'Sept 2026'!J$6)</f>
        <v>0</v>
      </c>
      <c r="K23" s="147">
        <f>COUNTIFS('2026 Time Off Request'!$A:$A,'Sept 2026'!$D23,'2026 Time Off Request'!$L:$L,'Sept 2026'!K$6)</f>
        <v>0</v>
      </c>
      <c r="L23" s="224">
        <f>COUNTIFS('2026 Time Off Request'!$A:$A,'Sept 2026'!$D23,'2026 Time Off Request'!$L:$L,'Sept 2026'!L$6)</f>
        <v>0</v>
      </c>
      <c r="M23" s="148">
        <f>COUNTIFS('2026 Time Off Request'!$A:$A,'Sept 2026'!$D23,'2026 Time Off Request'!$L:$L,'Sept 2026'!M$6)</f>
        <v>0</v>
      </c>
      <c r="N23" s="148">
        <f>COUNTIFS('2026 Time Off Request'!$A:$A,'Sept 2026'!$D23,'2026 Time Off Request'!$L:$L,'Sept 2026'!N$6)</f>
        <v>0</v>
      </c>
      <c r="O23" s="148">
        <f>COUNTIFS('2026 Time Off Request'!$A:$A,'Sept 2026'!$D23,'2026 Time Off Request'!$L:$L,'Sept 2026'!O$6)</f>
        <v>0</v>
      </c>
      <c r="P23" s="148">
        <f>COUNTIFS('2026 Time Off Request'!$A:$A,'Sept 2026'!$D23,'2026 Time Off Request'!$L:$L,'Sept 2026'!P$6)</f>
        <v>0</v>
      </c>
      <c r="Q23" s="147">
        <f>COUNTIFS('2026 Time Off Request'!$A:$A,'Sept 2026'!$D23,'2026 Time Off Request'!$L:$L,'Sept 2026'!Q$6)</f>
        <v>0</v>
      </c>
      <c r="R23" s="147">
        <f>COUNTIFS('2026 Time Off Request'!$A:$A,'Sept 2026'!$D23,'2026 Time Off Request'!$L:$L,'Sept 2026'!R$6)</f>
        <v>0</v>
      </c>
      <c r="S23" s="148">
        <f>COUNTIFS('2026 Time Off Request'!$A:$A,'Sept 2026'!$D23,'2026 Time Off Request'!$L:$L,'Sept 2026'!S$6)</f>
        <v>0</v>
      </c>
      <c r="T23" s="148">
        <f>COUNTIFS('2026 Time Off Request'!$A:$A,'Sept 2026'!$D23,'2026 Time Off Request'!$L:$L,'Sept 2026'!T$6)</f>
        <v>0</v>
      </c>
      <c r="U23" s="148">
        <f>COUNTIFS('2026 Time Off Request'!$A:$A,'Sept 2026'!$D23,'2026 Time Off Request'!$L:$L,'Sept 2026'!U$6)</f>
        <v>0</v>
      </c>
      <c r="V23" s="148">
        <f>COUNTIFS('2026 Time Off Request'!$A:$A,'Sept 2026'!$D23,'2026 Time Off Request'!$L:$L,'Sept 2026'!V$6)</f>
        <v>0</v>
      </c>
      <c r="W23" s="148">
        <f>COUNTIFS('2026 Time Off Request'!$A:$A,'Sept 2026'!$D23,'2026 Time Off Request'!$L:$L,'Sept 2026'!W$6)</f>
        <v>0</v>
      </c>
      <c r="X23" s="147">
        <f>COUNTIFS('2026 Time Off Request'!$A:$A,'Sept 2026'!$D23,'2026 Time Off Request'!$L:$L,'Sept 2026'!X$6)</f>
        <v>0</v>
      </c>
      <c r="Y23" s="147">
        <f>COUNTIFS('2026 Time Off Request'!$A:$A,'Sept 2026'!$D23,'2026 Time Off Request'!$L:$L,'Sept 2026'!Y$6)</f>
        <v>0</v>
      </c>
      <c r="Z23" s="148">
        <f>COUNTIFS('2026 Time Off Request'!$A:$A,'Sept 2026'!$D23,'2026 Time Off Request'!$L:$L,'Sept 2026'!Z$6)</f>
        <v>0</v>
      </c>
      <c r="AA23" s="148">
        <f>COUNTIFS('2026 Time Off Request'!$A:$A,'Sept 2026'!$D23,'2026 Time Off Request'!$L:$L,'Sept 2026'!AA$6)</f>
        <v>0</v>
      </c>
      <c r="AB23" s="148">
        <f>COUNTIFS('2026 Time Off Request'!$A:$A,'Sept 2026'!$D23,'2026 Time Off Request'!$L:$L,'Sept 2026'!AB$6)</f>
        <v>0</v>
      </c>
      <c r="AC23" s="148">
        <f>COUNTIFS('2026 Time Off Request'!$A:$A,'Sept 2026'!$D23,'2026 Time Off Request'!$L:$L,'Sept 2026'!AC$6)</f>
        <v>0</v>
      </c>
      <c r="AD23" s="148">
        <f>COUNTIFS('2026 Time Off Request'!$A:$A,'Sept 2026'!$D23,'2026 Time Off Request'!$L:$L,'Sept 2026'!AD$6)</f>
        <v>0</v>
      </c>
      <c r="AE23" s="147">
        <f>COUNTIFS('2026 Time Off Request'!$A:$A,'Sept 2026'!$D23,'2026 Time Off Request'!$L:$L,'Sept 2026'!AE$6)</f>
        <v>0</v>
      </c>
      <c r="AF23" s="147">
        <f>COUNTIFS('2026 Time Off Request'!$A:$A,'Sept 2026'!$D23,'2026 Time Off Request'!$L:$L,'Sept 2026'!AF$6)</f>
        <v>0</v>
      </c>
      <c r="AG23" s="148">
        <f>COUNTIFS('2026 Time Off Request'!$A:$A,'Sept 2026'!$D23,'2026 Time Off Request'!$L:$L,'Sept 2026'!AG$6)</f>
        <v>0</v>
      </c>
      <c r="AH23" s="148">
        <f>COUNTIFS('2026 Time Off Request'!$A:$A,'Sept 2026'!$D23,'2026 Time Off Request'!$L:$L,'Sept 2026'!AH$6)</f>
        <v>0</v>
      </c>
      <c r="AI23" s="148">
        <f>COUNTIFS('2026 Time Off Request'!$A:$A,'Sept 2026'!$D23,'2026 Time Off Request'!$L:$L,'Sept 2026'!AI$6)</f>
        <v>0</v>
      </c>
    </row>
    <row r="24" spans="1:35" ht="15.75">
      <c r="A24" s="2"/>
      <c r="B24" s="209" t="s">
        <v>45</v>
      </c>
      <c r="C24" s="210" t="s">
        <v>52</v>
      </c>
      <c r="D24" s="215" t="s">
        <v>54</v>
      </c>
      <c r="E24" s="212">
        <f t="shared" ref="E24:E29" si="3">SUM(F24:AI24)</f>
        <v>0</v>
      </c>
      <c r="F24" s="223">
        <f>COUNTIFS('2026 Time Off Request'!$A:$A,'Sept 2026'!$D24,'2026 Time Off Request'!$L:$L,'Sept 2026'!F$6)</f>
        <v>0</v>
      </c>
      <c r="G24" s="148">
        <f>COUNTIFS('2026 Time Off Request'!$A:$A,'Sept 2026'!$D24,'2026 Time Off Request'!$L:$L,'Sept 2026'!G$6)</f>
        <v>0</v>
      </c>
      <c r="H24" s="148">
        <f>COUNTIFS('2026 Time Off Request'!$A:$A,'Sept 2026'!$D24,'2026 Time Off Request'!$L:$L,'Sept 2026'!H$6)</f>
        <v>0</v>
      </c>
      <c r="I24" s="148">
        <f>COUNTIFS('2026 Time Off Request'!$A:$A,'Sept 2026'!$D24,'2026 Time Off Request'!$L:$L,'Sept 2026'!I$6)</f>
        <v>0</v>
      </c>
      <c r="J24" s="147">
        <f>COUNTIFS('2026 Time Off Request'!$A:$A,'Sept 2026'!$D24,'2026 Time Off Request'!$L:$L,'Sept 2026'!J$6)</f>
        <v>0</v>
      </c>
      <c r="K24" s="147">
        <f>COUNTIFS('2026 Time Off Request'!$A:$A,'Sept 2026'!$D24,'2026 Time Off Request'!$L:$L,'Sept 2026'!K$6)</f>
        <v>0</v>
      </c>
      <c r="L24" s="224">
        <f>COUNTIFS('2026 Time Off Request'!$A:$A,'Sept 2026'!$D24,'2026 Time Off Request'!$L:$L,'Sept 2026'!L$6)</f>
        <v>0</v>
      </c>
      <c r="M24" s="148">
        <f>COUNTIFS('2026 Time Off Request'!$A:$A,'Sept 2026'!$D24,'2026 Time Off Request'!$L:$L,'Sept 2026'!M$6)</f>
        <v>0</v>
      </c>
      <c r="N24" s="148">
        <f>COUNTIFS('2026 Time Off Request'!$A:$A,'Sept 2026'!$D24,'2026 Time Off Request'!$L:$L,'Sept 2026'!N$6)</f>
        <v>0</v>
      </c>
      <c r="O24" s="148">
        <f>COUNTIFS('2026 Time Off Request'!$A:$A,'Sept 2026'!$D24,'2026 Time Off Request'!$L:$L,'Sept 2026'!O$6)</f>
        <v>0</v>
      </c>
      <c r="P24" s="148">
        <f>COUNTIFS('2026 Time Off Request'!$A:$A,'Sept 2026'!$D24,'2026 Time Off Request'!$L:$L,'Sept 2026'!P$6)</f>
        <v>0</v>
      </c>
      <c r="Q24" s="147">
        <f>COUNTIFS('2026 Time Off Request'!$A:$A,'Sept 2026'!$D24,'2026 Time Off Request'!$L:$L,'Sept 2026'!Q$6)</f>
        <v>0</v>
      </c>
      <c r="R24" s="147">
        <f>COUNTIFS('2026 Time Off Request'!$A:$A,'Sept 2026'!$D24,'2026 Time Off Request'!$L:$L,'Sept 2026'!R$6)</f>
        <v>0</v>
      </c>
      <c r="S24" s="148">
        <f>COUNTIFS('2026 Time Off Request'!$A:$A,'Sept 2026'!$D24,'2026 Time Off Request'!$L:$L,'Sept 2026'!S$6)</f>
        <v>0</v>
      </c>
      <c r="T24" s="148">
        <f>COUNTIFS('2026 Time Off Request'!$A:$A,'Sept 2026'!$D24,'2026 Time Off Request'!$L:$L,'Sept 2026'!T$6)</f>
        <v>0</v>
      </c>
      <c r="U24" s="148">
        <f>COUNTIFS('2026 Time Off Request'!$A:$A,'Sept 2026'!$D24,'2026 Time Off Request'!$L:$L,'Sept 2026'!U$6)</f>
        <v>0</v>
      </c>
      <c r="V24" s="148">
        <f>COUNTIFS('2026 Time Off Request'!$A:$A,'Sept 2026'!$D24,'2026 Time Off Request'!$L:$L,'Sept 2026'!V$6)</f>
        <v>0</v>
      </c>
      <c r="W24" s="148">
        <f>COUNTIFS('2026 Time Off Request'!$A:$A,'Sept 2026'!$D24,'2026 Time Off Request'!$L:$L,'Sept 2026'!W$6)</f>
        <v>0</v>
      </c>
      <c r="X24" s="147">
        <f>COUNTIFS('2026 Time Off Request'!$A:$A,'Sept 2026'!$D24,'2026 Time Off Request'!$L:$L,'Sept 2026'!X$6)</f>
        <v>0</v>
      </c>
      <c r="Y24" s="147">
        <f>COUNTIFS('2026 Time Off Request'!$A:$A,'Sept 2026'!$D24,'2026 Time Off Request'!$L:$L,'Sept 2026'!Y$6)</f>
        <v>0</v>
      </c>
      <c r="Z24" s="148">
        <f>COUNTIFS('2026 Time Off Request'!$A:$A,'Sept 2026'!$D24,'2026 Time Off Request'!$L:$L,'Sept 2026'!Z$6)</f>
        <v>0</v>
      </c>
      <c r="AA24" s="148">
        <f>COUNTIFS('2026 Time Off Request'!$A:$A,'Sept 2026'!$D24,'2026 Time Off Request'!$L:$L,'Sept 2026'!AA$6)</f>
        <v>0</v>
      </c>
      <c r="AB24" s="148">
        <f>COUNTIFS('2026 Time Off Request'!$A:$A,'Sept 2026'!$D24,'2026 Time Off Request'!$L:$L,'Sept 2026'!AB$6)</f>
        <v>0</v>
      </c>
      <c r="AC24" s="148">
        <f>COUNTIFS('2026 Time Off Request'!$A:$A,'Sept 2026'!$D24,'2026 Time Off Request'!$L:$L,'Sept 2026'!AC$6)</f>
        <v>0</v>
      </c>
      <c r="AD24" s="148">
        <f>COUNTIFS('2026 Time Off Request'!$A:$A,'Sept 2026'!$D24,'2026 Time Off Request'!$L:$L,'Sept 2026'!AD$6)</f>
        <v>0</v>
      </c>
      <c r="AE24" s="147">
        <f>COUNTIFS('2026 Time Off Request'!$A:$A,'Sept 2026'!$D24,'2026 Time Off Request'!$L:$L,'Sept 2026'!AE$6)</f>
        <v>0</v>
      </c>
      <c r="AF24" s="147">
        <f>COUNTIFS('2026 Time Off Request'!$A:$A,'Sept 2026'!$D24,'2026 Time Off Request'!$L:$L,'Sept 2026'!AF$6)</f>
        <v>0</v>
      </c>
      <c r="AG24" s="148">
        <f>COUNTIFS('2026 Time Off Request'!$A:$A,'Sept 2026'!$D24,'2026 Time Off Request'!$L:$L,'Sept 2026'!AG$6)</f>
        <v>0</v>
      </c>
      <c r="AH24" s="148">
        <f>COUNTIFS('2026 Time Off Request'!$A:$A,'Sept 2026'!$D24,'2026 Time Off Request'!$L:$L,'Sept 2026'!AH$6)</f>
        <v>0</v>
      </c>
      <c r="AI24" s="148">
        <f>COUNTIFS('2026 Time Off Request'!$A:$A,'Sept 2026'!$D24,'2026 Time Off Request'!$L:$L,'Sept 2026'!AI$6)</f>
        <v>0</v>
      </c>
    </row>
    <row r="25" spans="1:35" ht="15.75">
      <c r="A25" s="2">
        <v>18</v>
      </c>
      <c r="B25" s="209" t="s">
        <v>45</v>
      </c>
      <c r="C25" s="210" t="s">
        <v>55</v>
      </c>
      <c r="D25" s="215" t="s">
        <v>56</v>
      </c>
      <c r="E25" s="212">
        <f t="shared" si="3"/>
        <v>0</v>
      </c>
      <c r="F25" s="223">
        <f>COUNTIFS('2026 Time Off Request'!$A:$A,'Sept 2026'!$D25,'2026 Time Off Request'!$L:$L,'Sept 2026'!F$6)</f>
        <v>0</v>
      </c>
      <c r="G25" s="148">
        <f>COUNTIFS('2026 Time Off Request'!$A:$A,'Sept 2026'!$D25,'2026 Time Off Request'!$L:$L,'Sept 2026'!G$6)</f>
        <v>0</v>
      </c>
      <c r="H25" s="148">
        <f>COUNTIFS('2026 Time Off Request'!$A:$A,'Sept 2026'!$D25,'2026 Time Off Request'!$L:$L,'Sept 2026'!H$6)</f>
        <v>0</v>
      </c>
      <c r="I25" s="148">
        <f>COUNTIFS('2026 Time Off Request'!$A:$A,'Sept 2026'!$D25,'2026 Time Off Request'!$L:$L,'Sept 2026'!I$6)</f>
        <v>0</v>
      </c>
      <c r="J25" s="147">
        <f>COUNTIFS('2026 Time Off Request'!$A:$A,'Sept 2026'!$D25,'2026 Time Off Request'!$L:$L,'Sept 2026'!J$6)</f>
        <v>0</v>
      </c>
      <c r="K25" s="147">
        <f>COUNTIFS('2026 Time Off Request'!$A:$A,'Sept 2026'!$D25,'2026 Time Off Request'!$L:$L,'Sept 2026'!K$6)</f>
        <v>0</v>
      </c>
      <c r="L25" s="224">
        <f>COUNTIFS('2026 Time Off Request'!$A:$A,'Sept 2026'!$D25,'2026 Time Off Request'!$L:$L,'Sept 2026'!L$6)</f>
        <v>0</v>
      </c>
      <c r="M25" s="148">
        <f>COUNTIFS('2026 Time Off Request'!$A:$A,'Sept 2026'!$D25,'2026 Time Off Request'!$L:$L,'Sept 2026'!M$6)</f>
        <v>0</v>
      </c>
      <c r="N25" s="148">
        <f>COUNTIFS('2026 Time Off Request'!$A:$A,'Sept 2026'!$D25,'2026 Time Off Request'!$L:$L,'Sept 2026'!N$6)</f>
        <v>0</v>
      </c>
      <c r="O25" s="148">
        <f>COUNTIFS('2026 Time Off Request'!$A:$A,'Sept 2026'!$D25,'2026 Time Off Request'!$L:$L,'Sept 2026'!O$6)</f>
        <v>0</v>
      </c>
      <c r="P25" s="148">
        <f>COUNTIFS('2026 Time Off Request'!$A:$A,'Sept 2026'!$D25,'2026 Time Off Request'!$L:$L,'Sept 2026'!P$6)</f>
        <v>0</v>
      </c>
      <c r="Q25" s="147">
        <f>COUNTIFS('2026 Time Off Request'!$A:$A,'Sept 2026'!$D25,'2026 Time Off Request'!$L:$L,'Sept 2026'!Q$6)</f>
        <v>0</v>
      </c>
      <c r="R25" s="147">
        <f>COUNTIFS('2026 Time Off Request'!$A:$A,'Sept 2026'!$D25,'2026 Time Off Request'!$L:$L,'Sept 2026'!R$6)</f>
        <v>0</v>
      </c>
      <c r="S25" s="148">
        <f>COUNTIFS('2026 Time Off Request'!$A:$A,'Sept 2026'!$D25,'2026 Time Off Request'!$L:$L,'Sept 2026'!S$6)</f>
        <v>0</v>
      </c>
      <c r="T25" s="148">
        <f>COUNTIFS('2026 Time Off Request'!$A:$A,'Sept 2026'!$D25,'2026 Time Off Request'!$L:$L,'Sept 2026'!T$6)</f>
        <v>0</v>
      </c>
      <c r="U25" s="148">
        <f>COUNTIFS('2026 Time Off Request'!$A:$A,'Sept 2026'!$D25,'2026 Time Off Request'!$L:$L,'Sept 2026'!U$6)</f>
        <v>0</v>
      </c>
      <c r="V25" s="148">
        <f>COUNTIFS('2026 Time Off Request'!$A:$A,'Sept 2026'!$D25,'2026 Time Off Request'!$L:$L,'Sept 2026'!V$6)</f>
        <v>0</v>
      </c>
      <c r="W25" s="148">
        <f>COUNTIFS('2026 Time Off Request'!$A:$A,'Sept 2026'!$D25,'2026 Time Off Request'!$L:$L,'Sept 2026'!W$6)</f>
        <v>0</v>
      </c>
      <c r="X25" s="147">
        <f>COUNTIFS('2026 Time Off Request'!$A:$A,'Sept 2026'!$D25,'2026 Time Off Request'!$L:$L,'Sept 2026'!X$6)</f>
        <v>0</v>
      </c>
      <c r="Y25" s="147">
        <f>COUNTIFS('2026 Time Off Request'!$A:$A,'Sept 2026'!$D25,'2026 Time Off Request'!$L:$L,'Sept 2026'!Y$6)</f>
        <v>0</v>
      </c>
      <c r="Z25" s="148">
        <f>COUNTIFS('2026 Time Off Request'!$A:$A,'Sept 2026'!$D25,'2026 Time Off Request'!$L:$L,'Sept 2026'!Z$6)</f>
        <v>0</v>
      </c>
      <c r="AA25" s="148">
        <f>COUNTIFS('2026 Time Off Request'!$A:$A,'Sept 2026'!$D25,'2026 Time Off Request'!$L:$L,'Sept 2026'!AA$6)</f>
        <v>0</v>
      </c>
      <c r="AB25" s="148">
        <f>COUNTIFS('2026 Time Off Request'!$A:$A,'Sept 2026'!$D25,'2026 Time Off Request'!$L:$L,'Sept 2026'!AB$6)</f>
        <v>0</v>
      </c>
      <c r="AC25" s="148">
        <f>COUNTIFS('2026 Time Off Request'!$A:$A,'Sept 2026'!$D25,'2026 Time Off Request'!$L:$L,'Sept 2026'!AC$6)</f>
        <v>0</v>
      </c>
      <c r="AD25" s="148">
        <f>COUNTIFS('2026 Time Off Request'!$A:$A,'Sept 2026'!$D25,'2026 Time Off Request'!$L:$L,'Sept 2026'!AD$6)</f>
        <v>0</v>
      </c>
      <c r="AE25" s="147">
        <f>COUNTIFS('2026 Time Off Request'!$A:$A,'Sept 2026'!$D25,'2026 Time Off Request'!$L:$L,'Sept 2026'!AE$6)</f>
        <v>0</v>
      </c>
      <c r="AF25" s="147">
        <f>COUNTIFS('2026 Time Off Request'!$A:$A,'Sept 2026'!$D25,'2026 Time Off Request'!$L:$L,'Sept 2026'!AF$6)</f>
        <v>0</v>
      </c>
      <c r="AG25" s="148">
        <f>COUNTIFS('2026 Time Off Request'!$A:$A,'Sept 2026'!$D25,'2026 Time Off Request'!$L:$L,'Sept 2026'!AG$6)</f>
        <v>0</v>
      </c>
      <c r="AH25" s="148">
        <f>COUNTIFS('2026 Time Off Request'!$A:$A,'Sept 2026'!$D25,'2026 Time Off Request'!$L:$L,'Sept 2026'!AH$6)</f>
        <v>0</v>
      </c>
      <c r="AI25" s="148">
        <f>COUNTIFS('2026 Time Off Request'!$A:$A,'Sept 2026'!$D25,'2026 Time Off Request'!$L:$L,'Sept 2026'!AI$6)</f>
        <v>0</v>
      </c>
    </row>
    <row r="26" spans="1:35" ht="15.75">
      <c r="A26" s="2"/>
      <c r="B26" s="209" t="s">
        <v>45</v>
      </c>
      <c r="C26" s="210" t="s">
        <v>55</v>
      </c>
      <c r="D26" s="215" t="s">
        <v>57</v>
      </c>
      <c r="E26" s="212">
        <f t="shared" si="3"/>
        <v>0</v>
      </c>
      <c r="F26" s="223">
        <f>COUNTIFS('2026 Time Off Request'!$A:$A,'Sept 2026'!$D26,'2026 Time Off Request'!$L:$L,'Sept 2026'!F$6)</f>
        <v>0</v>
      </c>
      <c r="G26" s="148">
        <f>COUNTIFS('2026 Time Off Request'!$A:$A,'Sept 2026'!$D26,'2026 Time Off Request'!$L:$L,'Sept 2026'!G$6)</f>
        <v>0</v>
      </c>
      <c r="H26" s="148">
        <f>COUNTIFS('2026 Time Off Request'!$A:$A,'Sept 2026'!$D26,'2026 Time Off Request'!$L:$L,'Sept 2026'!H$6)</f>
        <v>0</v>
      </c>
      <c r="I26" s="148">
        <f>COUNTIFS('2026 Time Off Request'!$A:$A,'Sept 2026'!$D26,'2026 Time Off Request'!$L:$L,'Sept 2026'!I$6)</f>
        <v>0</v>
      </c>
      <c r="J26" s="147">
        <f>COUNTIFS('2026 Time Off Request'!$A:$A,'Sept 2026'!$D26,'2026 Time Off Request'!$L:$L,'Sept 2026'!J$6)</f>
        <v>0</v>
      </c>
      <c r="K26" s="147">
        <f>COUNTIFS('2026 Time Off Request'!$A:$A,'Sept 2026'!$D26,'2026 Time Off Request'!$L:$L,'Sept 2026'!K$6)</f>
        <v>0</v>
      </c>
      <c r="L26" s="224">
        <f>COUNTIFS('2026 Time Off Request'!$A:$A,'Sept 2026'!$D26,'2026 Time Off Request'!$L:$L,'Sept 2026'!L$6)</f>
        <v>0</v>
      </c>
      <c r="M26" s="148">
        <f>COUNTIFS('2026 Time Off Request'!$A:$A,'Sept 2026'!$D26,'2026 Time Off Request'!$L:$L,'Sept 2026'!M$6)</f>
        <v>0</v>
      </c>
      <c r="N26" s="148">
        <f>COUNTIFS('2026 Time Off Request'!$A:$A,'Sept 2026'!$D26,'2026 Time Off Request'!$L:$L,'Sept 2026'!N$6)</f>
        <v>0</v>
      </c>
      <c r="O26" s="148">
        <f>COUNTIFS('2026 Time Off Request'!$A:$A,'Sept 2026'!$D26,'2026 Time Off Request'!$L:$L,'Sept 2026'!O$6)</f>
        <v>0</v>
      </c>
      <c r="P26" s="148">
        <f>COUNTIFS('2026 Time Off Request'!$A:$A,'Sept 2026'!$D26,'2026 Time Off Request'!$L:$L,'Sept 2026'!P$6)</f>
        <v>0</v>
      </c>
      <c r="Q26" s="147">
        <f>COUNTIFS('2026 Time Off Request'!$A:$A,'Sept 2026'!$D26,'2026 Time Off Request'!$L:$L,'Sept 2026'!Q$6)</f>
        <v>0</v>
      </c>
      <c r="R26" s="147">
        <f>COUNTIFS('2026 Time Off Request'!$A:$A,'Sept 2026'!$D26,'2026 Time Off Request'!$L:$L,'Sept 2026'!R$6)</f>
        <v>0</v>
      </c>
      <c r="S26" s="148">
        <f>COUNTIFS('2026 Time Off Request'!$A:$A,'Sept 2026'!$D26,'2026 Time Off Request'!$L:$L,'Sept 2026'!S$6)</f>
        <v>0</v>
      </c>
      <c r="T26" s="148">
        <f>COUNTIFS('2026 Time Off Request'!$A:$A,'Sept 2026'!$D26,'2026 Time Off Request'!$L:$L,'Sept 2026'!T$6)</f>
        <v>0</v>
      </c>
      <c r="U26" s="148">
        <f>COUNTIFS('2026 Time Off Request'!$A:$A,'Sept 2026'!$D26,'2026 Time Off Request'!$L:$L,'Sept 2026'!U$6)</f>
        <v>0</v>
      </c>
      <c r="V26" s="148">
        <f>COUNTIFS('2026 Time Off Request'!$A:$A,'Sept 2026'!$D26,'2026 Time Off Request'!$L:$L,'Sept 2026'!V$6)</f>
        <v>0</v>
      </c>
      <c r="W26" s="148">
        <f>COUNTIFS('2026 Time Off Request'!$A:$A,'Sept 2026'!$D26,'2026 Time Off Request'!$L:$L,'Sept 2026'!W$6)</f>
        <v>0</v>
      </c>
      <c r="X26" s="147">
        <f>COUNTIFS('2026 Time Off Request'!$A:$A,'Sept 2026'!$D26,'2026 Time Off Request'!$L:$L,'Sept 2026'!X$6)</f>
        <v>0</v>
      </c>
      <c r="Y26" s="147">
        <f>COUNTIFS('2026 Time Off Request'!$A:$A,'Sept 2026'!$D26,'2026 Time Off Request'!$L:$L,'Sept 2026'!Y$6)</f>
        <v>0</v>
      </c>
      <c r="Z26" s="148">
        <f>COUNTIFS('2026 Time Off Request'!$A:$A,'Sept 2026'!$D26,'2026 Time Off Request'!$L:$L,'Sept 2026'!Z$6)</f>
        <v>0</v>
      </c>
      <c r="AA26" s="148">
        <f>COUNTIFS('2026 Time Off Request'!$A:$A,'Sept 2026'!$D26,'2026 Time Off Request'!$L:$L,'Sept 2026'!AA$6)</f>
        <v>0</v>
      </c>
      <c r="AB26" s="148">
        <f>COUNTIFS('2026 Time Off Request'!$A:$A,'Sept 2026'!$D26,'2026 Time Off Request'!$L:$L,'Sept 2026'!AB$6)</f>
        <v>0</v>
      </c>
      <c r="AC26" s="148">
        <f>COUNTIFS('2026 Time Off Request'!$A:$A,'Sept 2026'!$D26,'2026 Time Off Request'!$L:$L,'Sept 2026'!AC$6)</f>
        <v>0</v>
      </c>
      <c r="AD26" s="148">
        <f>COUNTIFS('2026 Time Off Request'!$A:$A,'Sept 2026'!$D26,'2026 Time Off Request'!$L:$L,'Sept 2026'!AD$6)</f>
        <v>0</v>
      </c>
      <c r="AE26" s="147">
        <f>COUNTIFS('2026 Time Off Request'!$A:$A,'Sept 2026'!$D26,'2026 Time Off Request'!$L:$L,'Sept 2026'!AE$6)</f>
        <v>0</v>
      </c>
      <c r="AF26" s="147">
        <f>COUNTIFS('2026 Time Off Request'!$A:$A,'Sept 2026'!$D26,'2026 Time Off Request'!$L:$L,'Sept 2026'!AF$6)</f>
        <v>0</v>
      </c>
      <c r="AG26" s="148">
        <f>COUNTIFS('2026 Time Off Request'!$A:$A,'Sept 2026'!$D26,'2026 Time Off Request'!$L:$L,'Sept 2026'!AG$6)</f>
        <v>0</v>
      </c>
      <c r="AH26" s="148">
        <f>COUNTIFS('2026 Time Off Request'!$A:$A,'Sept 2026'!$D26,'2026 Time Off Request'!$L:$L,'Sept 2026'!AH$6)</f>
        <v>0</v>
      </c>
      <c r="AI26" s="148">
        <f>COUNTIFS('2026 Time Off Request'!$A:$A,'Sept 2026'!$D26,'2026 Time Off Request'!$L:$L,'Sept 2026'!AI$6)</f>
        <v>0</v>
      </c>
    </row>
    <row r="27" spans="1:35" ht="15.75">
      <c r="A27" s="2">
        <v>19</v>
      </c>
      <c r="B27" s="209" t="s">
        <v>45</v>
      </c>
      <c r="C27" s="210" t="s">
        <v>58</v>
      </c>
      <c r="D27" s="215" t="s">
        <v>59</v>
      </c>
      <c r="E27" s="212">
        <f t="shared" si="3"/>
        <v>0</v>
      </c>
      <c r="F27" s="223">
        <f>COUNTIFS('2026 Time Off Request'!$A:$A,'Sept 2026'!$D27,'2026 Time Off Request'!$L:$L,'Sept 2026'!F$6)</f>
        <v>0</v>
      </c>
      <c r="G27" s="148">
        <f>COUNTIFS('2026 Time Off Request'!$A:$A,'Sept 2026'!$D27,'2026 Time Off Request'!$L:$L,'Sept 2026'!G$6)</f>
        <v>0</v>
      </c>
      <c r="H27" s="148">
        <f>COUNTIFS('2026 Time Off Request'!$A:$A,'Sept 2026'!$D27,'2026 Time Off Request'!$L:$L,'Sept 2026'!H$6)</f>
        <v>0</v>
      </c>
      <c r="I27" s="148">
        <f>COUNTIFS('2026 Time Off Request'!$A:$A,'Sept 2026'!$D27,'2026 Time Off Request'!$L:$L,'Sept 2026'!I$6)</f>
        <v>0</v>
      </c>
      <c r="J27" s="147">
        <f>COUNTIFS('2026 Time Off Request'!$A:$A,'Sept 2026'!$D27,'2026 Time Off Request'!$L:$L,'Sept 2026'!J$6)</f>
        <v>0</v>
      </c>
      <c r="K27" s="147">
        <f>COUNTIFS('2026 Time Off Request'!$A:$A,'Sept 2026'!$D27,'2026 Time Off Request'!$L:$L,'Sept 2026'!K$6)</f>
        <v>0</v>
      </c>
      <c r="L27" s="224">
        <f>COUNTIFS('2026 Time Off Request'!$A:$A,'Sept 2026'!$D27,'2026 Time Off Request'!$L:$L,'Sept 2026'!L$6)</f>
        <v>0</v>
      </c>
      <c r="M27" s="148">
        <f>COUNTIFS('2026 Time Off Request'!$A:$A,'Sept 2026'!$D27,'2026 Time Off Request'!$L:$L,'Sept 2026'!M$6)</f>
        <v>0</v>
      </c>
      <c r="N27" s="148">
        <f>COUNTIFS('2026 Time Off Request'!$A:$A,'Sept 2026'!$D27,'2026 Time Off Request'!$L:$L,'Sept 2026'!N$6)</f>
        <v>0</v>
      </c>
      <c r="O27" s="148">
        <f>COUNTIFS('2026 Time Off Request'!$A:$A,'Sept 2026'!$D27,'2026 Time Off Request'!$L:$L,'Sept 2026'!O$6)</f>
        <v>0</v>
      </c>
      <c r="P27" s="148">
        <f>COUNTIFS('2026 Time Off Request'!$A:$A,'Sept 2026'!$D27,'2026 Time Off Request'!$L:$L,'Sept 2026'!P$6)</f>
        <v>0</v>
      </c>
      <c r="Q27" s="147">
        <f>COUNTIFS('2026 Time Off Request'!$A:$A,'Sept 2026'!$D27,'2026 Time Off Request'!$L:$L,'Sept 2026'!Q$6)</f>
        <v>0</v>
      </c>
      <c r="R27" s="147">
        <f>COUNTIFS('2026 Time Off Request'!$A:$A,'Sept 2026'!$D27,'2026 Time Off Request'!$L:$L,'Sept 2026'!R$6)</f>
        <v>0</v>
      </c>
      <c r="S27" s="148">
        <f>COUNTIFS('2026 Time Off Request'!$A:$A,'Sept 2026'!$D27,'2026 Time Off Request'!$L:$L,'Sept 2026'!S$6)</f>
        <v>0</v>
      </c>
      <c r="T27" s="148">
        <f>COUNTIFS('2026 Time Off Request'!$A:$A,'Sept 2026'!$D27,'2026 Time Off Request'!$L:$L,'Sept 2026'!T$6)</f>
        <v>0</v>
      </c>
      <c r="U27" s="148">
        <f>COUNTIFS('2026 Time Off Request'!$A:$A,'Sept 2026'!$D27,'2026 Time Off Request'!$L:$L,'Sept 2026'!U$6)</f>
        <v>0</v>
      </c>
      <c r="V27" s="148">
        <f>COUNTIFS('2026 Time Off Request'!$A:$A,'Sept 2026'!$D27,'2026 Time Off Request'!$L:$L,'Sept 2026'!V$6)</f>
        <v>0</v>
      </c>
      <c r="W27" s="148">
        <f>COUNTIFS('2026 Time Off Request'!$A:$A,'Sept 2026'!$D27,'2026 Time Off Request'!$L:$L,'Sept 2026'!W$6)</f>
        <v>0</v>
      </c>
      <c r="X27" s="147">
        <f>COUNTIFS('2026 Time Off Request'!$A:$A,'Sept 2026'!$D27,'2026 Time Off Request'!$L:$L,'Sept 2026'!X$6)</f>
        <v>0</v>
      </c>
      <c r="Y27" s="147">
        <f>COUNTIFS('2026 Time Off Request'!$A:$A,'Sept 2026'!$D27,'2026 Time Off Request'!$L:$L,'Sept 2026'!Y$6)</f>
        <v>0</v>
      </c>
      <c r="Z27" s="148">
        <f>COUNTIFS('2026 Time Off Request'!$A:$A,'Sept 2026'!$D27,'2026 Time Off Request'!$L:$L,'Sept 2026'!Z$6)</f>
        <v>0</v>
      </c>
      <c r="AA27" s="148">
        <f>COUNTIFS('2026 Time Off Request'!$A:$A,'Sept 2026'!$D27,'2026 Time Off Request'!$L:$L,'Sept 2026'!AA$6)</f>
        <v>0</v>
      </c>
      <c r="AB27" s="148">
        <f>COUNTIFS('2026 Time Off Request'!$A:$A,'Sept 2026'!$D27,'2026 Time Off Request'!$L:$L,'Sept 2026'!AB$6)</f>
        <v>0</v>
      </c>
      <c r="AC27" s="148">
        <f>COUNTIFS('2026 Time Off Request'!$A:$A,'Sept 2026'!$D27,'2026 Time Off Request'!$L:$L,'Sept 2026'!AC$6)</f>
        <v>0</v>
      </c>
      <c r="AD27" s="148">
        <f>COUNTIFS('2026 Time Off Request'!$A:$A,'Sept 2026'!$D27,'2026 Time Off Request'!$L:$L,'Sept 2026'!AD$6)</f>
        <v>0</v>
      </c>
      <c r="AE27" s="147">
        <f>COUNTIFS('2026 Time Off Request'!$A:$A,'Sept 2026'!$D27,'2026 Time Off Request'!$L:$L,'Sept 2026'!AE$6)</f>
        <v>0</v>
      </c>
      <c r="AF27" s="147">
        <f>COUNTIFS('2026 Time Off Request'!$A:$A,'Sept 2026'!$D27,'2026 Time Off Request'!$L:$L,'Sept 2026'!AF$6)</f>
        <v>0</v>
      </c>
      <c r="AG27" s="148">
        <f>COUNTIFS('2026 Time Off Request'!$A:$A,'Sept 2026'!$D27,'2026 Time Off Request'!$L:$L,'Sept 2026'!AG$6)</f>
        <v>0</v>
      </c>
      <c r="AH27" s="148">
        <f>COUNTIFS('2026 Time Off Request'!$A:$A,'Sept 2026'!$D27,'2026 Time Off Request'!$L:$L,'Sept 2026'!AH$6)</f>
        <v>0</v>
      </c>
      <c r="AI27" s="148">
        <f>COUNTIFS('2026 Time Off Request'!$A:$A,'Sept 2026'!$D27,'2026 Time Off Request'!$L:$L,'Sept 2026'!AI$6)</f>
        <v>0</v>
      </c>
    </row>
    <row r="28" spans="1:35" ht="15.75">
      <c r="A28" s="2">
        <v>20</v>
      </c>
      <c r="B28" s="209" t="s">
        <v>45</v>
      </c>
      <c r="C28" s="210" t="s">
        <v>60</v>
      </c>
      <c r="D28" s="215" t="s">
        <v>61</v>
      </c>
      <c r="E28" s="212">
        <f t="shared" si="3"/>
        <v>0</v>
      </c>
      <c r="F28" s="223">
        <f>COUNTIFS('2026 Time Off Request'!$A:$A,'Sept 2026'!$D28,'2026 Time Off Request'!$L:$L,'Sept 2026'!F$6)</f>
        <v>0</v>
      </c>
      <c r="G28" s="148">
        <f>COUNTIFS('2026 Time Off Request'!$A:$A,'Sept 2026'!$D28,'2026 Time Off Request'!$L:$L,'Sept 2026'!G$6)</f>
        <v>0</v>
      </c>
      <c r="H28" s="148">
        <f>COUNTIFS('2026 Time Off Request'!$A:$A,'Sept 2026'!$D28,'2026 Time Off Request'!$L:$L,'Sept 2026'!H$6)</f>
        <v>0</v>
      </c>
      <c r="I28" s="148">
        <f>COUNTIFS('2026 Time Off Request'!$A:$A,'Sept 2026'!$D28,'2026 Time Off Request'!$L:$L,'Sept 2026'!I$6)</f>
        <v>0</v>
      </c>
      <c r="J28" s="147">
        <f>COUNTIFS('2026 Time Off Request'!$A:$A,'Sept 2026'!$D28,'2026 Time Off Request'!$L:$L,'Sept 2026'!J$6)</f>
        <v>0</v>
      </c>
      <c r="K28" s="147">
        <f>COUNTIFS('2026 Time Off Request'!$A:$A,'Sept 2026'!$D28,'2026 Time Off Request'!$L:$L,'Sept 2026'!K$6)</f>
        <v>0</v>
      </c>
      <c r="L28" s="224">
        <f>COUNTIFS('2026 Time Off Request'!$A:$A,'Sept 2026'!$D28,'2026 Time Off Request'!$L:$L,'Sept 2026'!L$6)</f>
        <v>0</v>
      </c>
      <c r="M28" s="148">
        <f>COUNTIFS('2026 Time Off Request'!$A:$A,'Sept 2026'!$D28,'2026 Time Off Request'!$L:$L,'Sept 2026'!M$6)</f>
        <v>0</v>
      </c>
      <c r="N28" s="148">
        <f>COUNTIFS('2026 Time Off Request'!$A:$A,'Sept 2026'!$D28,'2026 Time Off Request'!$L:$L,'Sept 2026'!N$6)</f>
        <v>0</v>
      </c>
      <c r="O28" s="148">
        <f>COUNTIFS('2026 Time Off Request'!$A:$A,'Sept 2026'!$D28,'2026 Time Off Request'!$L:$L,'Sept 2026'!O$6)</f>
        <v>0</v>
      </c>
      <c r="P28" s="148">
        <f>COUNTIFS('2026 Time Off Request'!$A:$A,'Sept 2026'!$D28,'2026 Time Off Request'!$L:$L,'Sept 2026'!P$6)</f>
        <v>0</v>
      </c>
      <c r="Q28" s="147">
        <f>COUNTIFS('2026 Time Off Request'!$A:$A,'Sept 2026'!$D28,'2026 Time Off Request'!$L:$L,'Sept 2026'!Q$6)</f>
        <v>0</v>
      </c>
      <c r="R28" s="147">
        <f>COUNTIFS('2026 Time Off Request'!$A:$A,'Sept 2026'!$D28,'2026 Time Off Request'!$L:$L,'Sept 2026'!R$6)</f>
        <v>0</v>
      </c>
      <c r="S28" s="148">
        <f>COUNTIFS('2026 Time Off Request'!$A:$A,'Sept 2026'!$D28,'2026 Time Off Request'!$L:$L,'Sept 2026'!S$6)</f>
        <v>0</v>
      </c>
      <c r="T28" s="148">
        <f>COUNTIFS('2026 Time Off Request'!$A:$A,'Sept 2026'!$D28,'2026 Time Off Request'!$L:$L,'Sept 2026'!T$6)</f>
        <v>0</v>
      </c>
      <c r="U28" s="148">
        <f>COUNTIFS('2026 Time Off Request'!$A:$A,'Sept 2026'!$D28,'2026 Time Off Request'!$L:$L,'Sept 2026'!U$6)</f>
        <v>0</v>
      </c>
      <c r="V28" s="148">
        <f>COUNTIFS('2026 Time Off Request'!$A:$A,'Sept 2026'!$D28,'2026 Time Off Request'!$L:$L,'Sept 2026'!V$6)</f>
        <v>0</v>
      </c>
      <c r="W28" s="148">
        <f>COUNTIFS('2026 Time Off Request'!$A:$A,'Sept 2026'!$D28,'2026 Time Off Request'!$L:$L,'Sept 2026'!W$6)</f>
        <v>0</v>
      </c>
      <c r="X28" s="147">
        <f>COUNTIFS('2026 Time Off Request'!$A:$A,'Sept 2026'!$D28,'2026 Time Off Request'!$L:$L,'Sept 2026'!X$6)</f>
        <v>0</v>
      </c>
      <c r="Y28" s="147">
        <f>COUNTIFS('2026 Time Off Request'!$A:$A,'Sept 2026'!$D28,'2026 Time Off Request'!$L:$L,'Sept 2026'!Y$6)</f>
        <v>0</v>
      </c>
      <c r="Z28" s="148">
        <f>COUNTIFS('2026 Time Off Request'!$A:$A,'Sept 2026'!$D28,'2026 Time Off Request'!$L:$L,'Sept 2026'!Z$6)</f>
        <v>0</v>
      </c>
      <c r="AA28" s="148">
        <f>COUNTIFS('2026 Time Off Request'!$A:$A,'Sept 2026'!$D28,'2026 Time Off Request'!$L:$L,'Sept 2026'!AA$6)</f>
        <v>0</v>
      </c>
      <c r="AB28" s="148">
        <f>COUNTIFS('2026 Time Off Request'!$A:$A,'Sept 2026'!$D28,'2026 Time Off Request'!$L:$L,'Sept 2026'!AB$6)</f>
        <v>0</v>
      </c>
      <c r="AC28" s="148">
        <f>COUNTIFS('2026 Time Off Request'!$A:$A,'Sept 2026'!$D28,'2026 Time Off Request'!$L:$L,'Sept 2026'!AC$6)</f>
        <v>0</v>
      </c>
      <c r="AD28" s="148">
        <f>COUNTIFS('2026 Time Off Request'!$A:$A,'Sept 2026'!$D28,'2026 Time Off Request'!$L:$L,'Sept 2026'!AD$6)</f>
        <v>0</v>
      </c>
      <c r="AE28" s="147">
        <f>COUNTIFS('2026 Time Off Request'!$A:$A,'Sept 2026'!$D28,'2026 Time Off Request'!$L:$L,'Sept 2026'!AE$6)</f>
        <v>0</v>
      </c>
      <c r="AF28" s="147">
        <f>COUNTIFS('2026 Time Off Request'!$A:$A,'Sept 2026'!$D28,'2026 Time Off Request'!$L:$L,'Sept 2026'!AF$6)</f>
        <v>0</v>
      </c>
      <c r="AG28" s="148">
        <f>COUNTIFS('2026 Time Off Request'!$A:$A,'Sept 2026'!$D28,'2026 Time Off Request'!$L:$L,'Sept 2026'!AG$6)</f>
        <v>0</v>
      </c>
      <c r="AH28" s="148">
        <f>COUNTIFS('2026 Time Off Request'!$A:$A,'Sept 2026'!$D28,'2026 Time Off Request'!$L:$L,'Sept 2026'!AH$6)</f>
        <v>0</v>
      </c>
      <c r="AI28" s="148">
        <f>COUNTIFS('2026 Time Off Request'!$A:$A,'Sept 2026'!$D28,'2026 Time Off Request'!$L:$L,'Sept 2026'!AI$6)</f>
        <v>0</v>
      </c>
    </row>
    <row r="29" spans="1:35" ht="15.75">
      <c r="A29" s="2"/>
      <c r="B29" s="209" t="s">
        <v>45</v>
      </c>
      <c r="C29" s="210" t="s">
        <v>62</v>
      </c>
      <c r="D29" s="215" t="s">
        <v>63</v>
      </c>
      <c r="E29" s="212">
        <f t="shared" si="3"/>
        <v>0</v>
      </c>
      <c r="F29" s="223">
        <f>COUNTIFS('2026 Time Off Request'!$A:$A,'Sept 2026'!$D29,'2026 Time Off Request'!$L:$L,'Sept 2026'!F$6)</f>
        <v>0</v>
      </c>
      <c r="G29" s="148">
        <f>COUNTIFS('2026 Time Off Request'!$A:$A,'Sept 2026'!$D29,'2026 Time Off Request'!$L:$L,'Sept 2026'!G$6)</f>
        <v>0</v>
      </c>
      <c r="H29" s="148">
        <f>COUNTIFS('2026 Time Off Request'!$A:$A,'Sept 2026'!$D29,'2026 Time Off Request'!$L:$L,'Sept 2026'!H$6)</f>
        <v>0</v>
      </c>
      <c r="I29" s="148">
        <f>COUNTIFS('2026 Time Off Request'!$A:$A,'Sept 2026'!$D29,'2026 Time Off Request'!$L:$L,'Sept 2026'!I$6)</f>
        <v>0</v>
      </c>
      <c r="J29" s="147">
        <f>COUNTIFS('2026 Time Off Request'!$A:$A,'Sept 2026'!$D29,'2026 Time Off Request'!$L:$L,'Sept 2026'!J$6)</f>
        <v>0</v>
      </c>
      <c r="K29" s="147">
        <f>COUNTIFS('2026 Time Off Request'!$A:$A,'Sept 2026'!$D29,'2026 Time Off Request'!$L:$L,'Sept 2026'!K$6)</f>
        <v>0</v>
      </c>
      <c r="L29" s="224">
        <f>COUNTIFS('2026 Time Off Request'!$A:$A,'Sept 2026'!$D29,'2026 Time Off Request'!$L:$L,'Sept 2026'!L$6)</f>
        <v>0</v>
      </c>
      <c r="M29" s="148">
        <f>COUNTIFS('2026 Time Off Request'!$A:$A,'Sept 2026'!$D29,'2026 Time Off Request'!$L:$L,'Sept 2026'!M$6)</f>
        <v>0</v>
      </c>
      <c r="N29" s="148">
        <f>COUNTIFS('2026 Time Off Request'!$A:$A,'Sept 2026'!$D29,'2026 Time Off Request'!$L:$L,'Sept 2026'!N$6)</f>
        <v>0</v>
      </c>
      <c r="O29" s="148">
        <f>COUNTIFS('2026 Time Off Request'!$A:$A,'Sept 2026'!$D29,'2026 Time Off Request'!$L:$L,'Sept 2026'!O$6)</f>
        <v>0</v>
      </c>
      <c r="P29" s="148">
        <f>COUNTIFS('2026 Time Off Request'!$A:$A,'Sept 2026'!$D29,'2026 Time Off Request'!$L:$L,'Sept 2026'!P$6)</f>
        <v>0</v>
      </c>
      <c r="Q29" s="147">
        <f>COUNTIFS('2026 Time Off Request'!$A:$A,'Sept 2026'!$D29,'2026 Time Off Request'!$L:$L,'Sept 2026'!Q$6)</f>
        <v>0</v>
      </c>
      <c r="R29" s="147">
        <f>COUNTIFS('2026 Time Off Request'!$A:$A,'Sept 2026'!$D29,'2026 Time Off Request'!$L:$L,'Sept 2026'!R$6)</f>
        <v>0</v>
      </c>
      <c r="S29" s="148">
        <f>COUNTIFS('2026 Time Off Request'!$A:$A,'Sept 2026'!$D29,'2026 Time Off Request'!$L:$L,'Sept 2026'!S$6)</f>
        <v>0</v>
      </c>
      <c r="T29" s="148">
        <f>COUNTIFS('2026 Time Off Request'!$A:$A,'Sept 2026'!$D29,'2026 Time Off Request'!$L:$L,'Sept 2026'!T$6)</f>
        <v>0</v>
      </c>
      <c r="U29" s="148">
        <f>COUNTIFS('2026 Time Off Request'!$A:$A,'Sept 2026'!$D29,'2026 Time Off Request'!$L:$L,'Sept 2026'!U$6)</f>
        <v>0</v>
      </c>
      <c r="V29" s="148">
        <f>COUNTIFS('2026 Time Off Request'!$A:$A,'Sept 2026'!$D29,'2026 Time Off Request'!$L:$L,'Sept 2026'!V$6)</f>
        <v>0</v>
      </c>
      <c r="W29" s="148">
        <f>COUNTIFS('2026 Time Off Request'!$A:$A,'Sept 2026'!$D29,'2026 Time Off Request'!$L:$L,'Sept 2026'!W$6)</f>
        <v>0</v>
      </c>
      <c r="X29" s="147">
        <f>COUNTIFS('2026 Time Off Request'!$A:$A,'Sept 2026'!$D29,'2026 Time Off Request'!$L:$L,'Sept 2026'!X$6)</f>
        <v>0</v>
      </c>
      <c r="Y29" s="147">
        <f>COUNTIFS('2026 Time Off Request'!$A:$A,'Sept 2026'!$D29,'2026 Time Off Request'!$L:$L,'Sept 2026'!Y$6)</f>
        <v>0</v>
      </c>
      <c r="Z29" s="148">
        <f>COUNTIFS('2026 Time Off Request'!$A:$A,'Sept 2026'!$D29,'2026 Time Off Request'!$L:$L,'Sept 2026'!Z$6)</f>
        <v>0</v>
      </c>
      <c r="AA29" s="148">
        <f>COUNTIFS('2026 Time Off Request'!$A:$A,'Sept 2026'!$D29,'2026 Time Off Request'!$L:$L,'Sept 2026'!AA$6)</f>
        <v>0</v>
      </c>
      <c r="AB29" s="148">
        <f>COUNTIFS('2026 Time Off Request'!$A:$A,'Sept 2026'!$D29,'2026 Time Off Request'!$L:$L,'Sept 2026'!AB$6)</f>
        <v>0</v>
      </c>
      <c r="AC29" s="148">
        <f>COUNTIFS('2026 Time Off Request'!$A:$A,'Sept 2026'!$D29,'2026 Time Off Request'!$L:$L,'Sept 2026'!AC$6)</f>
        <v>0</v>
      </c>
      <c r="AD29" s="148">
        <f>COUNTIFS('2026 Time Off Request'!$A:$A,'Sept 2026'!$D29,'2026 Time Off Request'!$L:$L,'Sept 2026'!AD$6)</f>
        <v>0</v>
      </c>
      <c r="AE29" s="147">
        <f>COUNTIFS('2026 Time Off Request'!$A:$A,'Sept 2026'!$D29,'2026 Time Off Request'!$L:$L,'Sept 2026'!AE$6)</f>
        <v>0</v>
      </c>
      <c r="AF29" s="147">
        <f>COUNTIFS('2026 Time Off Request'!$A:$A,'Sept 2026'!$D29,'2026 Time Off Request'!$L:$L,'Sept 2026'!AF$6)</f>
        <v>0</v>
      </c>
      <c r="AG29" s="148">
        <f>COUNTIFS('2026 Time Off Request'!$A:$A,'Sept 2026'!$D29,'2026 Time Off Request'!$L:$L,'Sept 2026'!AG$6)</f>
        <v>0</v>
      </c>
      <c r="AH29" s="148">
        <f>COUNTIFS('2026 Time Off Request'!$A:$A,'Sept 2026'!$D29,'2026 Time Off Request'!$L:$L,'Sept 2026'!AH$6)</f>
        <v>0</v>
      </c>
      <c r="AI29" s="148">
        <f>COUNTIFS('2026 Time Off Request'!$A:$A,'Sept 2026'!$D29,'2026 Time Off Request'!$L:$L,'Sept 2026'!AI$6)</f>
        <v>0</v>
      </c>
    </row>
    <row r="30" spans="1:35" ht="15.75">
      <c r="A30" s="2">
        <v>21</v>
      </c>
      <c r="B30" s="209" t="s">
        <v>49</v>
      </c>
      <c r="C30" s="210" t="s">
        <v>64</v>
      </c>
      <c r="D30" s="215" t="s">
        <v>65</v>
      </c>
      <c r="E30" s="212">
        <f t="shared" si="2"/>
        <v>0</v>
      </c>
      <c r="F30" s="223">
        <f>COUNTIFS('2026 Time Off Request'!$A:$A,'Sept 2026'!$D30,'2026 Time Off Request'!$L:$L,'Sept 2026'!F$6)</f>
        <v>0</v>
      </c>
      <c r="G30" s="148">
        <f>COUNTIFS('2026 Time Off Request'!$A:$A,'Sept 2026'!$D30,'2026 Time Off Request'!$L:$L,'Sept 2026'!G$6)</f>
        <v>0</v>
      </c>
      <c r="H30" s="148">
        <f>COUNTIFS('2026 Time Off Request'!$A:$A,'Sept 2026'!$D30,'2026 Time Off Request'!$L:$L,'Sept 2026'!H$6)</f>
        <v>0</v>
      </c>
      <c r="I30" s="148">
        <f>COUNTIFS('2026 Time Off Request'!$A:$A,'Sept 2026'!$D30,'2026 Time Off Request'!$L:$L,'Sept 2026'!I$6)</f>
        <v>0</v>
      </c>
      <c r="J30" s="147">
        <f>COUNTIFS('2026 Time Off Request'!$A:$A,'Sept 2026'!$D30,'2026 Time Off Request'!$L:$L,'Sept 2026'!J$6)</f>
        <v>0</v>
      </c>
      <c r="K30" s="147">
        <f>COUNTIFS('2026 Time Off Request'!$A:$A,'Sept 2026'!$D30,'2026 Time Off Request'!$L:$L,'Sept 2026'!K$6)</f>
        <v>0</v>
      </c>
      <c r="L30" s="224">
        <f>COUNTIFS('2026 Time Off Request'!$A:$A,'Sept 2026'!$D30,'2026 Time Off Request'!$L:$L,'Sept 2026'!L$6)</f>
        <v>0</v>
      </c>
      <c r="M30" s="148">
        <f>COUNTIFS('2026 Time Off Request'!$A:$A,'Sept 2026'!$D30,'2026 Time Off Request'!$L:$L,'Sept 2026'!M$6)</f>
        <v>0</v>
      </c>
      <c r="N30" s="148">
        <f>COUNTIFS('2026 Time Off Request'!$A:$A,'Sept 2026'!$D30,'2026 Time Off Request'!$L:$L,'Sept 2026'!N$6)</f>
        <v>0</v>
      </c>
      <c r="O30" s="148">
        <f>COUNTIFS('2026 Time Off Request'!$A:$A,'Sept 2026'!$D30,'2026 Time Off Request'!$L:$L,'Sept 2026'!O$6)</f>
        <v>0</v>
      </c>
      <c r="P30" s="148">
        <f>COUNTIFS('2026 Time Off Request'!$A:$A,'Sept 2026'!$D30,'2026 Time Off Request'!$L:$L,'Sept 2026'!P$6)</f>
        <v>0</v>
      </c>
      <c r="Q30" s="147">
        <f>COUNTIFS('2026 Time Off Request'!$A:$A,'Sept 2026'!$D30,'2026 Time Off Request'!$L:$L,'Sept 2026'!Q$6)</f>
        <v>0</v>
      </c>
      <c r="R30" s="147">
        <f>COUNTIFS('2026 Time Off Request'!$A:$A,'Sept 2026'!$D30,'2026 Time Off Request'!$L:$L,'Sept 2026'!R$6)</f>
        <v>0</v>
      </c>
      <c r="S30" s="148">
        <f>COUNTIFS('2026 Time Off Request'!$A:$A,'Sept 2026'!$D30,'2026 Time Off Request'!$L:$L,'Sept 2026'!S$6)</f>
        <v>0</v>
      </c>
      <c r="T30" s="148">
        <f>COUNTIFS('2026 Time Off Request'!$A:$A,'Sept 2026'!$D30,'2026 Time Off Request'!$L:$L,'Sept 2026'!T$6)</f>
        <v>0</v>
      </c>
      <c r="U30" s="148">
        <f>COUNTIFS('2026 Time Off Request'!$A:$A,'Sept 2026'!$D30,'2026 Time Off Request'!$L:$L,'Sept 2026'!U$6)</f>
        <v>0</v>
      </c>
      <c r="V30" s="148">
        <f>COUNTIFS('2026 Time Off Request'!$A:$A,'Sept 2026'!$D30,'2026 Time Off Request'!$L:$L,'Sept 2026'!V$6)</f>
        <v>0</v>
      </c>
      <c r="W30" s="148">
        <f>COUNTIFS('2026 Time Off Request'!$A:$A,'Sept 2026'!$D30,'2026 Time Off Request'!$L:$L,'Sept 2026'!W$6)</f>
        <v>0</v>
      </c>
      <c r="X30" s="147">
        <f>COUNTIFS('2026 Time Off Request'!$A:$A,'Sept 2026'!$D30,'2026 Time Off Request'!$L:$L,'Sept 2026'!X$6)</f>
        <v>0</v>
      </c>
      <c r="Y30" s="147">
        <f>COUNTIFS('2026 Time Off Request'!$A:$A,'Sept 2026'!$D30,'2026 Time Off Request'!$L:$L,'Sept 2026'!Y$6)</f>
        <v>0</v>
      </c>
      <c r="Z30" s="148">
        <f>COUNTIFS('2026 Time Off Request'!$A:$A,'Sept 2026'!$D30,'2026 Time Off Request'!$L:$L,'Sept 2026'!Z$6)</f>
        <v>0</v>
      </c>
      <c r="AA30" s="148">
        <f>COUNTIFS('2026 Time Off Request'!$A:$A,'Sept 2026'!$D30,'2026 Time Off Request'!$L:$L,'Sept 2026'!AA$6)</f>
        <v>0</v>
      </c>
      <c r="AB30" s="148">
        <f>COUNTIFS('2026 Time Off Request'!$A:$A,'Sept 2026'!$D30,'2026 Time Off Request'!$L:$L,'Sept 2026'!AB$6)</f>
        <v>0</v>
      </c>
      <c r="AC30" s="148">
        <f>COUNTIFS('2026 Time Off Request'!$A:$A,'Sept 2026'!$D30,'2026 Time Off Request'!$L:$L,'Sept 2026'!AC$6)</f>
        <v>0</v>
      </c>
      <c r="AD30" s="148">
        <f>COUNTIFS('2026 Time Off Request'!$A:$A,'Sept 2026'!$D30,'2026 Time Off Request'!$L:$L,'Sept 2026'!AD$6)</f>
        <v>0</v>
      </c>
      <c r="AE30" s="147">
        <f>COUNTIFS('2026 Time Off Request'!$A:$A,'Sept 2026'!$D30,'2026 Time Off Request'!$L:$L,'Sept 2026'!AE$6)</f>
        <v>0</v>
      </c>
      <c r="AF30" s="147">
        <f>COUNTIFS('2026 Time Off Request'!$A:$A,'Sept 2026'!$D30,'2026 Time Off Request'!$L:$L,'Sept 2026'!AF$6)</f>
        <v>0</v>
      </c>
      <c r="AG30" s="148">
        <f>COUNTIFS('2026 Time Off Request'!$A:$A,'Sept 2026'!$D30,'2026 Time Off Request'!$L:$L,'Sept 2026'!AG$6)</f>
        <v>0</v>
      </c>
      <c r="AH30" s="148">
        <f>COUNTIFS('2026 Time Off Request'!$A:$A,'Sept 2026'!$D30,'2026 Time Off Request'!$L:$L,'Sept 2026'!AH$6)</f>
        <v>0</v>
      </c>
      <c r="AI30" s="148">
        <f>COUNTIFS('2026 Time Off Request'!$A:$A,'Sept 2026'!$D30,'2026 Time Off Request'!$L:$L,'Sept 2026'!AI$6)</f>
        <v>0</v>
      </c>
    </row>
    <row r="31" spans="1:35" ht="15.75">
      <c r="A31" s="2">
        <v>22</v>
      </c>
      <c r="B31" s="209" t="s">
        <v>49</v>
      </c>
      <c r="C31" s="210" t="s">
        <v>66</v>
      </c>
      <c r="D31" s="215" t="s">
        <v>67</v>
      </c>
      <c r="E31" s="212">
        <f t="shared" si="2"/>
        <v>0</v>
      </c>
      <c r="F31" s="223">
        <f>COUNTIFS('2026 Time Off Request'!$A:$A,'Sept 2026'!$D31,'2026 Time Off Request'!$L:$L,'Sept 2026'!F$6)</f>
        <v>0</v>
      </c>
      <c r="G31" s="148">
        <f>COUNTIFS('2026 Time Off Request'!$A:$A,'Sept 2026'!$D31,'2026 Time Off Request'!$L:$L,'Sept 2026'!G$6)</f>
        <v>0</v>
      </c>
      <c r="H31" s="148">
        <f>COUNTIFS('2026 Time Off Request'!$A:$A,'Sept 2026'!$D31,'2026 Time Off Request'!$L:$L,'Sept 2026'!H$6)</f>
        <v>0</v>
      </c>
      <c r="I31" s="148">
        <f>COUNTIFS('2026 Time Off Request'!$A:$A,'Sept 2026'!$D31,'2026 Time Off Request'!$L:$L,'Sept 2026'!I$6)</f>
        <v>0</v>
      </c>
      <c r="J31" s="147">
        <f>COUNTIFS('2026 Time Off Request'!$A:$A,'Sept 2026'!$D31,'2026 Time Off Request'!$L:$L,'Sept 2026'!J$6)</f>
        <v>0</v>
      </c>
      <c r="K31" s="147">
        <f>COUNTIFS('2026 Time Off Request'!$A:$A,'Sept 2026'!$D31,'2026 Time Off Request'!$L:$L,'Sept 2026'!K$6)</f>
        <v>0</v>
      </c>
      <c r="L31" s="224">
        <f>COUNTIFS('2026 Time Off Request'!$A:$A,'Sept 2026'!$D31,'2026 Time Off Request'!$L:$L,'Sept 2026'!L$6)</f>
        <v>0</v>
      </c>
      <c r="M31" s="148">
        <f>COUNTIFS('2026 Time Off Request'!$A:$A,'Sept 2026'!$D31,'2026 Time Off Request'!$L:$L,'Sept 2026'!M$6)</f>
        <v>0</v>
      </c>
      <c r="N31" s="148">
        <f>COUNTIFS('2026 Time Off Request'!$A:$A,'Sept 2026'!$D31,'2026 Time Off Request'!$L:$L,'Sept 2026'!N$6)</f>
        <v>0</v>
      </c>
      <c r="O31" s="148">
        <f>COUNTIFS('2026 Time Off Request'!$A:$A,'Sept 2026'!$D31,'2026 Time Off Request'!$L:$L,'Sept 2026'!O$6)</f>
        <v>0</v>
      </c>
      <c r="P31" s="148">
        <f>COUNTIFS('2026 Time Off Request'!$A:$A,'Sept 2026'!$D31,'2026 Time Off Request'!$L:$L,'Sept 2026'!P$6)</f>
        <v>0</v>
      </c>
      <c r="Q31" s="147">
        <f>COUNTIFS('2026 Time Off Request'!$A:$A,'Sept 2026'!$D31,'2026 Time Off Request'!$L:$L,'Sept 2026'!Q$6)</f>
        <v>0</v>
      </c>
      <c r="R31" s="147">
        <f>COUNTIFS('2026 Time Off Request'!$A:$A,'Sept 2026'!$D31,'2026 Time Off Request'!$L:$L,'Sept 2026'!R$6)</f>
        <v>0</v>
      </c>
      <c r="S31" s="148">
        <f>COUNTIFS('2026 Time Off Request'!$A:$A,'Sept 2026'!$D31,'2026 Time Off Request'!$L:$L,'Sept 2026'!S$6)</f>
        <v>0</v>
      </c>
      <c r="T31" s="148">
        <f>COUNTIFS('2026 Time Off Request'!$A:$A,'Sept 2026'!$D31,'2026 Time Off Request'!$L:$L,'Sept 2026'!T$6)</f>
        <v>0</v>
      </c>
      <c r="U31" s="148">
        <f>COUNTIFS('2026 Time Off Request'!$A:$A,'Sept 2026'!$D31,'2026 Time Off Request'!$L:$L,'Sept 2026'!U$6)</f>
        <v>0</v>
      </c>
      <c r="V31" s="148">
        <f>COUNTIFS('2026 Time Off Request'!$A:$A,'Sept 2026'!$D31,'2026 Time Off Request'!$L:$L,'Sept 2026'!V$6)</f>
        <v>0</v>
      </c>
      <c r="W31" s="148">
        <f>COUNTIFS('2026 Time Off Request'!$A:$A,'Sept 2026'!$D31,'2026 Time Off Request'!$L:$L,'Sept 2026'!W$6)</f>
        <v>0</v>
      </c>
      <c r="X31" s="147">
        <f>COUNTIFS('2026 Time Off Request'!$A:$A,'Sept 2026'!$D31,'2026 Time Off Request'!$L:$L,'Sept 2026'!X$6)</f>
        <v>0</v>
      </c>
      <c r="Y31" s="147">
        <f>COUNTIFS('2026 Time Off Request'!$A:$A,'Sept 2026'!$D31,'2026 Time Off Request'!$L:$L,'Sept 2026'!Y$6)</f>
        <v>0</v>
      </c>
      <c r="Z31" s="148">
        <f>COUNTIFS('2026 Time Off Request'!$A:$A,'Sept 2026'!$D31,'2026 Time Off Request'!$L:$L,'Sept 2026'!Z$6)</f>
        <v>0</v>
      </c>
      <c r="AA31" s="148">
        <f>COUNTIFS('2026 Time Off Request'!$A:$A,'Sept 2026'!$D31,'2026 Time Off Request'!$L:$L,'Sept 2026'!AA$6)</f>
        <v>0</v>
      </c>
      <c r="AB31" s="148">
        <f>COUNTIFS('2026 Time Off Request'!$A:$A,'Sept 2026'!$D31,'2026 Time Off Request'!$L:$L,'Sept 2026'!AB$6)</f>
        <v>0</v>
      </c>
      <c r="AC31" s="148">
        <f>COUNTIFS('2026 Time Off Request'!$A:$A,'Sept 2026'!$D31,'2026 Time Off Request'!$L:$L,'Sept 2026'!AC$6)</f>
        <v>0</v>
      </c>
      <c r="AD31" s="148">
        <f>COUNTIFS('2026 Time Off Request'!$A:$A,'Sept 2026'!$D31,'2026 Time Off Request'!$L:$L,'Sept 2026'!AD$6)</f>
        <v>0</v>
      </c>
      <c r="AE31" s="147">
        <f>COUNTIFS('2026 Time Off Request'!$A:$A,'Sept 2026'!$D31,'2026 Time Off Request'!$L:$L,'Sept 2026'!AE$6)</f>
        <v>0</v>
      </c>
      <c r="AF31" s="147">
        <f>COUNTIFS('2026 Time Off Request'!$A:$A,'Sept 2026'!$D31,'2026 Time Off Request'!$L:$L,'Sept 2026'!AF$6)</f>
        <v>0</v>
      </c>
      <c r="AG31" s="148">
        <f>COUNTIFS('2026 Time Off Request'!$A:$A,'Sept 2026'!$D31,'2026 Time Off Request'!$L:$L,'Sept 2026'!AG$6)</f>
        <v>0</v>
      </c>
      <c r="AH31" s="148">
        <f>COUNTIFS('2026 Time Off Request'!$A:$A,'Sept 2026'!$D31,'2026 Time Off Request'!$L:$L,'Sept 2026'!AH$6)</f>
        <v>0</v>
      </c>
      <c r="AI31" s="148">
        <f>COUNTIFS('2026 Time Off Request'!$A:$A,'Sept 2026'!$D31,'2026 Time Off Request'!$L:$L,'Sept 2026'!AI$6)</f>
        <v>0</v>
      </c>
    </row>
    <row r="32" spans="1:35" ht="15.75">
      <c r="A32" s="2">
        <v>23</v>
      </c>
      <c r="B32" s="209" t="s">
        <v>45</v>
      </c>
      <c r="C32" s="210" t="s">
        <v>68</v>
      </c>
      <c r="D32" s="215" t="s">
        <v>69</v>
      </c>
      <c r="E32" s="212">
        <f t="shared" si="2"/>
        <v>0</v>
      </c>
      <c r="F32" s="223">
        <f>COUNTIFS('2026 Time Off Request'!$A:$A,'Sept 2026'!$D32,'2026 Time Off Request'!$L:$L,'Sept 2026'!F$6)</f>
        <v>0</v>
      </c>
      <c r="G32" s="148">
        <f>COUNTIFS('2026 Time Off Request'!$A:$A,'Sept 2026'!$D32,'2026 Time Off Request'!$L:$L,'Sept 2026'!G$6)</f>
        <v>0</v>
      </c>
      <c r="H32" s="148">
        <f>COUNTIFS('2026 Time Off Request'!$A:$A,'Sept 2026'!$D32,'2026 Time Off Request'!$L:$L,'Sept 2026'!H$6)</f>
        <v>0</v>
      </c>
      <c r="I32" s="148">
        <f>COUNTIFS('2026 Time Off Request'!$A:$A,'Sept 2026'!$D32,'2026 Time Off Request'!$L:$L,'Sept 2026'!I$6)</f>
        <v>0</v>
      </c>
      <c r="J32" s="147">
        <f>COUNTIFS('2026 Time Off Request'!$A:$A,'Sept 2026'!$D32,'2026 Time Off Request'!$L:$L,'Sept 2026'!J$6)</f>
        <v>0</v>
      </c>
      <c r="K32" s="147">
        <f>COUNTIFS('2026 Time Off Request'!$A:$A,'Sept 2026'!$D32,'2026 Time Off Request'!$L:$L,'Sept 2026'!K$6)</f>
        <v>0</v>
      </c>
      <c r="L32" s="224">
        <f>COUNTIFS('2026 Time Off Request'!$A:$A,'Sept 2026'!$D32,'2026 Time Off Request'!$L:$L,'Sept 2026'!L$6)</f>
        <v>0</v>
      </c>
      <c r="M32" s="148">
        <f>COUNTIFS('2026 Time Off Request'!$A:$A,'Sept 2026'!$D32,'2026 Time Off Request'!$L:$L,'Sept 2026'!M$6)</f>
        <v>0</v>
      </c>
      <c r="N32" s="148">
        <f>COUNTIFS('2026 Time Off Request'!$A:$A,'Sept 2026'!$D32,'2026 Time Off Request'!$L:$L,'Sept 2026'!N$6)</f>
        <v>0</v>
      </c>
      <c r="O32" s="148">
        <f>COUNTIFS('2026 Time Off Request'!$A:$A,'Sept 2026'!$D32,'2026 Time Off Request'!$L:$L,'Sept 2026'!O$6)</f>
        <v>0</v>
      </c>
      <c r="P32" s="148">
        <f>COUNTIFS('2026 Time Off Request'!$A:$A,'Sept 2026'!$D32,'2026 Time Off Request'!$L:$L,'Sept 2026'!P$6)</f>
        <v>0</v>
      </c>
      <c r="Q32" s="147">
        <f>COUNTIFS('2026 Time Off Request'!$A:$A,'Sept 2026'!$D32,'2026 Time Off Request'!$L:$L,'Sept 2026'!Q$6)</f>
        <v>0</v>
      </c>
      <c r="R32" s="147">
        <f>COUNTIFS('2026 Time Off Request'!$A:$A,'Sept 2026'!$D32,'2026 Time Off Request'!$L:$L,'Sept 2026'!R$6)</f>
        <v>0</v>
      </c>
      <c r="S32" s="148">
        <f>COUNTIFS('2026 Time Off Request'!$A:$A,'Sept 2026'!$D32,'2026 Time Off Request'!$L:$L,'Sept 2026'!S$6)</f>
        <v>0</v>
      </c>
      <c r="T32" s="148">
        <f>COUNTIFS('2026 Time Off Request'!$A:$A,'Sept 2026'!$D32,'2026 Time Off Request'!$L:$L,'Sept 2026'!T$6)</f>
        <v>0</v>
      </c>
      <c r="U32" s="148">
        <f>COUNTIFS('2026 Time Off Request'!$A:$A,'Sept 2026'!$D32,'2026 Time Off Request'!$L:$L,'Sept 2026'!U$6)</f>
        <v>0</v>
      </c>
      <c r="V32" s="148">
        <f>COUNTIFS('2026 Time Off Request'!$A:$A,'Sept 2026'!$D32,'2026 Time Off Request'!$L:$L,'Sept 2026'!V$6)</f>
        <v>0</v>
      </c>
      <c r="W32" s="148">
        <f>COUNTIFS('2026 Time Off Request'!$A:$A,'Sept 2026'!$D32,'2026 Time Off Request'!$L:$L,'Sept 2026'!W$6)</f>
        <v>0</v>
      </c>
      <c r="X32" s="147">
        <f>COUNTIFS('2026 Time Off Request'!$A:$A,'Sept 2026'!$D32,'2026 Time Off Request'!$L:$L,'Sept 2026'!X$6)</f>
        <v>0</v>
      </c>
      <c r="Y32" s="147">
        <f>COUNTIFS('2026 Time Off Request'!$A:$A,'Sept 2026'!$D32,'2026 Time Off Request'!$L:$L,'Sept 2026'!Y$6)</f>
        <v>0</v>
      </c>
      <c r="Z32" s="148">
        <f>COUNTIFS('2026 Time Off Request'!$A:$A,'Sept 2026'!$D32,'2026 Time Off Request'!$L:$L,'Sept 2026'!Z$6)</f>
        <v>0</v>
      </c>
      <c r="AA32" s="148">
        <f>COUNTIFS('2026 Time Off Request'!$A:$A,'Sept 2026'!$D32,'2026 Time Off Request'!$L:$L,'Sept 2026'!AA$6)</f>
        <v>0</v>
      </c>
      <c r="AB32" s="148">
        <f>COUNTIFS('2026 Time Off Request'!$A:$A,'Sept 2026'!$D32,'2026 Time Off Request'!$L:$L,'Sept 2026'!AB$6)</f>
        <v>0</v>
      </c>
      <c r="AC32" s="148">
        <f>COUNTIFS('2026 Time Off Request'!$A:$A,'Sept 2026'!$D32,'2026 Time Off Request'!$L:$L,'Sept 2026'!AC$6)</f>
        <v>0</v>
      </c>
      <c r="AD32" s="148">
        <f>COUNTIFS('2026 Time Off Request'!$A:$A,'Sept 2026'!$D32,'2026 Time Off Request'!$L:$L,'Sept 2026'!AD$6)</f>
        <v>0</v>
      </c>
      <c r="AE32" s="147">
        <f>COUNTIFS('2026 Time Off Request'!$A:$A,'Sept 2026'!$D32,'2026 Time Off Request'!$L:$L,'Sept 2026'!AE$6)</f>
        <v>0</v>
      </c>
      <c r="AF32" s="147">
        <f>COUNTIFS('2026 Time Off Request'!$A:$A,'Sept 2026'!$D32,'2026 Time Off Request'!$L:$L,'Sept 2026'!AF$6)</f>
        <v>0</v>
      </c>
      <c r="AG32" s="148">
        <f>COUNTIFS('2026 Time Off Request'!$A:$A,'Sept 2026'!$D32,'2026 Time Off Request'!$L:$L,'Sept 2026'!AG$6)</f>
        <v>0</v>
      </c>
      <c r="AH32" s="148">
        <f>COUNTIFS('2026 Time Off Request'!$A:$A,'Sept 2026'!$D32,'2026 Time Off Request'!$L:$L,'Sept 2026'!AH$6)</f>
        <v>0</v>
      </c>
      <c r="AI32" s="148">
        <f>COUNTIFS('2026 Time Off Request'!$A:$A,'Sept 2026'!$D32,'2026 Time Off Request'!$L:$L,'Sept 2026'!AI$6)</f>
        <v>0</v>
      </c>
    </row>
    <row r="33" spans="1:35" ht="15.75">
      <c r="A33" s="2">
        <v>24</v>
      </c>
      <c r="B33" s="209" t="s">
        <v>45</v>
      </c>
      <c r="C33" s="210" t="s">
        <v>70</v>
      </c>
      <c r="D33" s="215" t="s">
        <v>71</v>
      </c>
      <c r="E33" s="212">
        <f t="shared" si="2"/>
        <v>0</v>
      </c>
      <c r="F33" s="223">
        <f>COUNTIFS('2026 Time Off Request'!$A:$A,'Sept 2026'!$D33,'2026 Time Off Request'!$L:$L,'Sept 2026'!F$6)</f>
        <v>0</v>
      </c>
      <c r="G33" s="148">
        <f>COUNTIFS('2026 Time Off Request'!$A:$A,'Sept 2026'!$D33,'2026 Time Off Request'!$L:$L,'Sept 2026'!G$6)</f>
        <v>0</v>
      </c>
      <c r="H33" s="148">
        <f>COUNTIFS('2026 Time Off Request'!$A:$A,'Sept 2026'!$D33,'2026 Time Off Request'!$L:$L,'Sept 2026'!H$6)</f>
        <v>0</v>
      </c>
      <c r="I33" s="148">
        <f>COUNTIFS('2026 Time Off Request'!$A:$A,'Sept 2026'!$D33,'2026 Time Off Request'!$L:$L,'Sept 2026'!I$6)</f>
        <v>0</v>
      </c>
      <c r="J33" s="147">
        <f>COUNTIFS('2026 Time Off Request'!$A:$A,'Sept 2026'!$D33,'2026 Time Off Request'!$L:$L,'Sept 2026'!J$6)</f>
        <v>0</v>
      </c>
      <c r="K33" s="147">
        <f>COUNTIFS('2026 Time Off Request'!$A:$A,'Sept 2026'!$D33,'2026 Time Off Request'!$L:$L,'Sept 2026'!K$6)</f>
        <v>0</v>
      </c>
      <c r="L33" s="224">
        <f>COUNTIFS('2026 Time Off Request'!$A:$A,'Sept 2026'!$D33,'2026 Time Off Request'!$L:$L,'Sept 2026'!L$6)</f>
        <v>0</v>
      </c>
      <c r="M33" s="148">
        <f>COUNTIFS('2026 Time Off Request'!$A:$A,'Sept 2026'!$D33,'2026 Time Off Request'!$L:$L,'Sept 2026'!M$6)</f>
        <v>0</v>
      </c>
      <c r="N33" s="148">
        <f>COUNTIFS('2026 Time Off Request'!$A:$A,'Sept 2026'!$D33,'2026 Time Off Request'!$L:$L,'Sept 2026'!N$6)</f>
        <v>0</v>
      </c>
      <c r="O33" s="148">
        <f>COUNTIFS('2026 Time Off Request'!$A:$A,'Sept 2026'!$D33,'2026 Time Off Request'!$L:$L,'Sept 2026'!O$6)</f>
        <v>0</v>
      </c>
      <c r="P33" s="148">
        <f>COUNTIFS('2026 Time Off Request'!$A:$A,'Sept 2026'!$D33,'2026 Time Off Request'!$L:$L,'Sept 2026'!P$6)</f>
        <v>0</v>
      </c>
      <c r="Q33" s="147">
        <f>COUNTIFS('2026 Time Off Request'!$A:$A,'Sept 2026'!$D33,'2026 Time Off Request'!$L:$L,'Sept 2026'!Q$6)</f>
        <v>0</v>
      </c>
      <c r="R33" s="147">
        <f>COUNTIFS('2026 Time Off Request'!$A:$A,'Sept 2026'!$D33,'2026 Time Off Request'!$L:$L,'Sept 2026'!R$6)</f>
        <v>0</v>
      </c>
      <c r="S33" s="148">
        <f>COUNTIFS('2026 Time Off Request'!$A:$A,'Sept 2026'!$D33,'2026 Time Off Request'!$L:$L,'Sept 2026'!S$6)</f>
        <v>0</v>
      </c>
      <c r="T33" s="148">
        <f>COUNTIFS('2026 Time Off Request'!$A:$A,'Sept 2026'!$D33,'2026 Time Off Request'!$L:$L,'Sept 2026'!T$6)</f>
        <v>0</v>
      </c>
      <c r="U33" s="148">
        <f>COUNTIFS('2026 Time Off Request'!$A:$A,'Sept 2026'!$D33,'2026 Time Off Request'!$L:$L,'Sept 2026'!U$6)</f>
        <v>0</v>
      </c>
      <c r="V33" s="148">
        <f>COUNTIFS('2026 Time Off Request'!$A:$A,'Sept 2026'!$D33,'2026 Time Off Request'!$L:$L,'Sept 2026'!V$6)</f>
        <v>0</v>
      </c>
      <c r="W33" s="148">
        <f>COUNTIFS('2026 Time Off Request'!$A:$A,'Sept 2026'!$D33,'2026 Time Off Request'!$L:$L,'Sept 2026'!W$6)</f>
        <v>0</v>
      </c>
      <c r="X33" s="147">
        <f>COUNTIFS('2026 Time Off Request'!$A:$A,'Sept 2026'!$D33,'2026 Time Off Request'!$L:$L,'Sept 2026'!X$6)</f>
        <v>0</v>
      </c>
      <c r="Y33" s="147">
        <f>COUNTIFS('2026 Time Off Request'!$A:$A,'Sept 2026'!$D33,'2026 Time Off Request'!$L:$L,'Sept 2026'!Y$6)</f>
        <v>0</v>
      </c>
      <c r="Z33" s="148">
        <f>COUNTIFS('2026 Time Off Request'!$A:$A,'Sept 2026'!$D33,'2026 Time Off Request'!$L:$L,'Sept 2026'!Z$6)</f>
        <v>0</v>
      </c>
      <c r="AA33" s="148">
        <f>COUNTIFS('2026 Time Off Request'!$A:$A,'Sept 2026'!$D33,'2026 Time Off Request'!$L:$L,'Sept 2026'!AA$6)</f>
        <v>0</v>
      </c>
      <c r="AB33" s="148">
        <f>COUNTIFS('2026 Time Off Request'!$A:$A,'Sept 2026'!$D33,'2026 Time Off Request'!$L:$L,'Sept 2026'!AB$6)</f>
        <v>0</v>
      </c>
      <c r="AC33" s="148">
        <f>COUNTIFS('2026 Time Off Request'!$A:$A,'Sept 2026'!$D33,'2026 Time Off Request'!$L:$L,'Sept 2026'!AC$6)</f>
        <v>0</v>
      </c>
      <c r="AD33" s="148">
        <f>COUNTIFS('2026 Time Off Request'!$A:$A,'Sept 2026'!$D33,'2026 Time Off Request'!$L:$L,'Sept 2026'!AD$6)</f>
        <v>0</v>
      </c>
      <c r="AE33" s="147">
        <f>COUNTIFS('2026 Time Off Request'!$A:$A,'Sept 2026'!$D33,'2026 Time Off Request'!$L:$L,'Sept 2026'!AE$6)</f>
        <v>0</v>
      </c>
      <c r="AF33" s="147">
        <f>COUNTIFS('2026 Time Off Request'!$A:$A,'Sept 2026'!$D33,'2026 Time Off Request'!$L:$L,'Sept 2026'!AF$6)</f>
        <v>0</v>
      </c>
      <c r="AG33" s="148">
        <f>COUNTIFS('2026 Time Off Request'!$A:$A,'Sept 2026'!$D33,'2026 Time Off Request'!$L:$L,'Sept 2026'!AG$6)</f>
        <v>0</v>
      </c>
      <c r="AH33" s="148">
        <f>COUNTIFS('2026 Time Off Request'!$A:$A,'Sept 2026'!$D33,'2026 Time Off Request'!$L:$L,'Sept 2026'!AH$6)</f>
        <v>0</v>
      </c>
      <c r="AI33" s="148">
        <f>COUNTIFS('2026 Time Off Request'!$A:$A,'Sept 2026'!$D33,'2026 Time Off Request'!$L:$L,'Sept 2026'!AI$6)</f>
        <v>0</v>
      </c>
    </row>
    <row r="34" spans="1:35" ht="15.75">
      <c r="A34" s="2">
        <v>25</v>
      </c>
      <c r="B34" s="209" t="s">
        <v>45</v>
      </c>
      <c r="C34" s="210" t="s">
        <v>70</v>
      </c>
      <c r="D34" s="215" t="s">
        <v>72</v>
      </c>
      <c r="E34" s="212">
        <f t="shared" si="2"/>
        <v>0</v>
      </c>
      <c r="F34" s="223">
        <f>COUNTIFS('2026 Time Off Request'!$A:$A,'Sept 2026'!$D34,'2026 Time Off Request'!$L:$L,'Sept 2026'!F$6)</f>
        <v>0</v>
      </c>
      <c r="G34" s="148">
        <f>COUNTIFS('2026 Time Off Request'!$A:$A,'Sept 2026'!$D34,'2026 Time Off Request'!$L:$L,'Sept 2026'!G$6)</f>
        <v>0</v>
      </c>
      <c r="H34" s="148">
        <f>COUNTIFS('2026 Time Off Request'!$A:$A,'Sept 2026'!$D34,'2026 Time Off Request'!$L:$L,'Sept 2026'!H$6)</f>
        <v>0</v>
      </c>
      <c r="I34" s="148">
        <f>COUNTIFS('2026 Time Off Request'!$A:$A,'Sept 2026'!$D34,'2026 Time Off Request'!$L:$L,'Sept 2026'!I$6)</f>
        <v>0</v>
      </c>
      <c r="J34" s="147">
        <f>COUNTIFS('2026 Time Off Request'!$A:$A,'Sept 2026'!$D34,'2026 Time Off Request'!$L:$L,'Sept 2026'!J$6)</f>
        <v>0</v>
      </c>
      <c r="K34" s="147">
        <f>COUNTIFS('2026 Time Off Request'!$A:$A,'Sept 2026'!$D34,'2026 Time Off Request'!$L:$L,'Sept 2026'!K$6)</f>
        <v>0</v>
      </c>
      <c r="L34" s="224">
        <f>COUNTIFS('2026 Time Off Request'!$A:$A,'Sept 2026'!$D34,'2026 Time Off Request'!$L:$L,'Sept 2026'!L$6)</f>
        <v>0</v>
      </c>
      <c r="M34" s="148">
        <f>COUNTIFS('2026 Time Off Request'!$A:$A,'Sept 2026'!$D34,'2026 Time Off Request'!$L:$L,'Sept 2026'!M$6)</f>
        <v>0</v>
      </c>
      <c r="N34" s="148">
        <f>COUNTIFS('2026 Time Off Request'!$A:$A,'Sept 2026'!$D34,'2026 Time Off Request'!$L:$L,'Sept 2026'!N$6)</f>
        <v>0</v>
      </c>
      <c r="O34" s="148">
        <f>COUNTIFS('2026 Time Off Request'!$A:$A,'Sept 2026'!$D34,'2026 Time Off Request'!$L:$L,'Sept 2026'!O$6)</f>
        <v>0</v>
      </c>
      <c r="P34" s="148">
        <f>COUNTIFS('2026 Time Off Request'!$A:$A,'Sept 2026'!$D34,'2026 Time Off Request'!$L:$L,'Sept 2026'!P$6)</f>
        <v>0</v>
      </c>
      <c r="Q34" s="147">
        <f>COUNTIFS('2026 Time Off Request'!$A:$A,'Sept 2026'!$D34,'2026 Time Off Request'!$L:$L,'Sept 2026'!Q$6)</f>
        <v>0</v>
      </c>
      <c r="R34" s="147">
        <f>COUNTIFS('2026 Time Off Request'!$A:$A,'Sept 2026'!$D34,'2026 Time Off Request'!$L:$L,'Sept 2026'!R$6)</f>
        <v>0</v>
      </c>
      <c r="S34" s="148">
        <f>COUNTIFS('2026 Time Off Request'!$A:$A,'Sept 2026'!$D34,'2026 Time Off Request'!$L:$L,'Sept 2026'!S$6)</f>
        <v>0</v>
      </c>
      <c r="T34" s="148">
        <f>COUNTIFS('2026 Time Off Request'!$A:$A,'Sept 2026'!$D34,'2026 Time Off Request'!$L:$L,'Sept 2026'!T$6)</f>
        <v>0</v>
      </c>
      <c r="U34" s="148">
        <f>COUNTIFS('2026 Time Off Request'!$A:$A,'Sept 2026'!$D34,'2026 Time Off Request'!$L:$L,'Sept 2026'!U$6)</f>
        <v>0</v>
      </c>
      <c r="V34" s="148">
        <f>COUNTIFS('2026 Time Off Request'!$A:$A,'Sept 2026'!$D34,'2026 Time Off Request'!$L:$L,'Sept 2026'!V$6)</f>
        <v>0</v>
      </c>
      <c r="W34" s="148">
        <f>COUNTIFS('2026 Time Off Request'!$A:$A,'Sept 2026'!$D34,'2026 Time Off Request'!$L:$L,'Sept 2026'!W$6)</f>
        <v>0</v>
      </c>
      <c r="X34" s="147">
        <f>COUNTIFS('2026 Time Off Request'!$A:$A,'Sept 2026'!$D34,'2026 Time Off Request'!$L:$L,'Sept 2026'!X$6)</f>
        <v>0</v>
      </c>
      <c r="Y34" s="147">
        <f>COUNTIFS('2026 Time Off Request'!$A:$A,'Sept 2026'!$D34,'2026 Time Off Request'!$L:$L,'Sept 2026'!Y$6)</f>
        <v>0</v>
      </c>
      <c r="Z34" s="148">
        <f>COUNTIFS('2026 Time Off Request'!$A:$A,'Sept 2026'!$D34,'2026 Time Off Request'!$L:$L,'Sept 2026'!Z$6)</f>
        <v>0</v>
      </c>
      <c r="AA34" s="148">
        <f>COUNTIFS('2026 Time Off Request'!$A:$A,'Sept 2026'!$D34,'2026 Time Off Request'!$L:$L,'Sept 2026'!AA$6)</f>
        <v>0</v>
      </c>
      <c r="AB34" s="148">
        <f>COUNTIFS('2026 Time Off Request'!$A:$A,'Sept 2026'!$D34,'2026 Time Off Request'!$L:$L,'Sept 2026'!AB$6)</f>
        <v>0</v>
      </c>
      <c r="AC34" s="148">
        <f>COUNTIFS('2026 Time Off Request'!$A:$A,'Sept 2026'!$D34,'2026 Time Off Request'!$L:$L,'Sept 2026'!AC$6)</f>
        <v>0</v>
      </c>
      <c r="AD34" s="148">
        <f>COUNTIFS('2026 Time Off Request'!$A:$A,'Sept 2026'!$D34,'2026 Time Off Request'!$L:$L,'Sept 2026'!AD$6)</f>
        <v>0</v>
      </c>
      <c r="AE34" s="147">
        <f>COUNTIFS('2026 Time Off Request'!$A:$A,'Sept 2026'!$D34,'2026 Time Off Request'!$L:$L,'Sept 2026'!AE$6)</f>
        <v>0</v>
      </c>
      <c r="AF34" s="147">
        <f>COUNTIFS('2026 Time Off Request'!$A:$A,'Sept 2026'!$D34,'2026 Time Off Request'!$L:$L,'Sept 2026'!AF$6)</f>
        <v>0</v>
      </c>
      <c r="AG34" s="148">
        <f>COUNTIFS('2026 Time Off Request'!$A:$A,'Sept 2026'!$D34,'2026 Time Off Request'!$L:$L,'Sept 2026'!AG$6)</f>
        <v>0</v>
      </c>
      <c r="AH34" s="148">
        <f>COUNTIFS('2026 Time Off Request'!$A:$A,'Sept 2026'!$D34,'2026 Time Off Request'!$L:$L,'Sept 2026'!AH$6)</f>
        <v>0</v>
      </c>
      <c r="AI34" s="148">
        <f>COUNTIFS('2026 Time Off Request'!$A:$A,'Sept 2026'!$D34,'2026 Time Off Request'!$L:$L,'Sept 2026'!AI$6)</f>
        <v>0</v>
      </c>
    </row>
    <row r="35" spans="1:35" ht="15.75">
      <c r="A35" s="2">
        <v>26</v>
      </c>
      <c r="B35" s="209" t="s">
        <v>45</v>
      </c>
      <c r="C35" s="210" t="s">
        <v>73</v>
      </c>
      <c r="D35" s="215" t="s">
        <v>74</v>
      </c>
      <c r="E35" s="212">
        <f t="shared" ref="E35" si="4">SUM(F35:AI35)</f>
        <v>0</v>
      </c>
      <c r="F35" s="223">
        <f>COUNTIFS('2026 Time Off Request'!$A:$A,'Sept 2026'!$D35,'2026 Time Off Request'!$L:$L,'Sept 2026'!F$6)</f>
        <v>0</v>
      </c>
      <c r="G35" s="148">
        <f>COUNTIFS('2026 Time Off Request'!$A:$A,'Sept 2026'!$D35,'2026 Time Off Request'!$L:$L,'Sept 2026'!G$6)</f>
        <v>0</v>
      </c>
      <c r="H35" s="148">
        <f>COUNTIFS('2026 Time Off Request'!$A:$A,'Sept 2026'!$D35,'2026 Time Off Request'!$L:$L,'Sept 2026'!H$6)</f>
        <v>0</v>
      </c>
      <c r="I35" s="148">
        <f>COUNTIFS('2026 Time Off Request'!$A:$A,'Sept 2026'!$D35,'2026 Time Off Request'!$L:$L,'Sept 2026'!I$6)</f>
        <v>0</v>
      </c>
      <c r="J35" s="147">
        <f>COUNTIFS('2026 Time Off Request'!$A:$A,'Sept 2026'!$D35,'2026 Time Off Request'!$L:$L,'Sept 2026'!J$6)</f>
        <v>0</v>
      </c>
      <c r="K35" s="147">
        <f>COUNTIFS('2026 Time Off Request'!$A:$A,'Sept 2026'!$D35,'2026 Time Off Request'!$L:$L,'Sept 2026'!K$6)</f>
        <v>0</v>
      </c>
      <c r="L35" s="224">
        <f>COUNTIFS('2026 Time Off Request'!$A:$A,'Sept 2026'!$D35,'2026 Time Off Request'!$L:$L,'Sept 2026'!L$6)</f>
        <v>0</v>
      </c>
      <c r="M35" s="148">
        <f>COUNTIFS('2026 Time Off Request'!$A:$A,'Sept 2026'!$D35,'2026 Time Off Request'!$L:$L,'Sept 2026'!M$6)</f>
        <v>0</v>
      </c>
      <c r="N35" s="148">
        <f>COUNTIFS('2026 Time Off Request'!$A:$A,'Sept 2026'!$D35,'2026 Time Off Request'!$L:$L,'Sept 2026'!N$6)</f>
        <v>0</v>
      </c>
      <c r="O35" s="148">
        <f>COUNTIFS('2026 Time Off Request'!$A:$A,'Sept 2026'!$D35,'2026 Time Off Request'!$L:$L,'Sept 2026'!O$6)</f>
        <v>0</v>
      </c>
      <c r="P35" s="148">
        <f>COUNTIFS('2026 Time Off Request'!$A:$A,'Sept 2026'!$D35,'2026 Time Off Request'!$L:$L,'Sept 2026'!P$6)</f>
        <v>0</v>
      </c>
      <c r="Q35" s="147">
        <f>COUNTIFS('2026 Time Off Request'!$A:$A,'Sept 2026'!$D35,'2026 Time Off Request'!$L:$L,'Sept 2026'!Q$6)</f>
        <v>0</v>
      </c>
      <c r="R35" s="147">
        <f>COUNTIFS('2026 Time Off Request'!$A:$A,'Sept 2026'!$D35,'2026 Time Off Request'!$L:$L,'Sept 2026'!R$6)</f>
        <v>0</v>
      </c>
      <c r="S35" s="148">
        <f>COUNTIFS('2026 Time Off Request'!$A:$A,'Sept 2026'!$D35,'2026 Time Off Request'!$L:$L,'Sept 2026'!S$6)</f>
        <v>0</v>
      </c>
      <c r="T35" s="148">
        <f>COUNTIFS('2026 Time Off Request'!$A:$A,'Sept 2026'!$D35,'2026 Time Off Request'!$L:$L,'Sept 2026'!T$6)</f>
        <v>0</v>
      </c>
      <c r="U35" s="148">
        <f>COUNTIFS('2026 Time Off Request'!$A:$A,'Sept 2026'!$D35,'2026 Time Off Request'!$L:$L,'Sept 2026'!U$6)</f>
        <v>0</v>
      </c>
      <c r="V35" s="148">
        <f>COUNTIFS('2026 Time Off Request'!$A:$A,'Sept 2026'!$D35,'2026 Time Off Request'!$L:$L,'Sept 2026'!V$6)</f>
        <v>0</v>
      </c>
      <c r="W35" s="148">
        <f>COUNTIFS('2026 Time Off Request'!$A:$A,'Sept 2026'!$D35,'2026 Time Off Request'!$L:$L,'Sept 2026'!W$6)</f>
        <v>0</v>
      </c>
      <c r="X35" s="147">
        <f>COUNTIFS('2026 Time Off Request'!$A:$A,'Sept 2026'!$D35,'2026 Time Off Request'!$L:$L,'Sept 2026'!X$6)</f>
        <v>0</v>
      </c>
      <c r="Y35" s="147">
        <f>COUNTIFS('2026 Time Off Request'!$A:$A,'Sept 2026'!$D35,'2026 Time Off Request'!$L:$L,'Sept 2026'!Y$6)</f>
        <v>0</v>
      </c>
      <c r="Z35" s="148">
        <f>COUNTIFS('2026 Time Off Request'!$A:$A,'Sept 2026'!$D35,'2026 Time Off Request'!$L:$L,'Sept 2026'!Z$6)</f>
        <v>0</v>
      </c>
      <c r="AA35" s="148">
        <f>COUNTIFS('2026 Time Off Request'!$A:$A,'Sept 2026'!$D35,'2026 Time Off Request'!$L:$L,'Sept 2026'!AA$6)</f>
        <v>0</v>
      </c>
      <c r="AB35" s="148">
        <f>COUNTIFS('2026 Time Off Request'!$A:$A,'Sept 2026'!$D35,'2026 Time Off Request'!$L:$L,'Sept 2026'!AB$6)</f>
        <v>0</v>
      </c>
      <c r="AC35" s="148">
        <f>COUNTIFS('2026 Time Off Request'!$A:$A,'Sept 2026'!$D35,'2026 Time Off Request'!$L:$L,'Sept 2026'!AC$6)</f>
        <v>0</v>
      </c>
      <c r="AD35" s="148">
        <f>COUNTIFS('2026 Time Off Request'!$A:$A,'Sept 2026'!$D35,'2026 Time Off Request'!$L:$L,'Sept 2026'!AD$6)</f>
        <v>0</v>
      </c>
      <c r="AE35" s="147">
        <f>COUNTIFS('2026 Time Off Request'!$A:$A,'Sept 2026'!$D35,'2026 Time Off Request'!$L:$L,'Sept 2026'!AE$6)</f>
        <v>0</v>
      </c>
      <c r="AF35" s="147">
        <f>COUNTIFS('2026 Time Off Request'!$A:$A,'Sept 2026'!$D35,'2026 Time Off Request'!$L:$L,'Sept 2026'!AF$6)</f>
        <v>0</v>
      </c>
      <c r="AG35" s="148">
        <f>COUNTIFS('2026 Time Off Request'!$A:$A,'Sept 2026'!$D35,'2026 Time Off Request'!$L:$L,'Sept 2026'!AG$6)</f>
        <v>0</v>
      </c>
      <c r="AH35" s="148">
        <f>COUNTIFS('2026 Time Off Request'!$A:$A,'Sept 2026'!$D35,'2026 Time Off Request'!$L:$L,'Sept 2026'!AH$6)</f>
        <v>0</v>
      </c>
      <c r="AI35" s="148">
        <f>COUNTIFS('2026 Time Off Request'!$A:$A,'Sept 2026'!$D35,'2026 Time Off Request'!$L:$L,'Sept 2026'!AI$6)</f>
        <v>0</v>
      </c>
    </row>
    <row r="36" spans="1:35" ht="15.75">
      <c r="A36" s="2">
        <v>27</v>
      </c>
      <c r="B36" s="209" t="s">
        <v>49</v>
      </c>
      <c r="C36" s="210" t="s">
        <v>75</v>
      </c>
      <c r="D36" s="215" t="s">
        <v>76</v>
      </c>
      <c r="E36" s="212">
        <f t="shared" si="2"/>
        <v>0</v>
      </c>
      <c r="F36" s="223">
        <f>COUNTIFS('2026 Time Off Request'!$A:$A,'Sept 2026'!$D36,'2026 Time Off Request'!$L:$L,'Sept 2026'!F$6)</f>
        <v>0</v>
      </c>
      <c r="G36" s="148">
        <f>COUNTIFS('2026 Time Off Request'!$A:$A,'Sept 2026'!$D36,'2026 Time Off Request'!$L:$L,'Sept 2026'!G$6)</f>
        <v>0</v>
      </c>
      <c r="H36" s="148">
        <f>COUNTIFS('2026 Time Off Request'!$A:$A,'Sept 2026'!$D36,'2026 Time Off Request'!$L:$L,'Sept 2026'!H$6)</f>
        <v>0</v>
      </c>
      <c r="I36" s="148">
        <f>COUNTIFS('2026 Time Off Request'!$A:$A,'Sept 2026'!$D36,'2026 Time Off Request'!$L:$L,'Sept 2026'!I$6)</f>
        <v>0</v>
      </c>
      <c r="J36" s="147">
        <f>COUNTIFS('2026 Time Off Request'!$A:$A,'Sept 2026'!$D36,'2026 Time Off Request'!$L:$L,'Sept 2026'!J$6)</f>
        <v>0</v>
      </c>
      <c r="K36" s="147">
        <f>COUNTIFS('2026 Time Off Request'!$A:$A,'Sept 2026'!$D36,'2026 Time Off Request'!$L:$L,'Sept 2026'!K$6)</f>
        <v>0</v>
      </c>
      <c r="L36" s="224">
        <f>COUNTIFS('2026 Time Off Request'!$A:$A,'Sept 2026'!$D36,'2026 Time Off Request'!$L:$L,'Sept 2026'!L$6)</f>
        <v>0</v>
      </c>
      <c r="M36" s="148">
        <f>COUNTIFS('2026 Time Off Request'!$A:$A,'Sept 2026'!$D36,'2026 Time Off Request'!$L:$L,'Sept 2026'!M$6)</f>
        <v>0</v>
      </c>
      <c r="N36" s="148">
        <f>COUNTIFS('2026 Time Off Request'!$A:$A,'Sept 2026'!$D36,'2026 Time Off Request'!$L:$L,'Sept 2026'!N$6)</f>
        <v>0</v>
      </c>
      <c r="O36" s="148">
        <f>COUNTIFS('2026 Time Off Request'!$A:$A,'Sept 2026'!$D36,'2026 Time Off Request'!$L:$L,'Sept 2026'!O$6)</f>
        <v>0</v>
      </c>
      <c r="P36" s="148">
        <f>COUNTIFS('2026 Time Off Request'!$A:$A,'Sept 2026'!$D36,'2026 Time Off Request'!$L:$L,'Sept 2026'!P$6)</f>
        <v>0</v>
      </c>
      <c r="Q36" s="147">
        <f>COUNTIFS('2026 Time Off Request'!$A:$A,'Sept 2026'!$D36,'2026 Time Off Request'!$L:$L,'Sept 2026'!Q$6)</f>
        <v>0</v>
      </c>
      <c r="R36" s="147">
        <f>COUNTIFS('2026 Time Off Request'!$A:$A,'Sept 2026'!$D36,'2026 Time Off Request'!$L:$L,'Sept 2026'!R$6)</f>
        <v>0</v>
      </c>
      <c r="S36" s="148">
        <f>COUNTIFS('2026 Time Off Request'!$A:$A,'Sept 2026'!$D36,'2026 Time Off Request'!$L:$L,'Sept 2026'!S$6)</f>
        <v>0</v>
      </c>
      <c r="T36" s="148">
        <f>COUNTIFS('2026 Time Off Request'!$A:$A,'Sept 2026'!$D36,'2026 Time Off Request'!$L:$L,'Sept 2026'!T$6)</f>
        <v>0</v>
      </c>
      <c r="U36" s="148">
        <f>COUNTIFS('2026 Time Off Request'!$A:$A,'Sept 2026'!$D36,'2026 Time Off Request'!$L:$L,'Sept 2026'!U$6)</f>
        <v>0</v>
      </c>
      <c r="V36" s="148">
        <f>COUNTIFS('2026 Time Off Request'!$A:$A,'Sept 2026'!$D36,'2026 Time Off Request'!$L:$L,'Sept 2026'!V$6)</f>
        <v>0</v>
      </c>
      <c r="W36" s="148">
        <f>COUNTIFS('2026 Time Off Request'!$A:$A,'Sept 2026'!$D36,'2026 Time Off Request'!$L:$L,'Sept 2026'!W$6)</f>
        <v>0</v>
      </c>
      <c r="X36" s="147">
        <f>COUNTIFS('2026 Time Off Request'!$A:$A,'Sept 2026'!$D36,'2026 Time Off Request'!$L:$L,'Sept 2026'!X$6)</f>
        <v>0</v>
      </c>
      <c r="Y36" s="147">
        <f>COUNTIFS('2026 Time Off Request'!$A:$A,'Sept 2026'!$D36,'2026 Time Off Request'!$L:$L,'Sept 2026'!Y$6)</f>
        <v>0</v>
      </c>
      <c r="Z36" s="148">
        <f>COUNTIFS('2026 Time Off Request'!$A:$A,'Sept 2026'!$D36,'2026 Time Off Request'!$L:$L,'Sept 2026'!Z$6)</f>
        <v>0</v>
      </c>
      <c r="AA36" s="148">
        <f>COUNTIFS('2026 Time Off Request'!$A:$A,'Sept 2026'!$D36,'2026 Time Off Request'!$L:$L,'Sept 2026'!AA$6)</f>
        <v>0</v>
      </c>
      <c r="AB36" s="148">
        <f>COUNTIFS('2026 Time Off Request'!$A:$A,'Sept 2026'!$D36,'2026 Time Off Request'!$L:$L,'Sept 2026'!AB$6)</f>
        <v>0</v>
      </c>
      <c r="AC36" s="148">
        <f>COUNTIFS('2026 Time Off Request'!$A:$A,'Sept 2026'!$D36,'2026 Time Off Request'!$L:$L,'Sept 2026'!AC$6)</f>
        <v>0</v>
      </c>
      <c r="AD36" s="148">
        <f>COUNTIFS('2026 Time Off Request'!$A:$A,'Sept 2026'!$D36,'2026 Time Off Request'!$L:$L,'Sept 2026'!AD$6)</f>
        <v>0</v>
      </c>
      <c r="AE36" s="147">
        <f>COUNTIFS('2026 Time Off Request'!$A:$A,'Sept 2026'!$D36,'2026 Time Off Request'!$L:$L,'Sept 2026'!AE$6)</f>
        <v>0</v>
      </c>
      <c r="AF36" s="147">
        <f>COUNTIFS('2026 Time Off Request'!$A:$A,'Sept 2026'!$D36,'2026 Time Off Request'!$L:$L,'Sept 2026'!AF$6)</f>
        <v>0</v>
      </c>
      <c r="AG36" s="148">
        <f>COUNTIFS('2026 Time Off Request'!$A:$A,'Sept 2026'!$D36,'2026 Time Off Request'!$L:$L,'Sept 2026'!AG$6)</f>
        <v>0</v>
      </c>
      <c r="AH36" s="148">
        <f>COUNTIFS('2026 Time Off Request'!$A:$A,'Sept 2026'!$D36,'2026 Time Off Request'!$L:$L,'Sept 2026'!AH$6)</f>
        <v>0</v>
      </c>
      <c r="AI36" s="148">
        <f>COUNTIFS('2026 Time Off Request'!$A:$A,'Sept 2026'!$D36,'2026 Time Off Request'!$L:$L,'Sept 2026'!AI$6)</f>
        <v>0</v>
      </c>
    </row>
    <row r="37" spans="1:35" ht="15.75">
      <c r="A37" s="2">
        <v>28</v>
      </c>
      <c r="B37" s="209" t="s">
        <v>45</v>
      </c>
      <c r="C37" s="210" t="s">
        <v>77</v>
      </c>
      <c r="D37" s="215" t="s">
        <v>78</v>
      </c>
      <c r="E37" s="212">
        <f t="shared" si="2"/>
        <v>0</v>
      </c>
      <c r="F37" s="223">
        <f>COUNTIFS('2026 Time Off Request'!$A:$A,'Sept 2026'!$D37,'2026 Time Off Request'!$L:$L,'Sept 2026'!F$6)</f>
        <v>0</v>
      </c>
      <c r="G37" s="148">
        <f>COUNTIFS('2026 Time Off Request'!$A:$A,'Sept 2026'!$D37,'2026 Time Off Request'!$L:$L,'Sept 2026'!G$6)</f>
        <v>0</v>
      </c>
      <c r="H37" s="148">
        <f>COUNTIFS('2026 Time Off Request'!$A:$A,'Sept 2026'!$D37,'2026 Time Off Request'!$L:$L,'Sept 2026'!H$6)</f>
        <v>0</v>
      </c>
      <c r="I37" s="148">
        <f>COUNTIFS('2026 Time Off Request'!$A:$A,'Sept 2026'!$D37,'2026 Time Off Request'!$L:$L,'Sept 2026'!I$6)</f>
        <v>0</v>
      </c>
      <c r="J37" s="147">
        <f>COUNTIFS('2026 Time Off Request'!$A:$A,'Sept 2026'!$D37,'2026 Time Off Request'!$L:$L,'Sept 2026'!J$6)</f>
        <v>0</v>
      </c>
      <c r="K37" s="147">
        <f>COUNTIFS('2026 Time Off Request'!$A:$A,'Sept 2026'!$D37,'2026 Time Off Request'!$L:$L,'Sept 2026'!K$6)</f>
        <v>0</v>
      </c>
      <c r="L37" s="224">
        <f>COUNTIFS('2026 Time Off Request'!$A:$A,'Sept 2026'!$D37,'2026 Time Off Request'!$L:$L,'Sept 2026'!L$6)</f>
        <v>0</v>
      </c>
      <c r="M37" s="148">
        <f>COUNTIFS('2026 Time Off Request'!$A:$A,'Sept 2026'!$D37,'2026 Time Off Request'!$L:$L,'Sept 2026'!M$6)</f>
        <v>0</v>
      </c>
      <c r="N37" s="148">
        <f>COUNTIFS('2026 Time Off Request'!$A:$A,'Sept 2026'!$D37,'2026 Time Off Request'!$L:$L,'Sept 2026'!N$6)</f>
        <v>0</v>
      </c>
      <c r="O37" s="148">
        <f>COUNTIFS('2026 Time Off Request'!$A:$A,'Sept 2026'!$D37,'2026 Time Off Request'!$L:$L,'Sept 2026'!O$6)</f>
        <v>0</v>
      </c>
      <c r="P37" s="148">
        <f>COUNTIFS('2026 Time Off Request'!$A:$A,'Sept 2026'!$D37,'2026 Time Off Request'!$L:$L,'Sept 2026'!P$6)</f>
        <v>0</v>
      </c>
      <c r="Q37" s="147">
        <f>COUNTIFS('2026 Time Off Request'!$A:$A,'Sept 2026'!$D37,'2026 Time Off Request'!$L:$L,'Sept 2026'!Q$6)</f>
        <v>0</v>
      </c>
      <c r="R37" s="147">
        <f>COUNTIFS('2026 Time Off Request'!$A:$A,'Sept 2026'!$D37,'2026 Time Off Request'!$L:$L,'Sept 2026'!R$6)</f>
        <v>0</v>
      </c>
      <c r="S37" s="148">
        <f>COUNTIFS('2026 Time Off Request'!$A:$A,'Sept 2026'!$D37,'2026 Time Off Request'!$L:$L,'Sept 2026'!S$6)</f>
        <v>0</v>
      </c>
      <c r="T37" s="148">
        <f>COUNTIFS('2026 Time Off Request'!$A:$A,'Sept 2026'!$D37,'2026 Time Off Request'!$L:$L,'Sept 2026'!T$6)</f>
        <v>0</v>
      </c>
      <c r="U37" s="148">
        <f>COUNTIFS('2026 Time Off Request'!$A:$A,'Sept 2026'!$D37,'2026 Time Off Request'!$L:$L,'Sept 2026'!U$6)</f>
        <v>0</v>
      </c>
      <c r="V37" s="148">
        <f>COUNTIFS('2026 Time Off Request'!$A:$A,'Sept 2026'!$D37,'2026 Time Off Request'!$L:$L,'Sept 2026'!V$6)</f>
        <v>0</v>
      </c>
      <c r="W37" s="148">
        <f>COUNTIFS('2026 Time Off Request'!$A:$A,'Sept 2026'!$D37,'2026 Time Off Request'!$L:$L,'Sept 2026'!W$6)</f>
        <v>0</v>
      </c>
      <c r="X37" s="147">
        <f>COUNTIFS('2026 Time Off Request'!$A:$A,'Sept 2026'!$D37,'2026 Time Off Request'!$L:$L,'Sept 2026'!X$6)</f>
        <v>0</v>
      </c>
      <c r="Y37" s="147">
        <f>COUNTIFS('2026 Time Off Request'!$A:$A,'Sept 2026'!$D37,'2026 Time Off Request'!$L:$L,'Sept 2026'!Y$6)</f>
        <v>0</v>
      </c>
      <c r="Z37" s="148">
        <f>COUNTIFS('2026 Time Off Request'!$A:$A,'Sept 2026'!$D37,'2026 Time Off Request'!$L:$L,'Sept 2026'!Z$6)</f>
        <v>0</v>
      </c>
      <c r="AA37" s="148">
        <f>COUNTIFS('2026 Time Off Request'!$A:$A,'Sept 2026'!$D37,'2026 Time Off Request'!$L:$L,'Sept 2026'!AA$6)</f>
        <v>0</v>
      </c>
      <c r="AB37" s="148">
        <f>COUNTIFS('2026 Time Off Request'!$A:$A,'Sept 2026'!$D37,'2026 Time Off Request'!$L:$L,'Sept 2026'!AB$6)</f>
        <v>0</v>
      </c>
      <c r="AC37" s="148">
        <f>COUNTIFS('2026 Time Off Request'!$A:$A,'Sept 2026'!$D37,'2026 Time Off Request'!$L:$L,'Sept 2026'!AC$6)</f>
        <v>0</v>
      </c>
      <c r="AD37" s="148">
        <f>COUNTIFS('2026 Time Off Request'!$A:$A,'Sept 2026'!$D37,'2026 Time Off Request'!$L:$L,'Sept 2026'!AD$6)</f>
        <v>0</v>
      </c>
      <c r="AE37" s="147">
        <f>COUNTIFS('2026 Time Off Request'!$A:$A,'Sept 2026'!$D37,'2026 Time Off Request'!$L:$L,'Sept 2026'!AE$6)</f>
        <v>0</v>
      </c>
      <c r="AF37" s="147">
        <f>COUNTIFS('2026 Time Off Request'!$A:$A,'Sept 2026'!$D37,'2026 Time Off Request'!$L:$L,'Sept 2026'!AF$6)</f>
        <v>0</v>
      </c>
      <c r="AG37" s="148">
        <f>COUNTIFS('2026 Time Off Request'!$A:$A,'Sept 2026'!$D37,'2026 Time Off Request'!$L:$L,'Sept 2026'!AG$6)</f>
        <v>0</v>
      </c>
      <c r="AH37" s="148">
        <f>COUNTIFS('2026 Time Off Request'!$A:$A,'Sept 2026'!$D37,'2026 Time Off Request'!$L:$L,'Sept 2026'!AH$6)</f>
        <v>0</v>
      </c>
      <c r="AI37" s="148">
        <f>COUNTIFS('2026 Time Off Request'!$A:$A,'Sept 2026'!$D37,'2026 Time Off Request'!$L:$L,'Sept 2026'!AI$6)</f>
        <v>0</v>
      </c>
    </row>
    <row r="38" spans="1:35" ht="15.75">
      <c r="A38" s="2">
        <v>29</v>
      </c>
      <c r="B38" s="209" t="s">
        <v>45</v>
      </c>
      <c r="C38" s="210" t="s">
        <v>77</v>
      </c>
      <c r="D38" s="215" t="s">
        <v>79</v>
      </c>
      <c r="E38" s="212">
        <f t="shared" si="2"/>
        <v>0</v>
      </c>
      <c r="F38" s="223">
        <f>COUNTIFS('2026 Time Off Request'!$A:$A,'Sept 2026'!$D38,'2026 Time Off Request'!$L:$L,'Sept 2026'!F$6)</f>
        <v>0</v>
      </c>
      <c r="G38" s="148">
        <f>COUNTIFS('2026 Time Off Request'!$A:$A,'Sept 2026'!$D38,'2026 Time Off Request'!$L:$L,'Sept 2026'!G$6)</f>
        <v>0</v>
      </c>
      <c r="H38" s="148">
        <f>COUNTIFS('2026 Time Off Request'!$A:$A,'Sept 2026'!$D38,'2026 Time Off Request'!$L:$L,'Sept 2026'!H$6)</f>
        <v>0</v>
      </c>
      <c r="I38" s="148">
        <f>COUNTIFS('2026 Time Off Request'!$A:$A,'Sept 2026'!$D38,'2026 Time Off Request'!$L:$L,'Sept 2026'!I$6)</f>
        <v>0</v>
      </c>
      <c r="J38" s="147">
        <f>COUNTIFS('2026 Time Off Request'!$A:$A,'Sept 2026'!$D38,'2026 Time Off Request'!$L:$L,'Sept 2026'!J$6)</f>
        <v>0</v>
      </c>
      <c r="K38" s="147">
        <f>COUNTIFS('2026 Time Off Request'!$A:$A,'Sept 2026'!$D38,'2026 Time Off Request'!$L:$L,'Sept 2026'!K$6)</f>
        <v>0</v>
      </c>
      <c r="L38" s="224">
        <f>COUNTIFS('2026 Time Off Request'!$A:$A,'Sept 2026'!$D38,'2026 Time Off Request'!$L:$L,'Sept 2026'!L$6)</f>
        <v>0</v>
      </c>
      <c r="M38" s="148">
        <f>COUNTIFS('2026 Time Off Request'!$A:$A,'Sept 2026'!$D38,'2026 Time Off Request'!$L:$L,'Sept 2026'!M$6)</f>
        <v>0</v>
      </c>
      <c r="N38" s="148">
        <f>COUNTIFS('2026 Time Off Request'!$A:$A,'Sept 2026'!$D38,'2026 Time Off Request'!$L:$L,'Sept 2026'!N$6)</f>
        <v>0</v>
      </c>
      <c r="O38" s="148">
        <f>COUNTIFS('2026 Time Off Request'!$A:$A,'Sept 2026'!$D38,'2026 Time Off Request'!$L:$L,'Sept 2026'!O$6)</f>
        <v>0</v>
      </c>
      <c r="P38" s="148">
        <f>COUNTIFS('2026 Time Off Request'!$A:$A,'Sept 2026'!$D38,'2026 Time Off Request'!$L:$L,'Sept 2026'!P$6)</f>
        <v>0</v>
      </c>
      <c r="Q38" s="147">
        <f>COUNTIFS('2026 Time Off Request'!$A:$A,'Sept 2026'!$D38,'2026 Time Off Request'!$L:$L,'Sept 2026'!Q$6)</f>
        <v>0</v>
      </c>
      <c r="R38" s="147">
        <f>COUNTIFS('2026 Time Off Request'!$A:$A,'Sept 2026'!$D38,'2026 Time Off Request'!$L:$L,'Sept 2026'!R$6)</f>
        <v>0</v>
      </c>
      <c r="S38" s="148">
        <f>COUNTIFS('2026 Time Off Request'!$A:$A,'Sept 2026'!$D38,'2026 Time Off Request'!$L:$L,'Sept 2026'!S$6)</f>
        <v>0</v>
      </c>
      <c r="T38" s="148">
        <f>COUNTIFS('2026 Time Off Request'!$A:$A,'Sept 2026'!$D38,'2026 Time Off Request'!$L:$L,'Sept 2026'!T$6)</f>
        <v>0</v>
      </c>
      <c r="U38" s="148">
        <f>COUNTIFS('2026 Time Off Request'!$A:$A,'Sept 2026'!$D38,'2026 Time Off Request'!$L:$L,'Sept 2026'!U$6)</f>
        <v>0</v>
      </c>
      <c r="V38" s="148">
        <f>COUNTIFS('2026 Time Off Request'!$A:$A,'Sept 2026'!$D38,'2026 Time Off Request'!$L:$L,'Sept 2026'!V$6)</f>
        <v>0</v>
      </c>
      <c r="W38" s="148">
        <f>COUNTIFS('2026 Time Off Request'!$A:$A,'Sept 2026'!$D38,'2026 Time Off Request'!$L:$L,'Sept 2026'!W$6)</f>
        <v>0</v>
      </c>
      <c r="X38" s="147">
        <f>COUNTIFS('2026 Time Off Request'!$A:$A,'Sept 2026'!$D38,'2026 Time Off Request'!$L:$L,'Sept 2026'!X$6)</f>
        <v>0</v>
      </c>
      <c r="Y38" s="147">
        <f>COUNTIFS('2026 Time Off Request'!$A:$A,'Sept 2026'!$D38,'2026 Time Off Request'!$L:$L,'Sept 2026'!Y$6)</f>
        <v>0</v>
      </c>
      <c r="Z38" s="148">
        <f>COUNTIFS('2026 Time Off Request'!$A:$A,'Sept 2026'!$D38,'2026 Time Off Request'!$L:$L,'Sept 2026'!Z$6)</f>
        <v>0</v>
      </c>
      <c r="AA38" s="148">
        <f>COUNTIFS('2026 Time Off Request'!$A:$A,'Sept 2026'!$D38,'2026 Time Off Request'!$L:$L,'Sept 2026'!AA$6)</f>
        <v>0</v>
      </c>
      <c r="AB38" s="148">
        <f>COUNTIFS('2026 Time Off Request'!$A:$A,'Sept 2026'!$D38,'2026 Time Off Request'!$L:$L,'Sept 2026'!AB$6)</f>
        <v>0</v>
      </c>
      <c r="AC38" s="148">
        <f>COUNTIFS('2026 Time Off Request'!$A:$A,'Sept 2026'!$D38,'2026 Time Off Request'!$L:$L,'Sept 2026'!AC$6)</f>
        <v>0</v>
      </c>
      <c r="AD38" s="148">
        <f>COUNTIFS('2026 Time Off Request'!$A:$A,'Sept 2026'!$D38,'2026 Time Off Request'!$L:$L,'Sept 2026'!AD$6)</f>
        <v>0</v>
      </c>
      <c r="AE38" s="147">
        <f>COUNTIFS('2026 Time Off Request'!$A:$A,'Sept 2026'!$D38,'2026 Time Off Request'!$L:$L,'Sept 2026'!AE$6)</f>
        <v>0</v>
      </c>
      <c r="AF38" s="147">
        <f>COUNTIFS('2026 Time Off Request'!$A:$A,'Sept 2026'!$D38,'2026 Time Off Request'!$L:$L,'Sept 2026'!AF$6)</f>
        <v>0</v>
      </c>
      <c r="AG38" s="148">
        <f>COUNTIFS('2026 Time Off Request'!$A:$A,'Sept 2026'!$D38,'2026 Time Off Request'!$L:$L,'Sept 2026'!AG$6)</f>
        <v>0</v>
      </c>
      <c r="AH38" s="148">
        <f>COUNTIFS('2026 Time Off Request'!$A:$A,'Sept 2026'!$D38,'2026 Time Off Request'!$L:$L,'Sept 2026'!AH$6)</f>
        <v>0</v>
      </c>
      <c r="AI38" s="148">
        <f>COUNTIFS('2026 Time Off Request'!$A:$A,'Sept 2026'!$D38,'2026 Time Off Request'!$L:$L,'Sept 2026'!AI$6)</f>
        <v>0</v>
      </c>
    </row>
    <row r="39" spans="1:35" ht="15.75">
      <c r="A39" s="2">
        <v>30</v>
      </c>
      <c r="B39" s="209" t="s">
        <v>45</v>
      </c>
      <c r="C39" s="210" t="s">
        <v>77</v>
      </c>
      <c r="D39" s="215" t="s">
        <v>80</v>
      </c>
      <c r="E39" s="212">
        <f t="shared" si="2"/>
        <v>0</v>
      </c>
      <c r="F39" s="223">
        <f>COUNTIFS('2026 Time Off Request'!$A:$A,'Sept 2026'!$D39,'2026 Time Off Request'!$L:$L,'Sept 2026'!F$6)</f>
        <v>0</v>
      </c>
      <c r="G39" s="148">
        <f>COUNTIFS('2026 Time Off Request'!$A:$A,'Sept 2026'!$D39,'2026 Time Off Request'!$L:$L,'Sept 2026'!G$6)</f>
        <v>0</v>
      </c>
      <c r="H39" s="148">
        <f>COUNTIFS('2026 Time Off Request'!$A:$A,'Sept 2026'!$D39,'2026 Time Off Request'!$L:$L,'Sept 2026'!H$6)</f>
        <v>0</v>
      </c>
      <c r="I39" s="148">
        <f>COUNTIFS('2026 Time Off Request'!$A:$A,'Sept 2026'!$D39,'2026 Time Off Request'!$L:$L,'Sept 2026'!I$6)</f>
        <v>0</v>
      </c>
      <c r="J39" s="147">
        <f>COUNTIFS('2026 Time Off Request'!$A:$A,'Sept 2026'!$D39,'2026 Time Off Request'!$L:$L,'Sept 2026'!J$6)</f>
        <v>0</v>
      </c>
      <c r="K39" s="147">
        <f>COUNTIFS('2026 Time Off Request'!$A:$A,'Sept 2026'!$D39,'2026 Time Off Request'!$L:$L,'Sept 2026'!K$6)</f>
        <v>0</v>
      </c>
      <c r="L39" s="224">
        <f>COUNTIFS('2026 Time Off Request'!$A:$A,'Sept 2026'!$D39,'2026 Time Off Request'!$L:$L,'Sept 2026'!L$6)</f>
        <v>0</v>
      </c>
      <c r="M39" s="148">
        <f>COUNTIFS('2026 Time Off Request'!$A:$A,'Sept 2026'!$D39,'2026 Time Off Request'!$L:$L,'Sept 2026'!M$6)</f>
        <v>0</v>
      </c>
      <c r="N39" s="148">
        <f>COUNTIFS('2026 Time Off Request'!$A:$A,'Sept 2026'!$D39,'2026 Time Off Request'!$L:$L,'Sept 2026'!N$6)</f>
        <v>0</v>
      </c>
      <c r="O39" s="148">
        <f>COUNTIFS('2026 Time Off Request'!$A:$A,'Sept 2026'!$D39,'2026 Time Off Request'!$L:$L,'Sept 2026'!O$6)</f>
        <v>0</v>
      </c>
      <c r="P39" s="148">
        <f>COUNTIFS('2026 Time Off Request'!$A:$A,'Sept 2026'!$D39,'2026 Time Off Request'!$L:$L,'Sept 2026'!P$6)</f>
        <v>0</v>
      </c>
      <c r="Q39" s="147">
        <f>COUNTIFS('2026 Time Off Request'!$A:$A,'Sept 2026'!$D39,'2026 Time Off Request'!$L:$L,'Sept 2026'!Q$6)</f>
        <v>0</v>
      </c>
      <c r="R39" s="147">
        <f>COUNTIFS('2026 Time Off Request'!$A:$A,'Sept 2026'!$D39,'2026 Time Off Request'!$L:$L,'Sept 2026'!R$6)</f>
        <v>0</v>
      </c>
      <c r="S39" s="148">
        <f>COUNTIFS('2026 Time Off Request'!$A:$A,'Sept 2026'!$D39,'2026 Time Off Request'!$L:$L,'Sept 2026'!S$6)</f>
        <v>0</v>
      </c>
      <c r="T39" s="148">
        <f>COUNTIFS('2026 Time Off Request'!$A:$A,'Sept 2026'!$D39,'2026 Time Off Request'!$L:$L,'Sept 2026'!T$6)</f>
        <v>0</v>
      </c>
      <c r="U39" s="148">
        <f>COUNTIFS('2026 Time Off Request'!$A:$A,'Sept 2026'!$D39,'2026 Time Off Request'!$L:$L,'Sept 2026'!U$6)</f>
        <v>0</v>
      </c>
      <c r="V39" s="148">
        <f>COUNTIFS('2026 Time Off Request'!$A:$A,'Sept 2026'!$D39,'2026 Time Off Request'!$L:$L,'Sept 2026'!V$6)</f>
        <v>0</v>
      </c>
      <c r="W39" s="148">
        <f>COUNTIFS('2026 Time Off Request'!$A:$A,'Sept 2026'!$D39,'2026 Time Off Request'!$L:$L,'Sept 2026'!W$6)</f>
        <v>0</v>
      </c>
      <c r="X39" s="147">
        <f>COUNTIFS('2026 Time Off Request'!$A:$A,'Sept 2026'!$D39,'2026 Time Off Request'!$L:$L,'Sept 2026'!X$6)</f>
        <v>0</v>
      </c>
      <c r="Y39" s="147">
        <f>COUNTIFS('2026 Time Off Request'!$A:$A,'Sept 2026'!$D39,'2026 Time Off Request'!$L:$L,'Sept 2026'!Y$6)</f>
        <v>0</v>
      </c>
      <c r="Z39" s="148">
        <f>COUNTIFS('2026 Time Off Request'!$A:$A,'Sept 2026'!$D39,'2026 Time Off Request'!$L:$L,'Sept 2026'!Z$6)</f>
        <v>0</v>
      </c>
      <c r="AA39" s="148">
        <f>COUNTIFS('2026 Time Off Request'!$A:$A,'Sept 2026'!$D39,'2026 Time Off Request'!$L:$L,'Sept 2026'!AA$6)</f>
        <v>0</v>
      </c>
      <c r="AB39" s="148">
        <f>COUNTIFS('2026 Time Off Request'!$A:$A,'Sept 2026'!$D39,'2026 Time Off Request'!$L:$L,'Sept 2026'!AB$6)</f>
        <v>0</v>
      </c>
      <c r="AC39" s="148">
        <f>COUNTIFS('2026 Time Off Request'!$A:$A,'Sept 2026'!$D39,'2026 Time Off Request'!$L:$L,'Sept 2026'!AC$6)</f>
        <v>0</v>
      </c>
      <c r="AD39" s="148">
        <f>COUNTIFS('2026 Time Off Request'!$A:$A,'Sept 2026'!$D39,'2026 Time Off Request'!$L:$L,'Sept 2026'!AD$6)</f>
        <v>0</v>
      </c>
      <c r="AE39" s="147">
        <f>COUNTIFS('2026 Time Off Request'!$A:$A,'Sept 2026'!$D39,'2026 Time Off Request'!$L:$L,'Sept 2026'!AE$6)</f>
        <v>0</v>
      </c>
      <c r="AF39" s="147">
        <f>COUNTIFS('2026 Time Off Request'!$A:$A,'Sept 2026'!$D39,'2026 Time Off Request'!$L:$L,'Sept 2026'!AF$6)</f>
        <v>0</v>
      </c>
      <c r="AG39" s="148">
        <f>COUNTIFS('2026 Time Off Request'!$A:$A,'Sept 2026'!$D39,'2026 Time Off Request'!$L:$L,'Sept 2026'!AG$6)</f>
        <v>0</v>
      </c>
      <c r="AH39" s="148">
        <f>COUNTIFS('2026 Time Off Request'!$A:$A,'Sept 2026'!$D39,'2026 Time Off Request'!$L:$L,'Sept 2026'!AH$6)</f>
        <v>0</v>
      </c>
      <c r="AI39" s="148">
        <f>COUNTIFS('2026 Time Off Request'!$A:$A,'Sept 2026'!$D39,'2026 Time Off Request'!$L:$L,'Sept 2026'!AI$6)</f>
        <v>0</v>
      </c>
    </row>
    <row r="40" spans="1:35" ht="15.75">
      <c r="A40" s="2">
        <v>31</v>
      </c>
      <c r="B40" s="209" t="s">
        <v>49</v>
      </c>
      <c r="C40" s="210" t="s">
        <v>81</v>
      </c>
      <c r="D40" s="215" t="s">
        <v>82</v>
      </c>
      <c r="E40" s="212">
        <f t="shared" si="2"/>
        <v>0</v>
      </c>
      <c r="F40" s="223">
        <f>COUNTIFS('2026 Time Off Request'!$A:$A,'Sept 2026'!$D40,'2026 Time Off Request'!$L:$L,'Sept 2026'!F$6)</f>
        <v>0</v>
      </c>
      <c r="G40" s="148">
        <f>COUNTIFS('2026 Time Off Request'!$A:$A,'Sept 2026'!$D40,'2026 Time Off Request'!$L:$L,'Sept 2026'!G$6)</f>
        <v>0</v>
      </c>
      <c r="H40" s="148">
        <f>COUNTIFS('2026 Time Off Request'!$A:$A,'Sept 2026'!$D40,'2026 Time Off Request'!$L:$L,'Sept 2026'!H$6)</f>
        <v>0</v>
      </c>
      <c r="I40" s="148">
        <f>COUNTIFS('2026 Time Off Request'!$A:$A,'Sept 2026'!$D40,'2026 Time Off Request'!$L:$L,'Sept 2026'!I$6)</f>
        <v>0</v>
      </c>
      <c r="J40" s="147">
        <f>COUNTIFS('2026 Time Off Request'!$A:$A,'Sept 2026'!$D40,'2026 Time Off Request'!$L:$L,'Sept 2026'!J$6)</f>
        <v>0</v>
      </c>
      <c r="K40" s="147">
        <f>COUNTIFS('2026 Time Off Request'!$A:$A,'Sept 2026'!$D40,'2026 Time Off Request'!$L:$L,'Sept 2026'!K$6)</f>
        <v>0</v>
      </c>
      <c r="L40" s="224">
        <f>COUNTIFS('2026 Time Off Request'!$A:$A,'Sept 2026'!$D40,'2026 Time Off Request'!$L:$L,'Sept 2026'!L$6)</f>
        <v>0</v>
      </c>
      <c r="M40" s="148">
        <f>COUNTIFS('2026 Time Off Request'!$A:$A,'Sept 2026'!$D40,'2026 Time Off Request'!$L:$L,'Sept 2026'!M$6)</f>
        <v>0</v>
      </c>
      <c r="N40" s="148">
        <f>COUNTIFS('2026 Time Off Request'!$A:$A,'Sept 2026'!$D40,'2026 Time Off Request'!$L:$L,'Sept 2026'!N$6)</f>
        <v>0</v>
      </c>
      <c r="O40" s="148">
        <f>COUNTIFS('2026 Time Off Request'!$A:$A,'Sept 2026'!$D40,'2026 Time Off Request'!$L:$L,'Sept 2026'!O$6)</f>
        <v>0</v>
      </c>
      <c r="P40" s="148">
        <f>COUNTIFS('2026 Time Off Request'!$A:$A,'Sept 2026'!$D40,'2026 Time Off Request'!$L:$L,'Sept 2026'!P$6)</f>
        <v>0</v>
      </c>
      <c r="Q40" s="147">
        <f>COUNTIFS('2026 Time Off Request'!$A:$A,'Sept 2026'!$D40,'2026 Time Off Request'!$L:$L,'Sept 2026'!Q$6)</f>
        <v>0</v>
      </c>
      <c r="R40" s="147">
        <f>COUNTIFS('2026 Time Off Request'!$A:$A,'Sept 2026'!$D40,'2026 Time Off Request'!$L:$L,'Sept 2026'!R$6)</f>
        <v>0</v>
      </c>
      <c r="S40" s="148">
        <f>COUNTIFS('2026 Time Off Request'!$A:$A,'Sept 2026'!$D40,'2026 Time Off Request'!$L:$L,'Sept 2026'!S$6)</f>
        <v>0</v>
      </c>
      <c r="T40" s="148">
        <f>COUNTIFS('2026 Time Off Request'!$A:$A,'Sept 2026'!$D40,'2026 Time Off Request'!$L:$L,'Sept 2026'!T$6)</f>
        <v>0</v>
      </c>
      <c r="U40" s="148">
        <f>COUNTIFS('2026 Time Off Request'!$A:$A,'Sept 2026'!$D40,'2026 Time Off Request'!$L:$L,'Sept 2026'!U$6)</f>
        <v>0</v>
      </c>
      <c r="V40" s="148">
        <f>COUNTIFS('2026 Time Off Request'!$A:$A,'Sept 2026'!$D40,'2026 Time Off Request'!$L:$L,'Sept 2026'!V$6)</f>
        <v>0</v>
      </c>
      <c r="W40" s="148">
        <f>COUNTIFS('2026 Time Off Request'!$A:$A,'Sept 2026'!$D40,'2026 Time Off Request'!$L:$L,'Sept 2026'!W$6)</f>
        <v>0</v>
      </c>
      <c r="X40" s="147">
        <f>COUNTIFS('2026 Time Off Request'!$A:$A,'Sept 2026'!$D40,'2026 Time Off Request'!$L:$L,'Sept 2026'!X$6)</f>
        <v>0</v>
      </c>
      <c r="Y40" s="147">
        <f>COUNTIFS('2026 Time Off Request'!$A:$A,'Sept 2026'!$D40,'2026 Time Off Request'!$L:$L,'Sept 2026'!Y$6)</f>
        <v>0</v>
      </c>
      <c r="Z40" s="148">
        <f>COUNTIFS('2026 Time Off Request'!$A:$A,'Sept 2026'!$D40,'2026 Time Off Request'!$L:$L,'Sept 2026'!Z$6)</f>
        <v>0</v>
      </c>
      <c r="AA40" s="148">
        <f>COUNTIFS('2026 Time Off Request'!$A:$A,'Sept 2026'!$D40,'2026 Time Off Request'!$L:$L,'Sept 2026'!AA$6)</f>
        <v>0</v>
      </c>
      <c r="AB40" s="148">
        <f>COUNTIFS('2026 Time Off Request'!$A:$A,'Sept 2026'!$D40,'2026 Time Off Request'!$L:$L,'Sept 2026'!AB$6)</f>
        <v>0</v>
      </c>
      <c r="AC40" s="148">
        <f>COUNTIFS('2026 Time Off Request'!$A:$A,'Sept 2026'!$D40,'2026 Time Off Request'!$L:$L,'Sept 2026'!AC$6)</f>
        <v>0</v>
      </c>
      <c r="AD40" s="148">
        <f>COUNTIFS('2026 Time Off Request'!$A:$A,'Sept 2026'!$D40,'2026 Time Off Request'!$L:$L,'Sept 2026'!AD$6)</f>
        <v>0</v>
      </c>
      <c r="AE40" s="147">
        <f>COUNTIFS('2026 Time Off Request'!$A:$A,'Sept 2026'!$D40,'2026 Time Off Request'!$L:$L,'Sept 2026'!AE$6)</f>
        <v>0</v>
      </c>
      <c r="AF40" s="147">
        <f>COUNTIFS('2026 Time Off Request'!$A:$A,'Sept 2026'!$D40,'2026 Time Off Request'!$L:$L,'Sept 2026'!AF$6)</f>
        <v>0</v>
      </c>
      <c r="AG40" s="148">
        <f>COUNTIFS('2026 Time Off Request'!$A:$A,'Sept 2026'!$D40,'2026 Time Off Request'!$L:$L,'Sept 2026'!AG$6)</f>
        <v>0</v>
      </c>
      <c r="AH40" s="148">
        <f>COUNTIFS('2026 Time Off Request'!$A:$A,'Sept 2026'!$D40,'2026 Time Off Request'!$L:$L,'Sept 2026'!AH$6)</f>
        <v>0</v>
      </c>
      <c r="AI40" s="148">
        <f>COUNTIFS('2026 Time Off Request'!$A:$A,'Sept 2026'!$D40,'2026 Time Off Request'!$L:$L,'Sept 2026'!AI$6)</f>
        <v>0</v>
      </c>
    </row>
    <row r="41" spans="1:35" ht="15.75">
      <c r="A41" s="2">
        <v>32</v>
      </c>
      <c r="B41" s="209" t="s">
        <v>45</v>
      </c>
      <c r="C41" s="210" t="s">
        <v>83</v>
      </c>
      <c r="D41" s="215" t="s">
        <v>84</v>
      </c>
      <c r="E41" s="212">
        <f t="shared" si="2"/>
        <v>0</v>
      </c>
      <c r="F41" s="223">
        <f>COUNTIFS('2026 Time Off Request'!$A:$A,'Sept 2026'!$D41,'2026 Time Off Request'!$L:$L,'Sept 2026'!F$6)</f>
        <v>0</v>
      </c>
      <c r="G41" s="148">
        <f>COUNTIFS('2026 Time Off Request'!$A:$A,'Sept 2026'!$D41,'2026 Time Off Request'!$L:$L,'Sept 2026'!G$6)</f>
        <v>0</v>
      </c>
      <c r="H41" s="148">
        <f>COUNTIFS('2026 Time Off Request'!$A:$A,'Sept 2026'!$D41,'2026 Time Off Request'!$L:$L,'Sept 2026'!H$6)</f>
        <v>0</v>
      </c>
      <c r="I41" s="148">
        <f>COUNTIFS('2026 Time Off Request'!$A:$A,'Sept 2026'!$D41,'2026 Time Off Request'!$L:$L,'Sept 2026'!I$6)</f>
        <v>0</v>
      </c>
      <c r="J41" s="147">
        <f>COUNTIFS('2026 Time Off Request'!$A:$A,'Sept 2026'!$D41,'2026 Time Off Request'!$L:$L,'Sept 2026'!J$6)</f>
        <v>0</v>
      </c>
      <c r="K41" s="147">
        <f>COUNTIFS('2026 Time Off Request'!$A:$A,'Sept 2026'!$D41,'2026 Time Off Request'!$L:$L,'Sept 2026'!K$6)</f>
        <v>0</v>
      </c>
      <c r="L41" s="224">
        <f>COUNTIFS('2026 Time Off Request'!$A:$A,'Sept 2026'!$D41,'2026 Time Off Request'!$L:$L,'Sept 2026'!L$6)</f>
        <v>0</v>
      </c>
      <c r="M41" s="148">
        <f>COUNTIFS('2026 Time Off Request'!$A:$A,'Sept 2026'!$D41,'2026 Time Off Request'!$L:$L,'Sept 2026'!M$6)</f>
        <v>0</v>
      </c>
      <c r="N41" s="148">
        <f>COUNTIFS('2026 Time Off Request'!$A:$A,'Sept 2026'!$D41,'2026 Time Off Request'!$L:$L,'Sept 2026'!N$6)</f>
        <v>0</v>
      </c>
      <c r="O41" s="148">
        <f>COUNTIFS('2026 Time Off Request'!$A:$A,'Sept 2026'!$D41,'2026 Time Off Request'!$L:$L,'Sept 2026'!O$6)</f>
        <v>0</v>
      </c>
      <c r="P41" s="148">
        <f>COUNTIFS('2026 Time Off Request'!$A:$A,'Sept 2026'!$D41,'2026 Time Off Request'!$L:$L,'Sept 2026'!P$6)</f>
        <v>0</v>
      </c>
      <c r="Q41" s="147">
        <f>COUNTIFS('2026 Time Off Request'!$A:$A,'Sept 2026'!$D41,'2026 Time Off Request'!$L:$L,'Sept 2026'!Q$6)</f>
        <v>0</v>
      </c>
      <c r="R41" s="147">
        <f>COUNTIFS('2026 Time Off Request'!$A:$A,'Sept 2026'!$D41,'2026 Time Off Request'!$L:$L,'Sept 2026'!R$6)</f>
        <v>0</v>
      </c>
      <c r="S41" s="148">
        <f>COUNTIFS('2026 Time Off Request'!$A:$A,'Sept 2026'!$D41,'2026 Time Off Request'!$L:$L,'Sept 2026'!S$6)</f>
        <v>0</v>
      </c>
      <c r="T41" s="148">
        <f>COUNTIFS('2026 Time Off Request'!$A:$A,'Sept 2026'!$D41,'2026 Time Off Request'!$L:$L,'Sept 2026'!T$6)</f>
        <v>0</v>
      </c>
      <c r="U41" s="148">
        <f>COUNTIFS('2026 Time Off Request'!$A:$A,'Sept 2026'!$D41,'2026 Time Off Request'!$L:$L,'Sept 2026'!U$6)</f>
        <v>0</v>
      </c>
      <c r="V41" s="148">
        <f>COUNTIFS('2026 Time Off Request'!$A:$A,'Sept 2026'!$D41,'2026 Time Off Request'!$L:$L,'Sept 2026'!V$6)</f>
        <v>0</v>
      </c>
      <c r="W41" s="148">
        <f>COUNTIFS('2026 Time Off Request'!$A:$A,'Sept 2026'!$D41,'2026 Time Off Request'!$L:$L,'Sept 2026'!W$6)</f>
        <v>0</v>
      </c>
      <c r="X41" s="147">
        <f>COUNTIFS('2026 Time Off Request'!$A:$A,'Sept 2026'!$D41,'2026 Time Off Request'!$L:$L,'Sept 2026'!X$6)</f>
        <v>0</v>
      </c>
      <c r="Y41" s="147">
        <f>COUNTIFS('2026 Time Off Request'!$A:$A,'Sept 2026'!$D41,'2026 Time Off Request'!$L:$L,'Sept 2026'!Y$6)</f>
        <v>0</v>
      </c>
      <c r="Z41" s="148">
        <f>COUNTIFS('2026 Time Off Request'!$A:$A,'Sept 2026'!$D41,'2026 Time Off Request'!$L:$L,'Sept 2026'!Z$6)</f>
        <v>0</v>
      </c>
      <c r="AA41" s="148">
        <f>COUNTIFS('2026 Time Off Request'!$A:$A,'Sept 2026'!$D41,'2026 Time Off Request'!$L:$L,'Sept 2026'!AA$6)</f>
        <v>0</v>
      </c>
      <c r="AB41" s="148">
        <f>COUNTIFS('2026 Time Off Request'!$A:$A,'Sept 2026'!$D41,'2026 Time Off Request'!$L:$L,'Sept 2026'!AB$6)</f>
        <v>0</v>
      </c>
      <c r="AC41" s="148">
        <f>COUNTIFS('2026 Time Off Request'!$A:$A,'Sept 2026'!$D41,'2026 Time Off Request'!$L:$L,'Sept 2026'!AC$6)</f>
        <v>0</v>
      </c>
      <c r="AD41" s="148">
        <f>COUNTIFS('2026 Time Off Request'!$A:$A,'Sept 2026'!$D41,'2026 Time Off Request'!$L:$L,'Sept 2026'!AD$6)</f>
        <v>0</v>
      </c>
      <c r="AE41" s="147">
        <f>COUNTIFS('2026 Time Off Request'!$A:$A,'Sept 2026'!$D41,'2026 Time Off Request'!$L:$L,'Sept 2026'!AE$6)</f>
        <v>0</v>
      </c>
      <c r="AF41" s="147">
        <f>COUNTIFS('2026 Time Off Request'!$A:$A,'Sept 2026'!$D41,'2026 Time Off Request'!$L:$L,'Sept 2026'!AF$6)</f>
        <v>0</v>
      </c>
      <c r="AG41" s="148">
        <f>COUNTIFS('2026 Time Off Request'!$A:$A,'Sept 2026'!$D41,'2026 Time Off Request'!$L:$L,'Sept 2026'!AG$6)</f>
        <v>0</v>
      </c>
      <c r="AH41" s="148">
        <f>COUNTIFS('2026 Time Off Request'!$A:$A,'Sept 2026'!$D41,'2026 Time Off Request'!$L:$L,'Sept 2026'!AH$6)</f>
        <v>0</v>
      </c>
      <c r="AI41" s="148">
        <f>COUNTIFS('2026 Time Off Request'!$A:$A,'Sept 2026'!$D41,'2026 Time Off Request'!$L:$L,'Sept 2026'!AI$6)</f>
        <v>0</v>
      </c>
    </row>
    <row r="42" spans="1:35" ht="15.75">
      <c r="A42" s="2">
        <v>33</v>
      </c>
      <c r="B42" s="209" t="s">
        <v>45</v>
      </c>
      <c r="C42" s="210" t="s">
        <v>85</v>
      </c>
      <c r="D42" s="215" t="s">
        <v>86</v>
      </c>
      <c r="E42" s="212">
        <f t="shared" si="2"/>
        <v>0</v>
      </c>
      <c r="F42" s="223">
        <f>COUNTIFS('2026 Time Off Request'!$A:$A,'Sept 2026'!$D42,'2026 Time Off Request'!$L:$L,'Sept 2026'!F$6)</f>
        <v>0</v>
      </c>
      <c r="G42" s="148">
        <f>COUNTIFS('2026 Time Off Request'!$A:$A,'Sept 2026'!$D42,'2026 Time Off Request'!$L:$L,'Sept 2026'!G$6)</f>
        <v>0</v>
      </c>
      <c r="H42" s="148">
        <f>COUNTIFS('2026 Time Off Request'!$A:$A,'Sept 2026'!$D42,'2026 Time Off Request'!$L:$L,'Sept 2026'!H$6)</f>
        <v>0</v>
      </c>
      <c r="I42" s="148">
        <f>COUNTIFS('2026 Time Off Request'!$A:$A,'Sept 2026'!$D42,'2026 Time Off Request'!$L:$L,'Sept 2026'!I$6)</f>
        <v>0</v>
      </c>
      <c r="J42" s="147">
        <f>COUNTIFS('2026 Time Off Request'!$A:$A,'Sept 2026'!$D42,'2026 Time Off Request'!$L:$L,'Sept 2026'!J$6)</f>
        <v>0</v>
      </c>
      <c r="K42" s="147">
        <f>COUNTIFS('2026 Time Off Request'!$A:$A,'Sept 2026'!$D42,'2026 Time Off Request'!$L:$L,'Sept 2026'!K$6)</f>
        <v>0</v>
      </c>
      <c r="L42" s="224">
        <f>COUNTIFS('2026 Time Off Request'!$A:$A,'Sept 2026'!$D42,'2026 Time Off Request'!$L:$L,'Sept 2026'!L$6)</f>
        <v>0</v>
      </c>
      <c r="M42" s="148">
        <f>COUNTIFS('2026 Time Off Request'!$A:$A,'Sept 2026'!$D42,'2026 Time Off Request'!$L:$L,'Sept 2026'!M$6)</f>
        <v>0</v>
      </c>
      <c r="N42" s="148">
        <f>COUNTIFS('2026 Time Off Request'!$A:$A,'Sept 2026'!$D42,'2026 Time Off Request'!$L:$L,'Sept 2026'!N$6)</f>
        <v>0</v>
      </c>
      <c r="O42" s="148">
        <f>COUNTIFS('2026 Time Off Request'!$A:$A,'Sept 2026'!$D42,'2026 Time Off Request'!$L:$L,'Sept 2026'!O$6)</f>
        <v>0</v>
      </c>
      <c r="P42" s="148">
        <f>COUNTIFS('2026 Time Off Request'!$A:$A,'Sept 2026'!$D42,'2026 Time Off Request'!$L:$L,'Sept 2026'!P$6)</f>
        <v>0</v>
      </c>
      <c r="Q42" s="147">
        <f>COUNTIFS('2026 Time Off Request'!$A:$A,'Sept 2026'!$D42,'2026 Time Off Request'!$L:$L,'Sept 2026'!Q$6)</f>
        <v>0</v>
      </c>
      <c r="R42" s="147">
        <f>COUNTIFS('2026 Time Off Request'!$A:$A,'Sept 2026'!$D42,'2026 Time Off Request'!$L:$L,'Sept 2026'!R$6)</f>
        <v>0</v>
      </c>
      <c r="S42" s="148">
        <f>COUNTIFS('2026 Time Off Request'!$A:$A,'Sept 2026'!$D42,'2026 Time Off Request'!$L:$L,'Sept 2026'!S$6)</f>
        <v>0</v>
      </c>
      <c r="T42" s="148">
        <f>COUNTIFS('2026 Time Off Request'!$A:$A,'Sept 2026'!$D42,'2026 Time Off Request'!$L:$L,'Sept 2026'!T$6)</f>
        <v>0</v>
      </c>
      <c r="U42" s="148">
        <f>COUNTIFS('2026 Time Off Request'!$A:$A,'Sept 2026'!$D42,'2026 Time Off Request'!$L:$L,'Sept 2026'!U$6)</f>
        <v>0</v>
      </c>
      <c r="V42" s="148">
        <f>COUNTIFS('2026 Time Off Request'!$A:$A,'Sept 2026'!$D42,'2026 Time Off Request'!$L:$L,'Sept 2026'!V$6)</f>
        <v>0</v>
      </c>
      <c r="W42" s="148">
        <f>COUNTIFS('2026 Time Off Request'!$A:$A,'Sept 2026'!$D42,'2026 Time Off Request'!$L:$L,'Sept 2026'!W$6)</f>
        <v>0</v>
      </c>
      <c r="X42" s="147">
        <f>COUNTIFS('2026 Time Off Request'!$A:$A,'Sept 2026'!$D42,'2026 Time Off Request'!$L:$L,'Sept 2026'!X$6)</f>
        <v>0</v>
      </c>
      <c r="Y42" s="147">
        <f>COUNTIFS('2026 Time Off Request'!$A:$A,'Sept 2026'!$D42,'2026 Time Off Request'!$L:$L,'Sept 2026'!Y$6)</f>
        <v>0</v>
      </c>
      <c r="Z42" s="148">
        <f>COUNTIFS('2026 Time Off Request'!$A:$A,'Sept 2026'!$D42,'2026 Time Off Request'!$L:$L,'Sept 2026'!Z$6)</f>
        <v>0</v>
      </c>
      <c r="AA42" s="148">
        <f>COUNTIFS('2026 Time Off Request'!$A:$A,'Sept 2026'!$D42,'2026 Time Off Request'!$L:$L,'Sept 2026'!AA$6)</f>
        <v>0</v>
      </c>
      <c r="AB42" s="148">
        <f>COUNTIFS('2026 Time Off Request'!$A:$A,'Sept 2026'!$D42,'2026 Time Off Request'!$L:$L,'Sept 2026'!AB$6)</f>
        <v>0</v>
      </c>
      <c r="AC42" s="148">
        <f>COUNTIFS('2026 Time Off Request'!$A:$A,'Sept 2026'!$D42,'2026 Time Off Request'!$L:$L,'Sept 2026'!AC$6)</f>
        <v>0</v>
      </c>
      <c r="AD42" s="148">
        <f>COUNTIFS('2026 Time Off Request'!$A:$A,'Sept 2026'!$D42,'2026 Time Off Request'!$L:$L,'Sept 2026'!AD$6)</f>
        <v>0</v>
      </c>
      <c r="AE42" s="147">
        <f>COUNTIFS('2026 Time Off Request'!$A:$A,'Sept 2026'!$D42,'2026 Time Off Request'!$L:$L,'Sept 2026'!AE$6)</f>
        <v>0</v>
      </c>
      <c r="AF42" s="147">
        <f>COUNTIFS('2026 Time Off Request'!$A:$A,'Sept 2026'!$D42,'2026 Time Off Request'!$L:$L,'Sept 2026'!AF$6)</f>
        <v>0</v>
      </c>
      <c r="AG42" s="148">
        <f>COUNTIFS('2026 Time Off Request'!$A:$A,'Sept 2026'!$D42,'2026 Time Off Request'!$L:$L,'Sept 2026'!AG$6)</f>
        <v>0</v>
      </c>
      <c r="AH42" s="148">
        <f>COUNTIFS('2026 Time Off Request'!$A:$A,'Sept 2026'!$D42,'2026 Time Off Request'!$L:$L,'Sept 2026'!AH$6)</f>
        <v>0</v>
      </c>
      <c r="AI42" s="148">
        <f>COUNTIFS('2026 Time Off Request'!$A:$A,'Sept 2026'!$D42,'2026 Time Off Request'!$L:$L,'Sept 2026'!AI$6)</f>
        <v>0</v>
      </c>
    </row>
    <row r="43" spans="1:35" ht="15.75">
      <c r="A43" s="2">
        <v>34</v>
      </c>
      <c r="B43" s="209" t="s">
        <v>45</v>
      </c>
      <c r="C43" s="210" t="s">
        <v>87</v>
      </c>
      <c r="D43" s="215" t="s">
        <v>88</v>
      </c>
      <c r="E43" s="212">
        <f t="shared" si="2"/>
        <v>0</v>
      </c>
      <c r="F43" s="223">
        <f>COUNTIFS('2026 Time Off Request'!$A:$A,'Sept 2026'!$D43,'2026 Time Off Request'!$L:$L,'Sept 2026'!F$6)</f>
        <v>0</v>
      </c>
      <c r="G43" s="148">
        <f>COUNTIFS('2026 Time Off Request'!$A:$A,'Sept 2026'!$D43,'2026 Time Off Request'!$L:$L,'Sept 2026'!G$6)</f>
        <v>0</v>
      </c>
      <c r="H43" s="148">
        <f>COUNTIFS('2026 Time Off Request'!$A:$A,'Sept 2026'!$D43,'2026 Time Off Request'!$L:$L,'Sept 2026'!H$6)</f>
        <v>0</v>
      </c>
      <c r="I43" s="148">
        <f>COUNTIFS('2026 Time Off Request'!$A:$A,'Sept 2026'!$D43,'2026 Time Off Request'!$L:$L,'Sept 2026'!I$6)</f>
        <v>0</v>
      </c>
      <c r="J43" s="147">
        <f>COUNTIFS('2026 Time Off Request'!$A:$A,'Sept 2026'!$D43,'2026 Time Off Request'!$L:$L,'Sept 2026'!J$6)</f>
        <v>0</v>
      </c>
      <c r="K43" s="147">
        <f>COUNTIFS('2026 Time Off Request'!$A:$A,'Sept 2026'!$D43,'2026 Time Off Request'!$L:$L,'Sept 2026'!K$6)</f>
        <v>0</v>
      </c>
      <c r="L43" s="224">
        <f>COUNTIFS('2026 Time Off Request'!$A:$A,'Sept 2026'!$D43,'2026 Time Off Request'!$L:$L,'Sept 2026'!L$6)</f>
        <v>0</v>
      </c>
      <c r="M43" s="148">
        <f>COUNTIFS('2026 Time Off Request'!$A:$A,'Sept 2026'!$D43,'2026 Time Off Request'!$L:$L,'Sept 2026'!M$6)</f>
        <v>0</v>
      </c>
      <c r="N43" s="148">
        <f>COUNTIFS('2026 Time Off Request'!$A:$A,'Sept 2026'!$D43,'2026 Time Off Request'!$L:$L,'Sept 2026'!N$6)</f>
        <v>0</v>
      </c>
      <c r="O43" s="148">
        <f>COUNTIFS('2026 Time Off Request'!$A:$A,'Sept 2026'!$D43,'2026 Time Off Request'!$L:$L,'Sept 2026'!O$6)</f>
        <v>0</v>
      </c>
      <c r="P43" s="148">
        <f>COUNTIFS('2026 Time Off Request'!$A:$A,'Sept 2026'!$D43,'2026 Time Off Request'!$L:$L,'Sept 2026'!P$6)</f>
        <v>0</v>
      </c>
      <c r="Q43" s="147">
        <f>COUNTIFS('2026 Time Off Request'!$A:$A,'Sept 2026'!$D43,'2026 Time Off Request'!$L:$L,'Sept 2026'!Q$6)</f>
        <v>0</v>
      </c>
      <c r="R43" s="147">
        <f>COUNTIFS('2026 Time Off Request'!$A:$A,'Sept 2026'!$D43,'2026 Time Off Request'!$L:$L,'Sept 2026'!R$6)</f>
        <v>0</v>
      </c>
      <c r="S43" s="148">
        <f>COUNTIFS('2026 Time Off Request'!$A:$A,'Sept 2026'!$D43,'2026 Time Off Request'!$L:$L,'Sept 2026'!S$6)</f>
        <v>0</v>
      </c>
      <c r="T43" s="148">
        <f>COUNTIFS('2026 Time Off Request'!$A:$A,'Sept 2026'!$D43,'2026 Time Off Request'!$L:$L,'Sept 2026'!T$6)</f>
        <v>0</v>
      </c>
      <c r="U43" s="148">
        <f>COUNTIFS('2026 Time Off Request'!$A:$A,'Sept 2026'!$D43,'2026 Time Off Request'!$L:$L,'Sept 2026'!U$6)</f>
        <v>0</v>
      </c>
      <c r="V43" s="148">
        <f>COUNTIFS('2026 Time Off Request'!$A:$A,'Sept 2026'!$D43,'2026 Time Off Request'!$L:$L,'Sept 2026'!V$6)</f>
        <v>0</v>
      </c>
      <c r="W43" s="148">
        <f>COUNTIFS('2026 Time Off Request'!$A:$A,'Sept 2026'!$D43,'2026 Time Off Request'!$L:$L,'Sept 2026'!W$6)</f>
        <v>0</v>
      </c>
      <c r="X43" s="147">
        <f>COUNTIFS('2026 Time Off Request'!$A:$A,'Sept 2026'!$D43,'2026 Time Off Request'!$L:$L,'Sept 2026'!X$6)</f>
        <v>0</v>
      </c>
      <c r="Y43" s="147">
        <f>COUNTIFS('2026 Time Off Request'!$A:$A,'Sept 2026'!$D43,'2026 Time Off Request'!$L:$L,'Sept 2026'!Y$6)</f>
        <v>0</v>
      </c>
      <c r="Z43" s="148">
        <f>COUNTIFS('2026 Time Off Request'!$A:$A,'Sept 2026'!$D43,'2026 Time Off Request'!$L:$L,'Sept 2026'!Z$6)</f>
        <v>0</v>
      </c>
      <c r="AA43" s="148">
        <f>COUNTIFS('2026 Time Off Request'!$A:$A,'Sept 2026'!$D43,'2026 Time Off Request'!$L:$L,'Sept 2026'!AA$6)</f>
        <v>0</v>
      </c>
      <c r="AB43" s="148">
        <f>COUNTIFS('2026 Time Off Request'!$A:$A,'Sept 2026'!$D43,'2026 Time Off Request'!$L:$L,'Sept 2026'!AB$6)</f>
        <v>0</v>
      </c>
      <c r="AC43" s="148">
        <f>COUNTIFS('2026 Time Off Request'!$A:$A,'Sept 2026'!$D43,'2026 Time Off Request'!$L:$L,'Sept 2026'!AC$6)</f>
        <v>0</v>
      </c>
      <c r="AD43" s="148">
        <f>COUNTIFS('2026 Time Off Request'!$A:$A,'Sept 2026'!$D43,'2026 Time Off Request'!$L:$L,'Sept 2026'!AD$6)</f>
        <v>0</v>
      </c>
      <c r="AE43" s="147">
        <f>COUNTIFS('2026 Time Off Request'!$A:$A,'Sept 2026'!$D43,'2026 Time Off Request'!$L:$L,'Sept 2026'!AE$6)</f>
        <v>0</v>
      </c>
      <c r="AF43" s="147">
        <f>COUNTIFS('2026 Time Off Request'!$A:$A,'Sept 2026'!$D43,'2026 Time Off Request'!$L:$L,'Sept 2026'!AF$6)</f>
        <v>0</v>
      </c>
      <c r="AG43" s="148">
        <f>COUNTIFS('2026 Time Off Request'!$A:$A,'Sept 2026'!$D43,'2026 Time Off Request'!$L:$L,'Sept 2026'!AG$6)</f>
        <v>0</v>
      </c>
      <c r="AH43" s="148">
        <f>COUNTIFS('2026 Time Off Request'!$A:$A,'Sept 2026'!$D43,'2026 Time Off Request'!$L:$L,'Sept 2026'!AH$6)</f>
        <v>0</v>
      </c>
      <c r="AI43" s="148">
        <f>COUNTIFS('2026 Time Off Request'!$A:$A,'Sept 2026'!$D43,'2026 Time Off Request'!$L:$L,'Sept 2026'!AI$6)</f>
        <v>0</v>
      </c>
    </row>
    <row r="44" spans="1:35" ht="15.75">
      <c r="A44" s="2">
        <v>35</v>
      </c>
      <c r="B44" s="209" t="s">
        <v>45</v>
      </c>
      <c r="C44" s="210" t="s">
        <v>89</v>
      </c>
      <c r="D44" s="215" t="s">
        <v>90</v>
      </c>
      <c r="E44" s="212">
        <f t="shared" si="2"/>
        <v>0</v>
      </c>
      <c r="F44" s="223">
        <f>COUNTIFS('2026 Time Off Request'!$A:$A,'Sept 2026'!$D44,'2026 Time Off Request'!$L:$L,'Sept 2026'!F$6)</f>
        <v>0</v>
      </c>
      <c r="G44" s="148">
        <f>COUNTIFS('2026 Time Off Request'!$A:$A,'Sept 2026'!$D44,'2026 Time Off Request'!$L:$L,'Sept 2026'!G$6)</f>
        <v>0</v>
      </c>
      <c r="H44" s="148">
        <f>COUNTIFS('2026 Time Off Request'!$A:$A,'Sept 2026'!$D44,'2026 Time Off Request'!$L:$L,'Sept 2026'!H$6)</f>
        <v>0</v>
      </c>
      <c r="I44" s="148">
        <f>COUNTIFS('2026 Time Off Request'!$A:$A,'Sept 2026'!$D44,'2026 Time Off Request'!$L:$L,'Sept 2026'!I$6)</f>
        <v>0</v>
      </c>
      <c r="J44" s="147">
        <f>COUNTIFS('2026 Time Off Request'!$A:$A,'Sept 2026'!$D44,'2026 Time Off Request'!$L:$L,'Sept 2026'!J$6)</f>
        <v>0</v>
      </c>
      <c r="K44" s="147">
        <f>COUNTIFS('2026 Time Off Request'!$A:$A,'Sept 2026'!$D44,'2026 Time Off Request'!$L:$L,'Sept 2026'!K$6)</f>
        <v>0</v>
      </c>
      <c r="L44" s="224">
        <f>COUNTIFS('2026 Time Off Request'!$A:$A,'Sept 2026'!$D44,'2026 Time Off Request'!$L:$L,'Sept 2026'!L$6)</f>
        <v>0</v>
      </c>
      <c r="M44" s="148">
        <f>COUNTIFS('2026 Time Off Request'!$A:$A,'Sept 2026'!$D44,'2026 Time Off Request'!$L:$L,'Sept 2026'!M$6)</f>
        <v>0</v>
      </c>
      <c r="N44" s="148">
        <f>COUNTIFS('2026 Time Off Request'!$A:$A,'Sept 2026'!$D44,'2026 Time Off Request'!$L:$L,'Sept 2026'!N$6)</f>
        <v>0</v>
      </c>
      <c r="O44" s="148">
        <f>COUNTIFS('2026 Time Off Request'!$A:$A,'Sept 2026'!$D44,'2026 Time Off Request'!$L:$L,'Sept 2026'!O$6)</f>
        <v>0</v>
      </c>
      <c r="P44" s="148">
        <f>COUNTIFS('2026 Time Off Request'!$A:$A,'Sept 2026'!$D44,'2026 Time Off Request'!$L:$L,'Sept 2026'!P$6)</f>
        <v>0</v>
      </c>
      <c r="Q44" s="147">
        <f>COUNTIFS('2026 Time Off Request'!$A:$A,'Sept 2026'!$D44,'2026 Time Off Request'!$L:$L,'Sept 2026'!Q$6)</f>
        <v>0</v>
      </c>
      <c r="R44" s="147">
        <f>COUNTIFS('2026 Time Off Request'!$A:$A,'Sept 2026'!$D44,'2026 Time Off Request'!$L:$L,'Sept 2026'!R$6)</f>
        <v>0</v>
      </c>
      <c r="S44" s="148">
        <f>COUNTIFS('2026 Time Off Request'!$A:$A,'Sept 2026'!$D44,'2026 Time Off Request'!$L:$L,'Sept 2026'!S$6)</f>
        <v>0</v>
      </c>
      <c r="T44" s="148">
        <f>COUNTIFS('2026 Time Off Request'!$A:$A,'Sept 2026'!$D44,'2026 Time Off Request'!$L:$L,'Sept 2026'!T$6)</f>
        <v>0</v>
      </c>
      <c r="U44" s="148">
        <f>COUNTIFS('2026 Time Off Request'!$A:$A,'Sept 2026'!$D44,'2026 Time Off Request'!$L:$L,'Sept 2026'!U$6)</f>
        <v>0</v>
      </c>
      <c r="V44" s="148">
        <f>COUNTIFS('2026 Time Off Request'!$A:$A,'Sept 2026'!$D44,'2026 Time Off Request'!$L:$L,'Sept 2026'!V$6)</f>
        <v>0</v>
      </c>
      <c r="W44" s="148">
        <f>COUNTIFS('2026 Time Off Request'!$A:$A,'Sept 2026'!$D44,'2026 Time Off Request'!$L:$L,'Sept 2026'!W$6)</f>
        <v>0</v>
      </c>
      <c r="X44" s="147">
        <f>COUNTIFS('2026 Time Off Request'!$A:$A,'Sept 2026'!$D44,'2026 Time Off Request'!$L:$L,'Sept 2026'!X$6)</f>
        <v>0</v>
      </c>
      <c r="Y44" s="147">
        <f>COUNTIFS('2026 Time Off Request'!$A:$A,'Sept 2026'!$D44,'2026 Time Off Request'!$L:$L,'Sept 2026'!Y$6)</f>
        <v>0</v>
      </c>
      <c r="Z44" s="148">
        <f>COUNTIFS('2026 Time Off Request'!$A:$A,'Sept 2026'!$D44,'2026 Time Off Request'!$L:$L,'Sept 2026'!Z$6)</f>
        <v>0</v>
      </c>
      <c r="AA44" s="148">
        <f>COUNTIFS('2026 Time Off Request'!$A:$A,'Sept 2026'!$D44,'2026 Time Off Request'!$L:$L,'Sept 2026'!AA$6)</f>
        <v>0</v>
      </c>
      <c r="AB44" s="148">
        <f>COUNTIFS('2026 Time Off Request'!$A:$A,'Sept 2026'!$D44,'2026 Time Off Request'!$L:$L,'Sept 2026'!AB$6)</f>
        <v>0</v>
      </c>
      <c r="AC44" s="148">
        <f>COUNTIFS('2026 Time Off Request'!$A:$A,'Sept 2026'!$D44,'2026 Time Off Request'!$L:$L,'Sept 2026'!AC$6)</f>
        <v>0</v>
      </c>
      <c r="AD44" s="148">
        <f>COUNTIFS('2026 Time Off Request'!$A:$A,'Sept 2026'!$D44,'2026 Time Off Request'!$L:$L,'Sept 2026'!AD$6)</f>
        <v>0</v>
      </c>
      <c r="AE44" s="147">
        <f>COUNTIFS('2026 Time Off Request'!$A:$A,'Sept 2026'!$D44,'2026 Time Off Request'!$L:$L,'Sept 2026'!AE$6)</f>
        <v>0</v>
      </c>
      <c r="AF44" s="147">
        <f>COUNTIFS('2026 Time Off Request'!$A:$A,'Sept 2026'!$D44,'2026 Time Off Request'!$L:$L,'Sept 2026'!AF$6)</f>
        <v>0</v>
      </c>
      <c r="AG44" s="148">
        <f>COUNTIFS('2026 Time Off Request'!$A:$A,'Sept 2026'!$D44,'2026 Time Off Request'!$L:$L,'Sept 2026'!AG$6)</f>
        <v>0</v>
      </c>
      <c r="AH44" s="148">
        <f>COUNTIFS('2026 Time Off Request'!$A:$A,'Sept 2026'!$D44,'2026 Time Off Request'!$L:$L,'Sept 2026'!AH$6)</f>
        <v>0</v>
      </c>
      <c r="AI44" s="148">
        <f>COUNTIFS('2026 Time Off Request'!$A:$A,'Sept 2026'!$D44,'2026 Time Off Request'!$L:$L,'Sept 2026'!AI$6)</f>
        <v>0</v>
      </c>
    </row>
    <row r="45" spans="1:35" ht="15.75">
      <c r="A45" s="2">
        <v>36</v>
      </c>
      <c r="B45" s="209" t="s">
        <v>45</v>
      </c>
      <c r="C45" s="210" t="s">
        <v>89</v>
      </c>
      <c r="D45" s="215" t="s">
        <v>91</v>
      </c>
      <c r="E45" s="212">
        <f t="shared" si="2"/>
        <v>0</v>
      </c>
      <c r="F45" s="223">
        <f>COUNTIFS('2026 Time Off Request'!$A:$A,'Sept 2026'!$D45,'2026 Time Off Request'!$L:$L,'Sept 2026'!F$6)</f>
        <v>0</v>
      </c>
      <c r="G45" s="148">
        <f>COUNTIFS('2026 Time Off Request'!$A:$A,'Sept 2026'!$D45,'2026 Time Off Request'!$L:$L,'Sept 2026'!G$6)</f>
        <v>0</v>
      </c>
      <c r="H45" s="148">
        <f>COUNTIFS('2026 Time Off Request'!$A:$A,'Sept 2026'!$D45,'2026 Time Off Request'!$L:$L,'Sept 2026'!H$6)</f>
        <v>0</v>
      </c>
      <c r="I45" s="148">
        <f>COUNTIFS('2026 Time Off Request'!$A:$A,'Sept 2026'!$D45,'2026 Time Off Request'!$L:$L,'Sept 2026'!I$6)</f>
        <v>0</v>
      </c>
      <c r="J45" s="147">
        <f>COUNTIFS('2026 Time Off Request'!$A:$A,'Sept 2026'!$D45,'2026 Time Off Request'!$L:$L,'Sept 2026'!J$6)</f>
        <v>0</v>
      </c>
      <c r="K45" s="147">
        <f>COUNTIFS('2026 Time Off Request'!$A:$A,'Sept 2026'!$D45,'2026 Time Off Request'!$L:$L,'Sept 2026'!K$6)</f>
        <v>0</v>
      </c>
      <c r="L45" s="224">
        <f>COUNTIFS('2026 Time Off Request'!$A:$A,'Sept 2026'!$D45,'2026 Time Off Request'!$L:$L,'Sept 2026'!L$6)</f>
        <v>0</v>
      </c>
      <c r="M45" s="148">
        <f>COUNTIFS('2026 Time Off Request'!$A:$A,'Sept 2026'!$D45,'2026 Time Off Request'!$L:$L,'Sept 2026'!M$6)</f>
        <v>0</v>
      </c>
      <c r="N45" s="148">
        <f>COUNTIFS('2026 Time Off Request'!$A:$A,'Sept 2026'!$D45,'2026 Time Off Request'!$L:$L,'Sept 2026'!N$6)</f>
        <v>0</v>
      </c>
      <c r="O45" s="148">
        <f>COUNTIFS('2026 Time Off Request'!$A:$A,'Sept 2026'!$D45,'2026 Time Off Request'!$L:$L,'Sept 2026'!O$6)</f>
        <v>0</v>
      </c>
      <c r="P45" s="148">
        <f>COUNTIFS('2026 Time Off Request'!$A:$A,'Sept 2026'!$D45,'2026 Time Off Request'!$L:$L,'Sept 2026'!P$6)</f>
        <v>0</v>
      </c>
      <c r="Q45" s="147">
        <f>COUNTIFS('2026 Time Off Request'!$A:$A,'Sept 2026'!$D45,'2026 Time Off Request'!$L:$L,'Sept 2026'!Q$6)</f>
        <v>0</v>
      </c>
      <c r="R45" s="147">
        <f>COUNTIFS('2026 Time Off Request'!$A:$A,'Sept 2026'!$D45,'2026 Time Off Request'!$L:$L,'Sept 2026'!R$6)</f>
        <v>0</v>
      </c>
      <c r="S45" s="148">
        <f>COUNTIFS('2026 Time Off Request'!$A:$A,'Sept 2026'!$D45,'2026 Time Off Request'!$L:$L,'Sept 2026'!S$6)</f>
        <v>0</v>
      </c>
      <c r="T45" s="148">
        <f>COUNTIFS('2026 Time Off Request'!$A:$A,'Sept 2026'!$D45,'2026 Time Off Request'!$L:$L,'Sept 2026'!T$6)</f>
        <v>0</v>
      </c>
      <c r="U45" s="148">
        <f>COUNTIFS('2026 Time Off Request'!$A:$A,'Sept 2026'!$D45,'2026 Time Off Request'!$L:$L,'Sept 2026'!U$6)</f>
        <v>0</v>
      </c>
      <c r="V45" s="148">
        <f>COUNTIFS('2026 Time Off Request'!$A:$A,'Sept 2026'!$D45,'2026 Time Off Request'!$L:$L,'Sept 2026'!V$6)</f>
        <v>0</v>
      </c>
      <c r="W45" s="148">
        <f>COUNTIFS('2026 Time Off Request'!$A:$A,'Sept 2026'!$D45,'2026 Time Off Request'!$L:$L,'Sept 2026'!W$6)</f>
        <v>0</v>
      </c>
      <c r="X45" s="147">
        <f>COUNTIFS('2026 Time Off Request'!$A:$A,'Sept 2026'!$D45,'2026 Time Off Request'!$L:$L,'Sept 2026'!X$6)</f>
        <v>0</v>
      </c>
      <c r="Y45" s="147">
        <f>COUNTIFS('2026 Time Off Request'!$A:$A,'Sept 2026'!$D45,'2026 Time Off Request'!$L:$L,'Sept 2026'!Y$6)</f>
        <v>0</v>
      </c>
      <c r="Z45" s="148">
        <f>COUNTIFS('2026 Time Off Request'!$A:$A,'Sept 2026'!$D45,'2026 Time Off Request'!$L:$L,'Sept 2026'!Z$6)</f>
        <v>0</v>
      </c>
      <c r="AA45" s="148">
        <f>COUNTIFS('2026 Time Off Request'!$A:$A,'Sept 2026'!$D45,'2026 Time Off Request'!$L:$L,'Sept 2026'!AA$6)</f>
        <v>0</v>
      </c>
      <c r="AB45" s="148">
        <f>COUNTIFS('2026 Time Off Request'!$A:$A,'Sept 2026'!$D45,'2026 Time Off Request'!$L:$L,'Sept 2026'!AB$6)</f>
        <v>0</v>
      </c>
      <c r="AC45" s="148">
        <f>COUNTIFS('2026 Time Off Request'!$A:$A,'Sept 2026'!$D45,'2026 Time Off Request'!$L:$L,'Sept 2026'!AC$6)</f>
        <v>0</v>
      </c>
      <c r="AD45" s="148">
        <f>COUNTIFS('2026 Time Off Request'!$A:$A,'Sept 2026'!$D45,'2026 Time Off Request'!$L:$L,'Sept 2026'!AD$6)</f>
        <v>0</v>
      </c>
      <c r="AE45" s="147">
        <f>COUNTIFS('2026 Time Off Request'!$A:$A,'Sept 2026'!$D45,'2026 Time Off Request'!$L:$L,'Sept 2026'!AE$6)</f>
        <v>0</v>
      </c>
      <c r="AF45" s="147">
        <f>COUNTIFS('2026 Time Off Request'!$A:$A,'Sept 2026'!$D45,'2026 Time Off Request'!$L:$L,'Sept 2026'!AF$6)</f>
        <v>0</v>
      </c>
      <c r="AG45" s="148">
        <f>COUNTIFS('2026 Time Off Request'!$A:$A,'Sept 2026'!$D45,'2026 Time Off Request'!$L:$L,'Sept 2026'!AG$6)</f>
        <v>0</v>
      </c>
      <c r="AH45" s="148">
        <f>COUNTIFS('2026 Time Off Request'!$A:$A,'Sept 2026'!$D45,'2026 Time Off Request'!$L:$L,'Sept 2026'!AH$6)</f>
        <v>0</v>
      </c>
      <c r="AI45" s="148">
        <f>COUNTIFS('2026 Time Off Request'!$A:$A,'Sept 2026'!$D45,'2026 Time Off Request'!$L:$L,'Sept 2026'!AI$6)</f>
        <v>0</v>
      </c>
    </row>
    <row r="46" spans="1:35" ht="15.75">
      <c r="A46" s="2"/>
      <c r="B46" s="29"/>
      <c r="C46" s="23"/>
      <c r="D46" s="2"/>
      <c r="E46" s="3"/>
    </row>
    <row r="47" spans="1:35" ht="15.6">
      <c r="A47" s="2"/>
      <c r="B47" s="29"/>
      <c r="C47" s="23"/>
      <c r="D47" s="2"/>
      <c r="E47" s="3"/>
    </row>
    <row r="48" spans="1:35" ht="15.6">
      <c r="A48" s="2"/>
      <c r="B48" s="29"/>
      <c r="C48" s="23"/>
      <c r="D48" s="2"/>
      <c r="E48" s="3"/>
    </row>
    <row r="49" spans="1:5" ht="15.6">
      <c r="A49" s="2"/>
      <c r="B49" s="29"/>
      <c r="C49" s="105"/>
      <c r="D49" s="2"/>
      <c r="E49" s="3"/>
    </row>
    <row r="50" spans="1:5" ht="15.6">
      <c r="A50" s="2"/>
      <c r="B50" s="29"/>
      <c r="C50" s="23"/>
      <c r="D50" s="2"/>
      <c r="E50" s="2"/>
    </row>
    <row r="51" spans="1:5" ht="15.6">
      <c r="A51" s="2"/>
      <c r="B51" s="29"/>
      <c r="C51" s="23"/>
      <c r="D51" s="2"/>
      <c r="E51" s="2"/>
    </row>
    <row r="52" spans="1:5" ht="15.6">
      <c r="A52" s="2"/>
      <c r="B52" s="29"/>
      <c r="C52" s="23"/>
      <c r="D52" s="2"/>
      <c r="E52" s="2"/>
    </row>
    <row r="53" spans="1:5" ht="15.6">
      <c r="A53" s="2"/>
      <c r="B53" s="29"/>
      <c r="C53" s="23"/>
      <c r="D53" s="2"/>
      <c r="E53" s="2"/>
    </row>
    <row r="54" spans="1:5" ht="15.6">
      <c r="A54" s="2"/>
      <c r="B54" s="29"/>
      <c r="C54" s="23"/>
      <c r="D54" s="2"/>
      <c r="E54" s="2"/>
    </row>
    <row r="55" spans="1:5" ht="15.6">
      <c r="A55" s="2"/>
      <c r="B55" s="29"/>
      <c r="C55" s="23"/>
      <c r="D55" s="2"/>
      <c r="E55" s="2"/>
    </row>
    <row r="56" spans="1:5" ht="15.6">
      <c r="A56" s="2"/>
      <c r="B56" s="29"/>
      <c r="C56" s="23"/>
      <c r="D56" s="2"/>
      <c r="E56" s="2"/>
    </row>
    <row r="57" spans="1:5" ht="15.6">
      <c r="A57" s="2"/>
      <c r="B57" s="29"/>
      <c r="C57" s="23"/>
      <c r="D57" s="2"/>
      <c r="E57" s="2"/>
    </row>
    <row r="58" spans="1:5" ht="15.6">
      <c r="A58" s="2"/>
      <c r="B58" s="29"/>
      <c r="C58" s="23"/>
      <c r="D58" s="2"/>
      <c r="E58" s="2"/>
    </row>
    <row r="59" spans="1:5" ht="15.6">
      <c r="A59" s="2"/>
      <c r="B59" s="29"/>
      <c r="C59" s="23"/>
      <c r="D59" s="2"/>
      <c r="E59" s="2"/>
    </row>
    <row r="60" spans="1:5" ht="15"/>
    <row r="61" spans="1:5" ht="15"/>
  </sheetData>
  <mergeCells count="1">
    <mergeCell ref="B6:D6"/>
  </mergeCells>
  <conditionalFormatting sqref="E8:AI45">
    <cfRule type="cellIs" dxfId="3" priority="1" operator="greaterThan">
      <formula>0</formula>
    </cfRule>
  </conditionalFormatting>
  <dataValidations count="1">
    <dataValidation allowBlank="1" showInputMessage="1" showErrorMessage="1" sqref="A3:A59" xr:uid="{64B799D4-EEE7-4D5F-A3A3-8B41FF2B2F4F}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88002-BD4D-46E2-8002-D2A9CA710462}">
  <sheetPr>
    <tabColor rgb="FF00B050"/>
  </sheetPr>
  <dimension ref="A2:AM61"/>
  <sheetViews>
    <sheetView showGridLines="0" workbookViewId="0">
      <pane xSplit="4" ySplit="7" topLeftCell="F22" activePane="bottomRight" state="frozen"/>
      <selection pane="bottomRight" activeCell="B29" sqref="B29:D29"/>
      <selection pane="bottomLeft"/>
      <selection pane="topRight"/>
    </sheetView>
  </sheetViews>
  <sheetFormatPr defaultColWidth="9.140625" defaultRowHeight="14.45"/>
  <cols>
    <col min="1" max="1" width="3.28515625" bestFit="1" customWidth="1"/>
    <col min="3" max="3" width="22.7109375" bestFit="1" customWidth="1"/>
    <col min="4" max="4" width="27.140625" customWidth="1"/>
    <col min="5" max="5" width="15" customWidth="1"/>
    <col min="6" max="6" width="17.140625" style="57" customWidth="1"/>
    <col min="7" max="7" width="17.42578125" bestFit="1" customWidth="1"/>
    <col min="8" max="9" width="17.42578125" style="48" bestFit="1" customWidth="1"/>
    <col min="10" max="14" width="17.42578125" bestFit="1" customWidth="1"/>
    <col min="15" max="16" width="18.42578125" style="48" bestFit="1" customWidth="1"/>
    <col min="17" max="17" width="18.42578125" style="51" bestFit="1" customWidth="1"/>
    <col min="18" max="21" width="18.42578125" bestFit="1" customWidth="1"/>
    <col min="22" max="23" width="18.42578125" style="48" bestFit="1" customWidth="1"/>
    <col min="24" max="28" width="18.42578125" bestFit="1" customWidth="1"/>
    <col min="29" max="30" width="18.42578125" style="48" bestFit="1" customWidth="1"/>
    <col min="31" max="35" width="18.42578125" bestFit="1" customWidth="1"/>
    <col min="36" max="36" width="16.5703125" style="48" customWidth="1"/>
  </cols>
  <sheetData>
    <row r="2" spans="1:39" s="80" customFormat="1" ht="18.75" customHeight="1">
      <c r="D2" s="96" t="s">
        <v>95</v>
      </c>
      <c r="F2" s="115">
        <f>COUNTA($D$8:$D$52)</f>
        <v>38</v>
      </c>
      <c r="G2" s="80">
        <f t="shared" ref="G2:AJ2" si="0">COUNTA($D$8:$D$52)</f>
        <v>38</v>
      </c>
      <c r="H2" s="46">
        <f t="shared" si="0"/>
        <v>38</v>
      </c>
      <c r="I2" s="46">
        <f t="shared" si="0"/>
        <v>38</v>
      </c>
      <c r="J2" s="80">
        <f t="shared" si="0"/>
        <v>38</v>
      </c>
      <c r="K2" s="80">
        <f t="shared" si="0"/>
        <v>38</v>
      </c>
      <c r="L2" s="80">
        <f t="shared" si="0"/>
        <v>38</v>
      </c>
      <c r="M2" s="80">
        <f t="shared" si="0"/>
        <v>38</v>
      </c>
      <c r="N2" s="80">
        <f t="shared" si="0"/>
        <v>38</v>
      </c>
      <c r="O2" s="46">
        <f t="shared" si="0"/>
        <v>38</v>
      </c>
      <c r="P2" s="46">
        <f t="shared" si="0"/>
        <v>38</v>
      </c>
      <c r="Q2" s="49">
        <f t="shared" si="0"/>
        <v>38</v>
      </c>
      <c r="R2" s="80">
        <f t="shared" si="0"/>
        <v>38</v>
      </c>
      <c r="S2" s="80">
        <f t="shared" si="0"/>
        <v>38</v>
      </c>
      <c r="T2" s="80">
        <f t="shared" si="0"/>
        <v>38</v>
      </c>
      <c r="U2" s="80">
        <f t="shared" si="0"/>
        <v>38</v>
      </c>
      <c r="V2" s="46">
        <f t="shared" si="0"/>
        <v>38</v>
      </c>
      <c r="W2" s="46">
        <f t="shared" si="0"/>
        <v>38</v>
      </c>
      <c r="X2" s="80">
        <f t="shared" si="0"/>
        <v>38</v>
      </c>
      <c r="Y2" s="80">
        <f t="shared" si="0"/>
        <v>38</v>
      </c>
      <c r="Z2" s="80">
        <f t="shared" si="0"/>
        <v>38</v>
      </c>
      <c r="AA2" s="80">
        <f t="shared" si="0"/>
        <v>38</v>
      </c>
      <c r="AB2" s="80">
        <f t="shared" si="0"/>
        <v>38</v>
      </c>
      <c r="AC2" s="46">
        <f t="shared" si="0"/>
        <v>38</v>
      </c>
      <c r="AD2" s="46">
        <f t="shared" si="0"/>
        <v>38</v>
      </c>
      <c r="AE2" s="80">
        <f t="shared" si="0"/>
        <v>38</v>
      </c>
      <c r="AF2" s="80">
        <f t="shared" si="0"/>
        <v>38</v>
      </c>
      <c r="AG2" s="80">
        <f t="shared" si="0"/>
        <v>38</v>
      </c>
      <c r="AH2" s="80">
        <f t="shared" si="0"/>
        <v>38</v>
      </c>
      <c r="AI2" s="80">
        <f t="shared" si="0"/>
        <v>38</v>
      </c>
      <c r="AJ2" s="46">
        <f t="shared" si="0"/>
        <v>38</v>
      </c>
    </row>
    <row r="3" spans="1:39" s="80" customFormat="1" ht="12">
      <c r="A3" s="96"/>
      <c r="C3" s="96"/>
      <c r="D3" s="96" t="s">
        <v>96</v>
      </c>
      <c r="E3" s="96"/>
      <c r="F3" s="115">
        <f>SUM(F8:F49)</f>
        <v>0</v>
      </c>
      <c r="G3" s="80">
        <f t="shared" ref="G3:AJ3" si="1">SUM(G8:G49)</f>
        <v>0</v>
      </c>
      <c r="H3" s="46">
        <f t="shared" si="1"/>
        <v>0</v>
      </c>
      <c r="I3" s="46">
        <f t="shared" si="1"/>
        <v>0</v>
      </c>
      <c r="J3" s="80">
        <f t="shared" si="1"/>
        <v>0</v>
      </c>
      <c r="K3" s="80">
        <f t="shared" si="1"/>
        <v>0</v>
      </c>
      <c r="L3" s="80">
        <f t="shared" si="1"/>
        <v>0</v>
      </c>
      <c r="M3" s="80">
        <f>SUM(M8:M49)</f>
        <v>0</v>
      </c>
      <c r="N3" s="80">
        <f t="shared" si="1"/>
        <v>0</v>
      </c>
      <c r="O3" s="46">
        <f t="shared" si="1"/>
        <v>0</v>
      </c>
      <c r="P3" s="46">
        <f t="shared" si="1"/>
        <v>0</v>
      </c>
      <c r="Q3" s="49">
        <f t="shared" si="1"/>
        <v>0</v>
      </c>
      <c r="R3" s="80">
        <f>SUM(R8:R49)</f>
        <v>0</v>
      </c>
      <c r="S3" s="80">
        <f t="shared" si="1"/>
        <v>0</v>
      </c>
      <c r="T3" s="80">
        <f t="shared" si="1"/>
        <v>0</v>
      </c>
      <c r="U3" s="80">
        <f t="shared" si="1"/>
        <v>0</v>
      </c>
      <c r="V3" s="46">
        <f t="shared" si="1"/>
        <v>0</v>
      </c>
      <c r="W3" s="46">
        <f>SUM(W8:W49)</f>
        <v>0</v>
      </c>
      <c r="X3" s="80">
        <f t="shared" si="1"/>
        <v>0</v>
      </c>
      <c r="Y3" s="80">
        <f t="shared" si="1"/>
        <v>0</v>
      </c>
      <c r="Z3" s="80">
        <f t="shared" si="1"/>
        <v>0</v>
      </c>
      <c r="AA3" s="80">
        <f t="shared" si="1"/>
        <v>0</v>
      </c>
      <c r="AB3" s="80">
        <f t="shared" si="1"/>
        <v>0</v>
      </c>
      <c r="AC3" s="46">
        <f t="shared" si="1"/>
        <v>0</v>
      </c>
      <c r="AD3" s="46">
        <f>SUM(AD8:AD49)</f>
        <v>0</v>
      </c>
      <c r="AE3" s="80">
        <f t="shared" si="1"/>
        <v>0</v>
      </c>
      <c r="AF3" s="80">
        <f>SUM(AF8:AF49)</f>
        <v>0</v>
      </c>
      <c r="AG3" s="80">
        <f t="shared" si="1"/>
        <v>0</v>
      </c>
      <c r="AH3" s="80">
        <f t="shared" si="1"/>
        <v>0</v>
      </c>
      <c r="AI3" s="80">
        <f t="shared" si="1"/>
        <v>0</v>
      </c>
      <c r="AJ3" s="46">
        <f t="shared" si="1"/>
        <v>0</v>
      </c>
    </row>
    <row r="4" spans="1:39" s="80" customFormat="1" ht="12">
      <c r="A4" s="96"/>
      <c r="B4" s="97"/>
      <c r="C4" s="96"/>
      <c r="D4" s="96" t="s">
        <v>97</v>
      </c>
      <c r="E4" s="96"/>
      <c r="F4" s="116">
        <f>(COUNTA($D$8:$D$49)-F$3)/(COUNTA($D$8:$D$49))</f>
        <v>1</v>
      </c>
      <c r="G4" s="81">
        <f>(COUNTA($D$8:$D$49)-G$3)/(COUNTA($D$8:$D$49))</f>
        <v>1</v>
      </c>
      <c r="H4" s="47">
        <f>(COUNTA($D$8:$D$49)-H$3)/(COUNTA($D$8:$D$49))</f>
        <v>1</v>
      </c>
      <c r="I4" s="47">
        <f>(COUNTA($D$8:$D$49)-I$3)/(COUNTA($D$8:$D$49))</f>
        <v>1</v>
      </c>
      <c r="J4" s="81">
        <f>(COUNTA($D$8:$D$49)-J$3)/(COUNTA($D$8:$D$49))</f>
        <v>1</v>
      </c>
      <c r="K4" s="81">
        <f>(COUNTA($D$8:$D$49)-K$3)/(COUNTA($D$8:$D$49))</f>
        <v>1</v>
      </c>
      <c r="L4" s="81">
        <f>(COUNTA($D$8:$D$49)-L$3)/(COUNTA($D$8:$D$49))</f>
        <v>1</v>
      </c>
      <c r="M4" s="81">
        <f>(COUNTA($D$8:$D$49)-M$3)/(COUNTA($D$8:$D$49))</f>
        <v>1</v>
      </c>
      <c r="N4" s="81">
        <f>(COUNTA($D$8:$D$49)-N$3)/(COUNTA($D$8:$D$49))</f>
        <v>1</v>
      </c>
      <c r="O4" s="47">
        <f>(COUNTA($D$8:$D$49)-O$3)/(COUNTA($D$8:$D$49))</f>
        <v>1</v>
      </c>
      <c r="P4" s="47">
        <f>(COUNTA($D$8:$D$49)-P$3)/(COUNTA($D$8:$D$49))</f>
        <v>1</v>
      </c>
      <c r="Q4" s="50">
        <f>(COUNTA($D$8:$D$49)-Q$3)/(COUNTA($D$8:$D$49))</f>
        <v>1</v>
      </c>
      <c r="R4" s="81">
        <f>(COUNTA($D$8:$D$49)-R$3)/(COUNTA($D$8:$D$49))</f>
        <v>1</v>
      </c>
      <c r="S4" s="81">
        <f>(COUNTA($D$8:$D$49)-S$3)/(COUNTA($D$8:$D$49))</f>
        <v>1</v>
      </c>
      <c r="T4" s="81">
        <f>(COUNTA($D$8:$D$49)-T$3)/(COUNTA($D$8:$D$49))</f>
        <v>1</v>
      </c>
      <c r="U4" s="81">
        <f>(COUNTA($D$8:$D$49)-U$3)/(COUNTA($D$8:$D$49))</f>
        <v>1</v>
      </c>
      <c r="V4" s="47">
        <f>(COUNTA($D$8:$D$49)-V$3)/(COUNTA($D$8:$D$49))</f>
        <v>1</v>
      </c>
      <c r="W4" s="47">
        <f>(COUNTA($D$8:$D$49)-W$3)/(COUNTA($D$8:$D$49))</f>
        <v>1</v>
      </c>
      <c r="X4" s="81">
        <f>(COUNTA($D$8:$D$49)-X$3)/(COUNTA($D$8:$D$49))</f>
        <v>1</v>
      </c>
      <c r="Y4" s="81">
        <f>(COUNTA($D$8:$D$49)-Y$3)/(COUNTA($D$8:$D$49))</f>
        <v>1</v>
      </c>
      <c r="Z4" s="81">
        <f>(COUNTA($D$8:$D$49)-Z$3)/(COUNTA($D$8:$D$49))</f>
        <v>1</v>
      </c>
      <c r="AA4" s="81">
        <f>(COUNTA($D$8:$D$49)-AA$3)/(COUNTA($D$8:$D$49))</f>
        <v>1</v>
      </c>
      <c r="AB4" s="81">
        <f>(COUNTA($D$8:$D$49)-AB$3)/(COUNTA($D$8:$D$49))</f>
        <v>1</v>
      </c>
      <c r="AC4" s="47">
        <f>(COUNTA($D$8:$D$49)-AC$3)/(COUNTA($D$8:$D$49))</f>
        <v>1</v>
      </c>
      <c r="AD4" s="47">
        <f>(COUNTA($D$8:$D$49)-AD$3)/(COUNTA($D$8:$D$49))</f>
        <v>1</v>
      </c>
      <c r="AE4" s="81">
        <f>(COUNTA($D$8:$D$49)-AE$3)/(COUNTA($D$8:$D$49))</f>
        <v>1</v>
      </c>
      <c r="AF4" s="81">
        <f>(COUNTA($D$8:$D$49)-AF$3)/(COUNTA($D$8:$D$49))</f>
        <v>1</v>
      </c>
      <c r="AG4" s="81">
        <f>(COUNTA($D$8:$D$49)-AG$3)/(COUNTA($D$8:$D$49))</f>
        <v>1</v>
      </c>
      <c r="AH4" s="81">
        <f>(COUNTA($D$8:$D$49)-AH$3)/(COUNTA($D$8:$D$49))</f>
        <v>1</v>
      </c>
      <c r="AI4" s="81">
        <f>(COUNTA($D$8:$D$49)-AI$3)/(COUNTA($D$8:$D$49))</f>
        <v>1</v>
      </c>
      <c r="AJ4" s="47">
        <f>(COUNTA($D$8:$D$49)-AJ$3)/(COUNTA($D$8:$D$49))</f>
        <v>1</v>
      </c>
    </row>
    <row r="5" spans="1:39" s="80" customFormat="1" ht="8.25" customHeight="1">
      <c r="A5" s="96"/>
      <c r="B5" s="97"/>
      <c r="C5" s="96"/>
      <c r="D5" s="96"/>
      <c r="E5" s="96"/>
      <c r="F5" s="116"/>
      <c r="G5" s="81"/>
      <c r="H5" s="47"/>
      <c r="I5" s="47"/>
      <c r="J5" s="81"/>
      <c r="K5" s="81"/>
      <c r="L5" s="81"/>
      <c r="M5" s="81"/>
      <c r="N5" s="81"/>
      <c r="O5" s="47"/>
      <c r="P5" s="47"/>
      <c r="Q5" s="50"/>
      <c r="R5" s="81"/>
      <c r="S5" s="81"/>
      <c r="T5" s="81"/>
      <c r="U5" s="81"/>
      <c r="V5" s="47"/>
      <c r="W5" s="47"/>
      <c r="X5" s="81"/>
      <c r="Y5" s="81"/>
      <c r="Z5" s="81"/>
      <c r="AA5" s="81"/>
      <c r="AB5" s="81"/>
      <c r="AC5" s="47"/>
      <c r="AD5" s="47"/>
      <c r="AE5" s="81"/>
      <c r="AF5" s="81"/>
      <c r="AG5" s="81"/>
      <c r="AH5" s="81"/>
      <c r="AI5" s="81"/>
      <c r="AJ5" s="46"/>
    </row>
    <row r="6" spans="1:39" s="100" customFormat="1" ht="34.5" customHeight="1">
      <c r="A6" s="98"/>
      <c r="B6" s="246" t="s">
        <v>0</v>
      </c>
      <c r="C6" s="247"/>
      <c r="D6" s="247"/>
      <c r="E6" s="16" t="s">
        <v>98</v>
      </c>
      <c r="F6" s="95">
        <v>46296</v>
      </c>
      <c r="G6" s="95">
        <v>46297</v>
      </c>
      <c r="H6" s="109">
        <v>46298</v>
      </c>
      <c r="I6" s="109">
        <v>46299</v>
      </c>
      <c r="J6" s="95">
        <v>46300</v>
      </c>
      <c r="K6" s="95">
        <v>46301</v>
      </c>
      <c r="L6" s="95">
        <v>46302</v>
      </c>
      <c r="M6" s="95">
        <v>46303</v>
      </c>
      <c r="N6" s="95">
        <v>46304</v>
      </c>
      <c r="O6" s="109">
        <v>46305</v>
      </c>
      <c r="P6" s="109">
        <v>46306</v>
      </c>
      <c r="Q6" s="85">
        <v>46307</v>
      </c>
      <c r="R6" s="95">
        <v>46308</v>
      </c>
      <c r="S6" s="95">
        <v>46309</v>
      </c>
      <c r="T6" s="95">
        <v>46310</v>
      </c>
      <c r="U6" s="95">
        <v>46311</v>
      </c>
      <c r="V6" s="109">
        <v>46312</v>
      </c>
      <c r="W6" s="109">
        <v>46313</v>
      </c>
      <c r="X6" s="95">
        <v>46314</v>
      </c>
      <c r="Y6" s="95">
        <v>46315</v>
      </c>
      <c r="Z6" s="95">
        <v>46316</v>
      </c>
      <c r="AA6" s="95">
        <v>46317</v>
      </c>
      <c r="AB6" s="95">
        <v>46318</v>
      </c>
      <c r="AC6" s="109">
        <v>46319</v>
      </c>
      <c r="AD6" s="109">
        <v>46320</v>
      </c>
      <c r="AE6" s="95">
        <v>46321</v>
      </c>
      <c r="AF6" s="95">
        <v>46322</v>
      </c>
      <c r="AG6" s="95">
        <v>46323</v>
      </c>
      <c r="AH6" s="95">
        <v>46324</v>
      </c>
      <c r="AI6" s="95">
        <v>46325</v>
      </c>
      <c r="AJ6" s="110">
        <v>46326</v>
      </c>
      <c r="AK6" s="99"/>
      <c r="AL6" s="99"/>
      <c r="AM6" s="99"/>
    </row>
    <row r="7" spans="1:39" ht="15.75">
      <c r="A7" s="1"/>
      <c r="B7" s="28" t="s">
        <v>3</v>
      </c>
      <c r="C7" s="24" t="s">
        <v>4</v>
      </c>
      <c r="D7" s="1" t="s">
        <v>5</v>
      </c>
      <c r="E7" s="5" t="s">
        <v>99</v>
      </c>
      <c r="F7" s="218" t="s">
        <v>103</v>
      </c>
      <c r="G7" s="218" t="s">
        <v>104</v>
      </c>
      <c r="H7" s="216" t="s">
        <v>105</v>
      </c>
      <c r="I7" s="216" t="s">
        <v>106</v>
      </c>
      <c r="J7" s="218" t="s">
        <v>100</v>
      </c>
      <c r="K7" s="218" t="s">
        <v>101</v>
      </c>
      <c r="L7" s="218" t="s">
        <v>102</v>
      </c>
      <c r="M7" s="218" t="s">
        <v>103</v>
      </c>
      <c r="N7" s="218" t="s">
        <v>104</v>
      </c>
      <c r="O7" s="216" t="s">
        <v>105</v>
      </c>
      <c r="P7" s="216" t="s">
        <v>106</v>
      </c>
      <c r="Q7" s="225" t="s">
        <v>100</v>
      </c>
      <c r="R7" s="218" t="s">
        <v>101</v>
      </c>
      <c r="S7" s="218" t="s">
        <v>102</v>
      </c>
      <c r="T7" s="218" t="s">
        <v>103</v>
      </c>
      <c r="U7" s="218" t="s">
        <v>104</v>
      </c>
      <c r="V7" s="216" t="s">
        <v>105</v>
      </c>
      <c r="W7" s="216" t="s">
        <v>106</v>
      </c>
      <c r="X7" s="218" t="s">
        <v>100</v>
      </c>
      <c r="Y7" s="218" t="s">
        <v>101</v>
      </c>
      <c r="Z7" s="218" t="s">
        <v>102</v>
      </c>
      <c r="AA7" s="218" t="s">
        <v>103</v>
      </c>
      <c r="AB7" s="218" t="s">
        <v>104</v>
      </c>
      <c r="AC7" s="216" t="s">
        <v>105</v>
      </c>
      <c r="AD7" s="216" t="s">
        <v>106</v>
      </c>
      <c r="AE7" s="218" t="s">
        <v>100</v>
      </c>
      <c r="AF7" s="218" t="s">
        <v>101</v>
      </c>
      <c r="AG7" s="218" t="s">
        <v>102</v>
      </c>
      <c r="AH7" s="218" t="s">
        <v>103</v>
      </c>
      <c r="AI7" s="218" t="s">
        <v>104</v>
      </c>
      <c r="AJ7" s="221" t="s">
        <v>105</v>
      </c>
    </row>
    <row r="8" spans="1:39" ht="15.75">
      <c r="A8" s="2">
        <v>1</v>
      </c>
      <c r="B8" s="209" t="s">
        <v>25</v>
      </c>
      <c r="C8" s="210" t="s">
        <v>26</v>
      </c>
      <c r="D8" s="211" t="s">
        <v>27</v>
      </c>
      <c r="E8" s="212">
        <f t="shared" ref="E8:E45" si="2">SUM(F8:AI8)</f>
        <v>0</v>
      </c>
      <c r="F8" s="223">
        <f>COUNTIFS('2026 Time Off Request'!$A:$A,'Oct 2026'!$D8,'2026 Time Off Request'!$L:$L,'Oct 2026'!F$6)</f>
        <v>0</v>
      </c>
      <c r="G8" s="148">
        <f>COUNTIFS('2026 Time Off Request'!$A:$A,'Oct 2026'!$D8,'2026 Time Off Request'!$L:$L,'Oct 2026'!G$6)</f>
        <v>0</v>
      </c>
      <c r="H8" s="147">
        <f>COUNTIFS('2026 Time Off Request'!$A:$A,'Oct 2026'!$D8,'2026 Time Off Request'!$L:$L,'Oct 2026'!H$6)</f>
        <v>0</v>
      </c>
      <c r="I8" s="147">
        <f>COUNTIFS('2026 Time Off Request'!$A:$A,'Oct 2026'!$D8,'2026 Time Off Request'!$L:$L,'Oct 2026'!I$6)</f>
        <v>0</v>
      </c>
      <c r="J8" s="148">
        <f>COUNTIFS('2026 Time Off Request'!$A:$A,'Oct 2026'!$D8,'2026 Time Off Request'!$L:$L,'Oct 2026'!J$6)</f>
        <v>0</v>
      </c>
      <c r="K8" s="148">
        <f>COUNTIFS('2026 Time Off Request'!$A:$A,'Oct 2026'!$D8,'2026 Time Off Request'!$L:$L,'Oct 2026'!K$6)</f>
        <v>0</v>
      </c>
      <c r="L8" s="148">
        <f>COUNTIFS('2026 Time Off Request'!$A:$A,'Oct 2026'!$D8,'2026 Time Off Request'!$L:$L,'Oct 2026'!L$6)</f>
        <v>0</v>
      </c>
      <c r="M8" s="148">
        <f>COUNTIFS('2026 Time Off Request'!$A:$A,'Oct 2026'!$D8,'2026 Time Off Request'!$L:$L,'Oct 2026'!M$6)</f>
        <v>0</v>
      </c>
      <c r="N8" s="148">
        <f>COUNTIFS('2026 Time Off Request'!$A:$A,'Oct 2026'!$D8,'2026 Time Off Request'!$L:$L,'Oct 2026'!N$6)</f>
        <v>0</v>
      </c>
      <c r="O8" s="147">
        <f>COUNTIFS('2026 Time Off Request'!$A:$A,'Oct 2026'!$D8,'2026 Time Off Request'!$L:$L,'Oct 2026'!O$6)</f>
        <v>0</v>
      </c>
      <c r="P8" s="147">
        <f>COUNTIFS('2026 Time Off Request'!$A:$A,'Oct 2026'!$D8,'2026 Time Off Request'!$L:$L,'Oct 2026'!P$6)</f>
        <v>0</v>
      </c>
      <c r="Q8" s="224">
        <f>COUNTIFS('2026 Time Off Request'!$A:$A,'Oct 2026'!$D8,'2026 Time Off Request'!$L:$L,'Oct 2026'!Q$6)</f>
        <v>0</v>
      </c>
      <c r="R8" s="148">
        <f>COUNTIFS('2026 Time Off Request'!$A:$A,'Oct 2026'!$D8,'2026 Time Off Request'!$L:$L,'Oct 2026'!R$6)</f>
        <v>0</v>
      </c>
      <c r="S8" s="148">
        <f>COUNTIFS('2026 Time Off Request'!$A:$A,'Oct 2026'!$D8,'2026 Time Off Request'!$L:$L,'Oct 2026'!S$6)</f>
        <v>0</v>
      </c>
      <c r="T8" s="148">
        <f>COUNTIFS('2026 Time Off Request'!$A:$A,'Oct 2026'!$D8,'2026 Time Off Request'!$L:$L,'Oct 2026'!T$6)</f>
        <v>0</v>
      </c>
      <c r="U8" s="148">
        <f>COUNTIFS('2026 Time Off Request'!$A:$A,'Oct 2026'!$D8,'2026 Time Off Request'!$L:$L,'Oct 2026'!U$6)</f>
        <v>0</v>
      </c>
      <c r="V8" s="147">
        <f>COUNTIFS('2026 Time Off Request'!$A:$A,'Oct 2026'!$D8,'2026 Time Off Request'!$L:$L,'Oct 2026'!V$6)</f>
        <v>0</v>
      </c>
      <c r="W8" s="147">
        <f>COUNTIFS('2026 Time Off Request'!$A:$A,'Oct 2026'!$D8,'2026 Time Off Request'!$L:$L,'Oct 2026'!W$6)</f>
        <v>0</v>
      </c>
      <c r="X8" s="148">
        <f>COUNTIFS('2026 Time Off Request'!$A:$A,'Oct 2026'!$D8,'2026 Time Off Request'!$L:$L,'Oct 2026'!X$6)</f>
        <v>0</v>
      </c>
      <c r="Y8" s="148">
        <f>COUNTIFS('2026 Time Off Request'!$A:$A,'Oct 2026'!$D8,'2026 Time Off Request'!$L:$L,'Oct 2026'!Y$6)</f>
        <v>0</v>
      </c>
      <c r="Z8" s="148">
        <f>COUNTIFS('2026 Time Off Request'!$A:$A,'Oct 2026'!$D8,'2026 Time Off Request'!$L:$L,'Oct 2026'!Z$6)</f>
        <v>0</v>
      </c>
      <c r="AA8" s="148">
        <f>COUNTIFS('2026 Time Off Request'!$A:$A,'Oct 2026'!$D8,'2026 Time Off Request'!$L:$L,'Oct 2026'!AA$6)</f>
        <v>0</v>
      </c>
      <c r="AB8" s="148">
        <f>COUNTIFS('2026 Time Off Request'!$A:$A,'Oct 2026'!$D8,'2026 Time Off Request'!$L:$L,'Oct 2026'!AB$6)</f>
        <v>0</v>
      </c>
      <c r="AC8" s="147">
        <f>COUNTIFS('2026 Time Off Request'!$A:$A,'Oct 2026'!$D8,'2026 Time Off Request'!$L:$L,'Oct 2026'!AC$6)</f>
        <v>0</v>
      </c>
      <c r="AD8" s="147">
        <f>COUNTIFS('2026 Time Off Request'!$A:$A,'Oct 2026'!$D8,'2026 Time Off Request'!$L:$L,'Oct 2026'!AD$6)</f>
        <v>0</v>
      </c>
      <c r="AE8" s="148">
        <f>COUNTIFS('2026 Time Off Request'!$A:$A,'Oct 2026'!$D8,'2026 Time Off Request'!$L:$L,'Oct 2026'!AE$6)</f>
        <v>0</v>
      </c>
      <c r="AF8" s="148">
        <f>COUNTIFS('2026 Time Off Request'!$A:$A,'Oct 2026'!$D8,'2026 Time Off Request'!$L:$L,'Oct 2026'!AF$6)</f>
        <v>0</v>
      </c>
      <c r="AG8" s="148">
        <f>COUNTIFS('2026 Time Off Request'!$A:$A,'Oct 2026'!$D8,'2026 Time Off Request'!$L:$L,'Oct 2026'!AG$6)</f>
        <v>0</v>
      </c>
      <c r="AH8" s="148">
        <f>COUNTIFS('2026 Time Off Request'!$A:$A,'Oct 2026'!$D8,'2026 Time Off Request'!$L:$L,'Oct 2026'!AH$6)</f>
        <v>0</v>
      </c>
      <c r="AI8" s="148">
        <f>COUNTIFS('2026 Time Off Request'!$A:$A,'Oct 2026'!$D8,'2026 Time Off Request'!$L:$L,'Oct 2026'!AI$6)</f>
        <v>0</v>
      </c>
      <c r="AJ8" s="147">
        <f>COUNTIFS('2026 Time Off Request'!$A:$A,'Oct 2026'!$D8,'2026 Time Off Request'!$L:$L,'Oct 2026'!AJ$6)</f>
        <v>0</v>
      </c>
    </row>
    <row r="9" spans="1:39" ht="15.75">
      <c r="A9" s="2">
        <v>2</v>
      </c>
      <c r="B9" s="209" t="s">
        <v>25</v>
      </c>
      <c r="C9" s="210" t="s">
        <v>28</v>
      </c>
      <c r="D9" s="215" t="s">
        <v>29</v>
      </c>
      <c r="E9" s="212">
        <f t="shared" si="2"/>
        <v>0</v>
      </c>
      <c r="F9" s="223">
        <f>COUNTIFS('2026 Time Off Request'!$A:$A,'Oct 2026'!$D9,'2026 Time Off Request'!$L:$L,'Oct 2026'!F$6)</f>
        <v>0</v>
      </c>
      <c r="G9" s="148">
        <f>COUNTIFS('2026 Time Off Request'!$A:$A,'Oct 2026'!$D9,'2026 Time Off Request'!$L:$L,'Oct 2026'!G$6)</f>
        <v>0</v>
      </c>
      <c r="H9" s="147">
        <f>COUNTIFS('2026 Time Off Request'!$A:$A,'Oct 2026'!$D9,'2026 Time Off Request'!$L:$L,'Oct 2026'!H$6)</f>
        <v>0</v>
      </c>
      <c r="I9" s="147">
        <f>COUNTIFS('2026 Time Off Request'!$A:$A,'Oct 2026'!$D9,'2026 Time Off Request'!$L:$L,'Oct 2026'!I$6)</f>
        <v>0</v>
      </c>
      <c r="J9" s="148">
        <f>COUNTIFS('2026 Time Off Request'!$A:$A,'Oct 2026'!$D9,'2026 Time Off Request'!$L:$L,'Oct 2026'!J$6)</f>
        <v>0</v>
      </c>
      <c r="K9" s="148">
        <f>COUNTIFS('2026 Time Off Request'!$A:$A,'Oct 2026'!$D9,'2026 Time Off Request'!$L:$L,'Oct 2026'!K$6)</f>
        <v>0</v>
      </c>
      <c r="L9" s="148">
        <f>COUNTIFS('2026 Time Off Request'!$A:$A,'Oct 2026'!$D9,'2026 Time Off Request'!$L:$L,'Oct 2026'!L$6)</f>
        <v>0</v>
      </c>
      <c r="M9" s="148">
        <f>COUNTIFS('2026 Time Off Request'!$A:$A,'Oct 2026'!$D9,'2026 Time Off Request'!$L:$L,'Oct 2026'!M$6)</f>
        <v>0</v>
      </c>
      <c r="N9" s="148">
        <f>COUNTIFS('2026 Time Off Request'!$A:$A,'Oct 2026'!$D9,'2026 Time Off Request'!$L:$L,'Oct 2026'!N$6)</f>
        <v>0</v>
      </c>
      <c r="O9" s="147">
        <f>COUNTIFS('2026 Time Off Request'!$A:$A,'Oct 2026'!$D9,'2026 Time Off Request'!$L:$L,'Oct 2026'!O$6)</f>
        <v>0</v>
      </c>
      <c r="P9" s="147">
        <f>COUNTIFS('2026 Time Off Request'!$A:$A,'Oct 2026'!$D9,'2026 Time Off Request'!$L:$L,'Oct 2026'!P$6)</f>
        <v>0</v>
      </c>
      <c r="Q9" s="224">
        <f>COUNTIFS('2026 Time Off Request'!$A:$A,'Oct 2026'!$D9,'2026 Time Off Request'!$L:$L,'Oct 2026'!Q$6)</f>
        <v>0</v>
      </c>
      <c r="R9" s="148">
        <f>COUNTIFS('2026 Time Off Request'!$A:$A,'Oct 2026'!$D9,'2026 Time Off Request'!$L:$L,'Oct 2026'!R$6)</f>
        <v>0</v>
      </c>
      <c r="S9" s="148">
        <f>COUNTIFS('2026 Time Off Request'!$A:$A,'Oct 2026'!$D9,'2026 Time Off Request'!$L:$L,'Oct 2026'!S$6)</f>
        <v>0</v>
      </c>
      <c r="T9" s="148">
        <f>COUNTIFS('2026 Time Off Request'!$A:$A,'Oct 2026'!$D9,'2026 Time Off Request'!$L:$L,'Oct 2026'!T$6)</f>
        <v>0</v>
      </c>
      <c r="U9" s="148">
        <f>COUNTIFS('2026 Time Off Request'!$A:$A,'Oct 2026'!$D9,'2026 Time Off Request'!$L:$L,'Oct 2026'!U$6)</f>
        <v>0</v>
      </c>
      <c r="V9" s="147">
        <f>COUNTIFS('2026 Time Off Request'!$A:$A,'Oct 2026'!$D9,'2026 Time Off Request'!$L:$L,'Oct 2026'!V$6)</f>
        <v>0</v>
      </c>
      <c r="W9" s="147">
        <f>COUNTIFS('2026 Time Off Request'!$A:$A,'Oct 2026'!$D9,'2026 Time Off Request'!$L:$L,'Oct 2026'!W$6)</f>
        <v>0</v>
      </c>
      <c r="X9" s="148">
        <f>COUNTIFS('2026 Time Off Request'!$A:$A,'Oct 2026'!$D9,'2026 Time Off Request'!$L:$L,'Oct 2026'!X$6)</f>
        <v>0</v>
      </c>
      <c r="Y9" s="148">
        <f>COUNTIFS('2026 Time Off Request'!$A:$A,'Oct 2026'!$D9,'2026 Time Off Request'!$L:$L,'Oct 2026'!Y$6)</f>
        <v>0</v>
      </c>
      <c r="Z9" s="148">
        <f>COUNTIFS('2026 Time Off Request'!$A:$A,'Oct 2026'!$D9,'2026 Time Off Request'!$L:$L,'Oct 2026'!Z$6)</f>
        <v>0</v>
      </c>
      <c r="AA9" s="148">
        <f>COUNTIFS('2026 Time Off Request'!$A:$A,'Oct 2026'!$D9,'2026 Time Off Request'!$L:$L,'Oct 2026'!AA$6)</f>
        <v>0</v>
      </c>
      <c r="AB9" s="148">
        <f>COUNTIFS('2026 Time Off Request'!$A:$A,'Oct 2026'!$D9,'2026 Time Off Request'!$L:$L,'Oct 2026'!AB$6)</f>
        <v>0</v>
      </c>
      <c r="AC9" s="147">
        <f>COUNTIFS('2026 Time Off Request'!$A:$A,'Oct 2026'!$D9,'2026 Time Off Request'!$L:$L,'Oct 2026'!AC$6)</f>
        <v>0</v>
      </c>
      <c r="AD9" s="147">
        <f>COUNTIFS('2026 Time Off Request'!$A:$A,'Oct 2026'!$D9,'2026 Time Off Request'!$L:$L,'Oct 2026'!AD$6)</f>
        <v>0</v>
      </c>
      <c r="AE9" s="148">
        <f>COUNTIFS('2026 Time Off Request'!$A:$A,'Oct 2026'!$D9,'2026 Time Off Request'!$L:$L,'Oct 2026'!AE$6)</f>
        <v>0</v>
      </c>
      <c r="AF9" s="148">
        <f>COUNTIFS('2026 Time Off Request'!$A:$A,'Oct 2026'!$D9,'2026 Time Off Request'!$L:$L,'Oct 2026'!AF$6)</f>
        <v>0</v>
      </c>
      <c r="AG9" s="148">
        <f>COUNTIFS('2026 Time Off Request'!$A:$A,'Oct 2026'!$D9,'2026 Time Off Request'!$L:$L,'Oct 2026'!AG$6)</f>
        <v>0</v>
      </c>
      <c r="AH9" s="148">
        <f>COUNTIFS('2026 Time Off Request'!$A:$A,'Oct 2026'!$D9,'2026 Time Off Request'!$L:$L,'Oct 2026'!AH$6)</f>
        <v>0</v>
      </c>
      <c r="AI9" s="148">
        <f>COUNTIFS('2026 Time Off Request'!$A:$A,'Oct 2026'!$D9,'2026 Time Off Request'!$L:$L,'Oct 2026'!AI$6)</f>
        <v>0</v>
      </c>
      <c r="AJ9" s="147">
        <f>COUNTIFS('2026 Time Off Request'!$A:$A,'Oct 2026'!$D9,'2026 Time Off Request'!$L:$L,'Oct 2026'!AJ$6)</f>
        <v>0</v>
      </c>
    </row>
    <row r="10" spans="1:39" ht="15.75">
      <c r="A10" s="2">
        <v>3</v>
      </c>
      <c r="B10" s="209" t="s">
        <v>25</v>
      </c>
      <c r="C10" s="210" t="s">
        <v>30</v>
      </c>
      <c r="D10" s="215" t="s">
        <v>31</v>
      </c>
      <c r="E10" s="212">
        <f t="shared" si="2"/>
        <v>0</v>
      </c>
      <c r="F10" s="223">
        <f>COUNTIFS('2026 Time Off Request'!$A:$A,'Oct 2026'!$D10,'2026 Time Off Request'!$L:$L,'Oct 2026'!F$6)</f>
        <v>0</v>
      </c>
      <c r="G10" s="148">
        <f>COUNTIFS('2026 Time Off Request'!$A:$A,'Oct 2026'!$D10,'2026 Time Off Request'!$L:$L,'Oct 2026'!G$6)</f>
        <v>0</v>
      </c>
      <c r="H10" s="147">
        <f>COUNTIFS('2026 Time Off Request'!$A:$A,'Oct 2026'!$D10,'2026 Time Off Request'!$L:$L,'Oct 2026'!H$6)</f>
        <v>0</v>
      </c>
      <c r="I10" s="147">
        <f>COUNTIFS('2026 Time Off Request'!$A:$A,'Oct 2026'!$D10,'2026 Time Off Request'!$L:$L,'Oct 2026'!I$6)</f>
        <v>0</v>
      </c>
      <c r="J10" s="148">
        <f>COUNTIFS('2026 Time Off Request'!$A:$A,'Oct 2026'!$D10,'2026 Time Off Request'!$L:$L,'Oct 2026'!J$6)</f>
        <v>0</v>
      </c>
      <c r="K10" s="148">
        <f>COUNTIFS('2026 Time Off Request'!$A:$A,'Oct 2026'!$D10,'2026 Time Off Request'!$L:$L,'Oct 2026'!K$6)</f>
        <v>0</v>
      </c>
      <c r="L10" s="148">
        <f>COUNTIFS('2026 Time Off Request'!$A:$A,'Oct 2026'!$D10,'2026 Time Off Request'!$L:$L,'Oct 2026'!L$6)</f>
        <v>0</v>
      </c>
      <c r="M10" s="148">
        <f>COUNTIFS('2026 Time Off Request'!$A:$A,'Oct 2026'!$D10,'2026 Time Off Request'!$L:$L,'Oct 2026'!M$6)</f>
        <v>0</v>
      </c>
      <c r="N10" s="148">
        <f>COUNTIFS('2026 Time Off Request'!$A:$A,'Oct 2026'!$D10,'2026 Time Off Request'!$L:$L,'Oct 2026'!N$6)</f>
        <v>0</v>
      </c>
      <c r="O10" s="147">
        <f>COUNTIFS('2026 Time Off Request'!$A:$A,'Oct 2026'!$D10,'2026 Time Off Request'!$L:$L,'Oct 2026'!O$6)</f>
        <v>0</v>
      </c>
      <c r="P10" s="147">
        <f>COUNTIFS('2026 Time Off Request'!$A:$A,'Oct 2026'!$D10,'2026 Time Off Request'!$L:$L,'Oct 2026'!P$6)</f>
        <v>0</v>
      </c>
      <c r="Q10" s="224">
        <f>COUNTIFS('2026 Time Off Request'!$A:$A,'Oct 2026'!$D10,'2026 Time Off Request'!$L:$L,'Oct 2026'!Q$6)</f>
        <v>0</v>
      </c>
      <c r="R10" s="148">
        <f>COUNTIFS('2026 Time Off Request'!$A:$A,'Oct 2026'!$D10,'2026 Time Off Request'!$L:$L,'Oct 2026'!R$6)</f>
        <v>0</v>
      </c>
      <c r="S10" s="148">
        <f>COUNTIFS('2026 Time Off Request'!$A:$A,'Oct 2026'!$D10,'2026 Time Off Request'!$L:$L,'Oct 2026'!S$6)</f>
        <v>0</v>
      </c>
      <c r="T10" s="148">
        <f>COUNTIFS('2026 Time Off Request'!$A:$A,'Oct 2026'!$D10,'2026 Time Off Request'!$L:$L,'Oct 2026'!T$6)</f>
        <v>0</v>
      </c>
      <c r="U10" s="148">
        <f>COUNTIFS('2026 Time Off Request'!$A:$A,'Oct 2026'!$D10,'2026 Time Off Request'!$L:$L,'Oct 2026'!U$6)</f>
        <v>0</v>
      </c>
      <c r="V10" s="147">
        <f>COUNTIFS('2026 Time Off Request'!$A:$A,'Oct 2026'!$D10,'2026 Time Off Request'!$L:$L,'Oct 2026'!V$6)</f>
        <v>0</v>
      </c>
      <c r="W10" s="147">
        <f>COUNTIFS('2026 Time Off Request'!$A:$A,'Oct 2026'!$D10,'2026 Time Off Request'!$L:$L,'Oct 2026'!W$6)</f>
        <v>0</v>
      </c>
      <c r="X10" s="148">
        <f>COUNTIFS('2026 Time Off Request'!$A:$A,'Oct 2026'!$D10,'2026 Time Off Request'!$L:$L,'Oct 2026'!X$6)</f>
        <v>0</v>
      </c>
      <c r="Y10" s="148">
        <f>COUNTIFS('2026 Time Off Request'!$A:$A,'Oct 2026'!$D10,'2026 Time Off Request'!$L:$L,'Oct 2026'!Y$6)</f>
        <v>0</v>
      </c>
      <c r="Z10" s="148">
        <f>COUNTIFS('2026 Time Off Request'!$A:$A,'Oct 2026'!$D10,'2026 Time Off Request'!$L:$L,'Oct 2026'!Z$6)</f>
        <v>0</v>
      </c>
      <c r="AA10" s="148">
        <f>COUNTIFS('2026 Time Off Request'!$A:$A,'Oct 2026'!$D10,'2026 Time Off Request'!$L:$L,'Oct 2026'!AA$6)</f>
        <v>0</v>
      </c>
      <c r="AB10" s="148">
        <f>COUNTIFS('2026 Time Off Request'!$A:$A,'Oct 2026'!$D10,'2026 Time Off Request'!$L:$L,'Oct 2026'!AB$6)</f>
        <v>0</v>
      </c>
      <c r="AC10" s="147">
        <f>COUNTIFS('2026 Time Off Request'!$A:$A,'Oct 2026'!$D10,'2026 Time Off Request'!$L:$L,'Oct 2026'!AC$6)</f>
        <v>0</v>
      </c>
      <c r="AD10" s="147">
        <f>COUNTIFS('2026 Time Off Request'!$A:$A,'Oct 2026'!$D10,'2026 Time Off Request'!$L:$L,'Oct 2026'!AD$6)</f>
        <v>0</v>
      </c>
      <c r="AE10" s="148">
        <f>COUNTIFS('2026 Time Off Request'!$A:$A,'Oct 2026'!$D10,'2026 Time Off Request'!$L:$L,'Oct 2026'!AE$6)</f>
        <v>0</v>
      </c>
      <c r="AF10" s="148">
        <f>COUNTIFS('2026 Time Off Request'!$A:$A,'Oct 2026'!$D10,'2026 Time Off Request'!$L:$L,'Oct 2026'!AF$6)</f>
        <v>0</v>
      </c>
      <c r="AG10" s="148">
        <f>COUNTIFS('2026 Time Off Request'!$A:$A,'Oct 2026'!$D10,'2026 Time Off Request'!$L:$L,'Oct 2026'!AG$6)</f>
        <v>0</v>
      </c>
      <c r="AH10" s="148">
        <f>COUNTIFS('2026 Time Off Request'!$A:$A,'Oct 2026'!$D10,'2026 Time Off Request'!$L:$L,'Oct 2026'!AH$6)</f>
        <v>0</v>
      </c>
      <c r="AI10" s="148">
        <f>COUNTIFS('2026 Time Off Request'!$A:$A,'Oct 2026'!$D10,'2026 Time Off Request'!$L:$L,'Oct 2026'!AI$6)</f>
        <v>0</v>
      </c>
      <c r="AJ10" s="147">
        <f>COUNTIFS('2026 Time Off Request'!$A:$A,'Oct 2026'!$D10,'2026 Time Off Request'!$L:$L,'Oct 2026'!AJ$6)</f>
        <v>0</v>
      </c>
    </row>
    <row r="11" spans="1:39" ht="15.75">
      <c r="A11" s="2">
        <v>4</v>
      </c>
      <c r="B11" s="209" t="s">
        <v>25</v>
      </c>
      <c r="C11" s="210" t="s">
        <v>32</v>
      </c>
      <c r="D11" s="215" t="s">
        <v>33</v>
      </c>
      <c r="E11" s="212">
        <f t="shared" si="2"/>
        <v>0</v>
      </c>
      <c r="F11" s="223">
        <f>COUNTIFS('2026 Time Off Request'!$A:$A,'Oct 2026'!$D11,'2026 Time Off Request'!$L:$L,'Oct 2026'!F$6)</f>
        <v>0</v>
      </c>
      <c r="G11" s="148">
        <f>COUNTIFS('2026 Time Off Request'!$A:$A,'Oct 2026'!$D11,'2026 Time Off Request'!$L:$L,'Oct 2026'!G$6)</f>
        <v>0</v>
      </c>
      <c r="H11" s="147">
        <f>COUNTIFS('2026 Time Off Request'!$A:$A,'Oct 2026'!$D11,'2026 Time Off Request'!$L:$L,'Oct 2026'!H$6)</f>
        <v>0</v>
      </c>
      <c r="I11" s="147">
        <f>COUNTIFS('2026 Time Off Request'!$A:$A,'Oct 2026'!$D11,'2026 Time Off Request'!$L:$L,'Oct 2026'!I$6)</f>
        <v>0</v>
      </c>
      <c r="J11" s="148">
        <f>COUNTIFS('2026 Time Off Request'!$A:$A,'Oct 2026'!$D11,'2026 Time Off Request'!$L:$L,'Oct 2026'!J$6)</f>
        <v>0</v>
      </c>
      <c r="K11" s="148">
        <f>COUNTIFS('2026 Time Off Request'!$A:$A,'Oct 2026'!$D11,'2026 Time Off Request'!$L:$L,'Oct 2026'!K$6)</f>
        <v>0</v>
      </c>
      <c r="L11" s="148">
        <f>COUNTIFS('2026 Time Off Request'!$A:$A,'Oct 2026'!$D11,'2026 Time Off Request'!$L:$L,'Oct 2026'!L$6)</f>
        <v>0</v>
      </c>
      <c r="M11" s="148">
        <f>COUNTIFS('2026 Time Off Request'!$A:$A,'Oct 2026'!$D11,'2026 Time Off Request'!$L:$L,'Oct 2026'!M$6)</f>
        <v>0</v>
      </c>
      <c r="N11" s="148">
        <f>COUNTIFS('2026 Time Off Request'!$A:$A,'Oct 2026'!$D11,'2026 Time Off Request'!$L:$L,'Oct 2026'!N$6)</f>
        <v>0</v>
      </c>
      <c r="O11" s="147">
        <f>COUNTIFS('2026 Time Off Request'!$A:$A,'Oct 2026'!$D11,'2026 Time Off Request'!$L:$L,'Oct 2026'!O$6)</f>
        <v>0</v>
      </c>
      <c r="P11" s="147">
        <f>COUNTIFS('2026 Time Off Request'!$A:$A,'Oct 2026'!$D11,'2026 Time Off Request'!$L:$L,'Oct 2026'!P$6)</f>
        <v>0</v>
      </c>
      <c r="Q11" s="224">
        <f>COUNTIFS('2026 Time Off Request'!$A:$A,'Oct 2026'!$D11,'2026 Time Off Request'!$L:$L,'Oct 2026'!Q$6)</f>
        <v>0</v>
      </c>
      <c r="R11" s="148">
        <f>COUNTIFS('2026 Time Off Request'!$A:$A,'Oct 2026'!$D11,'2026 Time Off Request'!$L:$L,'Oct 2026'!R$6)</f>
        <v>0</v>
      </c>
      <c r="S11" s="148">
        <f>COUNTIFS('2026 Time Off Request'!$A:$A,'Oct 2026'!$D11,'2026 Time Off Request'!$L:$L,'Oct 2026'!S$6)</f>
        <v>0</v>
      </c>
      <c r="T11" s="148">
        <f>COUNTIFS('2026 Time Off Request'!$A:$A,'Oct 2026'!$D11,'2026 Time Off Request'!$L:$L,'Oct 2026'!T$6)</f>
        <v>0</v>
      </c>
      <c r="U11" s="148">
        <f>COUNTIFS('2026 Time Off Request'!$A:$A,'Oct 2026'!$D11,'2026 Time Off Request'!$L:$L,'Oct 2026'!U$6)</f>
        <v>0</v>
      </c>
      <c r="V11" s="147">
        <f>COUNTIFS('2026 Time Off Request'!$A:$A,'Oct 2026'!$D11,'2026 Time Off Request'!$L:$L,'Oct 2026'!V$6)</f>
        <v>0</v>
      </c>
      <c r="W11" s="147">
        <f>COUNTIFS('2026 Time Off Request'!$A:$A,'Oct 2026'!$D11,'2026 Time Off Request'!$L:$L,'Oct 2026'!W$6)</f>
        <v>0</v>
      </c>
      <c r="X11" s="148">
        <f>COUNTIFS('2026 Time Off Request'!$A:$A,'Oct 2026'!$D11,'2026 Time Off Request'!$L:$L,'Oct 2026'!X$6)</f>
        <v>0</v>
      </c>
      <c r="Y11" s="148">
        <f>COUNTIFS('2026 Time Off Request'!$A:$A,'Oct 2026'!$D11,'2026 Time Off Request'!$L:$L,'Oct 2026'!Y$6)</f>
        <v>0</v>
      </c>
      <c r="Z11" s="148">
        <f>COUNTIFS('2026 Time Off Request'!$A:$A,'Oct 2026'!$D11,'2026 Time Off Request'!$L:$L,'Oct 2026'!Z$6)</f>
        <v>0</v>
      </c>
      <c r="AA11" s="148">
        <f>COUNTIFS('2026 Time Off Request'!$A:$A,'Oct 2026'!$D11,'2026 Time Off Request'!$L:$L,'Oct 2026'!AA$6)</f>
        <v>0</v>
      </c>
      <c r="AB11" s="148">
        <f>COUNTIFS('2026 Time Off Request'!$A:$A,'Oct 2026'!$D11,'2026 Time Off Request'!$L:$L,'Oct 2026'!AB$6)</f>
        <v>0</v>
      </c>
      <c r="AC11" s="147">
        <f>COUNTIFS('2026 Time Off Request'!$A:$A,'Oct 2026'!$D11,'2026 Time Off Request'!$L:$L,'Oct 2026'!AC$6)</f>
        <v>0</v>
      </c>
      <c r="AD11" s="147">
        <f>COUNTIFS('2026 Time Off Request'!$A:$A,'Oct 2026'!$D11,'2026 Time Off Request'!$L:$L,'Oct 2026'!AD$6)</f>
        <v>0</v>
      </c>
      <c r="AE11" s="148">
        <f>COUNTIFS('2026 Time Off Request'!$A:$A,'Oct 2026'!$D11,'2026 Time Off Request'!$L:$L,'Oct 2026'!AE$6)</f>
        <v>0</v>
      </c>
      <c r="AF11" s="148">
        <f>COUNTIFS('2026 Time Off Request'!$A:$A,'Oct 2026'!$D11,'2026 Time Off Request'!$L:$L,'Oct 2026'!AF$6)</f>
        <v>0</v>
      </c>
      <c r="AG11" s="148">
        <f>COUNTIFS('2026 Time Off Request'!$A:$A,'Oct 2026'!$D11,'2026 Time Off Request'!$L:$L,'Oct 2026'!AG$6)</f>
        <v>0</v>
      </c>
      <c r="AH11" s="148">
        <f>COUNTIFS('2026 Time Off Request'!$A:$A,'Oct 2026'!$D11,'2026 Time Off Request'!$L:$L,'Oct 2026'!AH$6)</f>
        <v>0</v>
      </c>
      <c r="AI11" s="148">
        <f>COUNTIFS('2026 Time Off Request'!$A:$A,'Oct 2026'!$D11,'2026 Time Off Request'!$L:$L,'Oct 2026'!AI$6)</f>
        <v>0</v>
      </c>
      <c r="AJ11" s="147">
        <f>COUNTIFS('2026 Time Off Request'!$A:$A,'Oct 2026'!$D11,'2026 Time Off Request'!$L:$L,'Oct 2026'!AJ$6)</f>
        <v>0</v>
      </c>
    </row>
    <row r="12" spans="1:39" ht="15.75">
      <c r="A12" s="2">
        <v>5</v>
      </c>
      <c r="B12" s="209" t="s">
        <v>25</v>
      </c>
      <c r="C12" s="210" t="s">
        <v>34</v>
      </c>
      <c r="D12" s="215" t="s">
        <v>35</v>
      </c>
      <c r="E12" s="212">
        <f t="shared" si="2"/>
        <v>0</v>
      </c>
      <c r="F12" s="223">
        <f>COUNTIFS('2026 Time Off Request'!$A:$A,'Oct 2026'!$D12,'2026 Time Off Request'!$L:$L,'Oct 2026'!F$6)</f>
        <v>0</v>
      </c>
      <c r="G12" s="148">
        <f>COUNTIFS('2026 Time Off Request'!$A:$A,'Oct 2026'!$D12,'2026 Time Off Request'!$L:$L,'Oct 2026'!G$6)</f>
        <v>0</v>
      </c>
      <c r="H12" s="147">
        <f>COUNTIFS('2026 Time Off Request'!$A:$A,'Oct 2026'!$D12,'2026 Time Off Request'!$L:$L,'Oct 2026'!H$6)</f>
        <v>0</v>
      </c>
      <c r="I12" s="147">
        <f>COUNTIFS('2026 Time Off Request'!$A:$A,'Oct 2026'!$D12,'2026 Time Off Request'!$L:$L,'Oct 2026'!I$6)</f>
        <v>0</v>
      </c>
      <c r="J12" s="148">
        <f>COUNTIFS('2026 Time Off Request'!$A:$A,'Oct 2026'!$D12,'2026 Time Off Request'!$L:$L,'Oct 2026'!J$6)</f>
        <v>0</v>
      </c>
      <c r="K12" s="148">
        <f>COUNTIFS('2026 Time Off Request'!$A:$A,'Oct 2026'!$D12,'2026 Time Off Request'!$L:$L,'Oct 2026'!K$6)</f>
        <v>0</v>
      </c>
      <c r="L12" s="148">
        <f>COUNTIFS('2026 Time Off Request'!$A:$A,'Oct 2026'!$D12,'2026 Time Off Request'!$L:$L,'Oct 2026'!L$6)</f>
        <v>0</v>
      </c>
      <c r="M12" s="148">
        <f>COUNTIFS('2026 Time Off Request'!$A:$A,'Oct 2026'!$D12,'2026 Time Off Request'!$L:$L,'Oct 2026'!M$6)</f>
        <v>0</v>
      </c>
      <c r="N12" s="148">
        <f>COUNTIFS('2026 Time Off Request'!$A:$A,'Oct 2026'!$D12,'2026 Time Off Request'!$L:$L,'Oct 2026'!N$6)</f>
        <v>0</v>
      </c>
      <c r="O12" s="147">
        <f>COUNTIFS('2026 Time Off Request'!$A:$A,'Oct 2026'!$D12,'2026 Time Off Request'!$L:$L,'Oct 2026'!O$6)</f>
        <v>0</v>
      </c>
      <c r="P12" s="147">
        <f>COUNTIFS('2026 Time Off Request'!$A:$A,'Oct 2026'!$D12,'2026 Time Off Request'!$L:$L,'Oct 2026'!P$6)</f>
        <v>0</v>
      </c>
      <c r="Q12" s="224">
        <f>COUNTIFS('2026 Time Off Request'!$A:$A,'Oct 2026'!$D12,'2026 Time Off Request'!$L:$L,'Oct 2026'!Q$6)</f>
        <v>0</v>
      </c>
      <c r="R12" s="148">
        <f>COUNTIFS('2026 Time Off Request'!$A:$A,'Oct 2026'!$D12,'2026 Time Off Request'!$L:$L,'Oct 2026'!R$6)</f>
        <v>0</v>
      </c>
      <c r="S12" s="148">
        <f>COUNTIFS('2026 Time Off Request'!$A:$A,'Oct 2026'!$D12,'2026 Time Off Request'!$L:$L,'Oct 2026'!S$6)</f>
        <v>0</v>
      </c>
      <c r="T12" s="148">
        <f>COUNTIFS('2026 Time Off Request'!$A:$A,'Oct 2026'!$D12,'2026 Time Off Request'!$L:$L,'Oct 2026'!T$6)</f>
        <v>0</v>
      </c>
      <c r="U12" s="148">
        <f>COUNTIFS('2026 Time Off Request'!$A:$A,'Oct 2026'!$D12,'2026 Time Off Request'!$L:$L,'Oct 2026'!U$6)</f>
        <v>0</v>
      </c>
      <c r="V12" s="147">
        <f>COUNTIFS('2026 Time Off Request'!$A:$A,'Oct 2026'!$D12,'2026 Time Off Request'!$L:$L,'Oct 2026'!V$6)</f>
        <v>0</v>
      </c>
      <c r="W12" s="147">
        <f>COUNTIFS('2026 Time Off Request'!$A:$A,'Oct 2026'!$D12,'2026 Time Off Request'!$L:$L,'Oct 2026'!W$6)</f>
        <v>0</v>
      </c>
      <c r="X12" s="148">
        <f>COUNTIFS('2026 Time Off Request'!$A:$A,'Oct 2026'!$D12,'2026 Time Off Request'!$L:$L,'Oct 2026'!X$6)</f>
        <v>0</v>
      </c>
      <c r="Y12" s="148">
        <f>COUNTIFS('2026 Time Off Request'!$A:$A,'Oct 2026'!$D12,'2026 Time Off Request'!$L:$L,'Oct 2026'!Y$6)</f>
        <v>0</v>
      </c>
      <c r="Z12" s="148">
        <f>COUNTIFS('2026 Time Off Request'!$A:$A,'Oct 2026'!$D12,'2026 Time Off Request'!$L:$L,'Oct 2026'!Z$6)</f>
        <v>0</v>
      </c>
      <c r="AA12" s="148">
        <f>COUNTIFS('2026 Time Off Request'!$A:$A,'Oct 2026'!$D12,'2026 Time Off Request'!$L:$L,'Oct 2026'!AA$6)</f>
        <v>0</v>
      </c>
      <c r="AB12" s="148">
        <f>COUNTIFS('2026 Time Off Request'!$A:$A,'Oct 2026'!$D12,'2026 Time Off Request'!$L:$L,'Oct 2026'!AB$6)</f>
        <v>0</v>
      </c>
      <c r="AC12" s="147">
        <f>COUNTIFS('2026 Time Off Request'!$A:$A,'Oct 2026'!$D12,'2026 Time Off Request'!$L:$L,'Oct 2026'!AC$6)</f>
        <v>0</v>
      </c>
      <c r="AD12" s="147">
        <f>COUNTIFS('2026 Time Off Request'!$A:$A,'Oct 2026'!$D12,'2026 Time Off Request'!$L:$L,'Oct 2026'!AD$6)</f>
        <v>0</v>
      </c>
      <c r="AE12" s="148">
        <f>COUNTIFS('2026 Time Off Request'!$A:$A,'Oct 2026'!$D12,'2026 Time Off Request'!$L:$L,'Oct 2026'!AE$6)</f>
        <v>0</v>
      </c>
      <c r="AF12" s="148">
        <f>COUNTIFS('2026 Time Off Request'!$A:$A,'Oct 2026'!$D12,'2026 Time Off Request'!$L:$L,'Oct 2026'!AF$6)</f>
        <v>0</v>
      </c>
      <c r="AG12" s="148">
        <f>COUNTIFS('2026 Time Off Request'!$A:$A,'Oct 2026'!$D12,'2026 Time Off Request'!$L:$L,'Oct 2026'!AG$6)</f>
        <v>0</v>
      </c>
      <c r="AH12" s="148">
        <f>COUNTIFS('2026 Time Off Request'!$A:$A,'Oct 2026'!$D12,'2026 Time Off Request'!$L:$L,'Oct 2026'!AH$6)</f>
        <v>0</v>
      </c>
      <c r="AI12" s="148">
        <f>COUNTIFS('2026 Time Off Request'!$A:$A,'Oct 2026'!$D12,'2026 Time Off Request'!$L:$L,'Oct 2026'!AI$6)</f>
        <v>0</v>
      </c>
      <c r="AJ12" s="147">
        <f>COUNTIFS('2026 Time Off Request'!$A:$A,'Oct 2026'!$D12,'2026 Time Off Request'!$L:$L,'Oct 2026'!AJ$6)</f>
        <v>0</v>
      </c>
    </row>
    <row r="13" spans="1:39" ht="15.75">
      <c r="A13" s="2">
        <v>7</v>
      </c>
      <c r="B13" s="209" t="s">
        <v>36</v>
      </c>
      <c r="C13" s="210" t="s">
        <v>37</v>
      </c>
      <c r="D13" s="215" t="s">
        <v>38</v>
      </c>
      <c r="E13" s="212">
        <f t="shared" si="2"/>
        <v>0</v>
      </c>
      <c r="F13" s="223">
        <f>COUNTIFS('2026 Time Off Request'!$A:$A,'Oct 2026'!$D13,'2026 Time Off Request'!$L:$L,'Oct 2026'!F$6)</f>
        <v>0</v>
      </c>
      <c r="G13" s="148">
        <f>COUNTIFS('2026 Time Off Request'!$A:$A,'Oct 2026'!$D13,'2026 Time Off Request'!$L:$L,'Oct 2026'!G$6)</f>
        <v>0</v>
      </c>
      <c r="H13" s="147">
        <f>COUNTIFS('2026 Time Off Request'!$A:$A,'Oct 2026'!$D13,'2026 Time Off Request'!$L:$L,'Oct 2026'!H$6)</f>
        <v>0</v>
      </c>
      <c r="I13" s="147">
        <f>COUNTIFS('2026 Time Off Request'!$A:$A,'Oct 2026'!$D13,'2026 Time Off Request'!$L:$L,'Oct 2026'!I$6)</f>
        <v>0</v>
      </c>
      <c r="J13" s="148">
        <f>COUNTIFS('2026 Time Off Request'!$A:$A,'Oct 2026'!$D13,'2026 Time Off Request'!$L:$L,'Oct 2026'!J$6)</f>
        <v>0</v>
      </c>
      <c r="K13" s="148">
        <f>COUNTIFS('2026 Time Off Request'!$A:$A,'Oct 2026'!$D13,'2026 Time Off Request'!$L:$L,'Oct 2026'!K$6)</f>
        <v>0</v>
      </c>
      <c r="L13" s="148">
        <f>COUNTIFS('2026 Time Off Request'!$A:$A,'Oct 2026'!$D13,'2026 Time Off Request'!$L:$L,'Oct 2026'!L$6)</f>
        <v>0</v>
      </c>
      <c r="M13" s="148">
        <f>COUNTIFS('2026 Time Off Request'!$A:$A,'Oct 2026'!$D13,'2026 Time Off Request'!$L:$L,'Oct 2026'!M$6)</f>
        <v>0</v>
      </c>
      <c r="N13" s="148">
        <f>COUNTIFS('2026 Time Off Request'!$A:$A,'Oct 2026'!$D13,'2026 Time Off Request'!$L:$L,'Oct 2026'!N$6)</f>
        <v>0</v>
      </c>
      <c r="O13" s="147">
        <f>COUNTIFS('2026 Time Off Request'!$A:$A,'Oct 2026'!$D13,'2026 Time Off Request'!$L:$L,'Oct 2026'!O$6)</f>
        <v>0</v>
      </c>
      <c r="P13" s="147">
        <f>COUNTIFS('2026 Time Off Request'!$A:$A,'Oct 2026'!$D13,'2026 Time Off Request'!$L:$L,'Oct 2026'!P$6)</f>
        <v>0</v>
      </c>
      <c r="Q13" s="224">
        <f>COUNTIFS('2026 Time Off Request'!$A:$A,'Oct 2026'!$D13,'2026 Time Off Request'!$L:$L,'Oct 2026'!Q$6)</f>
        <v>0</v>
      </c>
      <c r="R13" s="148">
        <f>COUNTIFS('2026 Time Off Request'!$A:$A,'Oct 2026'!$D13,'2026 Time Off Request'!$L:$L,'Oct 2026'!R$6)</f>
        <v>0</v>
      </c>
      <c r="S13" s="148">
        <f>COUNTIFS('2026 Time Off Request'!$A:$A,'Oct 2026'!$D13,'2026 Time Off Request'!$L:$L,'Oct 2026'!S$6)</f>
        <v>0</v>
      </c>
      <c r="T13" s="148">
        <f>COUNTIFS('2026 Time Off Request'!$A:$A,'Oct 2026'!$D13,'2026 Time Off Request'!$L:$L,'Oct 2026'!T$6)</f>
        <v>0</v>
      </c>
      <c r="U13" s="148">
        <f>COUNTIFS('2026 Time Off Request'!$A:$A,'Oct 2026'!$D13,'2026 Time Off Request'!$L:$L,'Oct 2026'!U$6)</f>
        <v>0</v>
      </c>
      <c r="V13" s="147">
        <f>COUNTIFS('2026 Time Off Request'!$A:$A,'Oct 2026'!$D13,'2026 Time Off Request'!$L:$L,'Oct 2026'!V$6)</f>
        <v>0</v>
      </c>
      <c r="W13" s="147">
        <f>COUNTIFS('2026 Time Off Request'!$A:$A,'Oct 2026'!$D13,'2026 Time Off Request'!$L:$L,'Oct 2026'!W$6)</f>
        <v>0</v>
      </c>
      <c r="X13" s="148">
        <f>COUNTIFS('2026 Time Off Request'!$A:$A,'Oct 2026'!$D13,'2026 Time Off Request'!$L:$L,'Oct 2026'!X$6)</f>
        <v>0</v>
      </c>
      <c r="Y13" s="148">
        <f>COUNTIFS('2026 Time Off Request'!$A:$A,'Oct 2026'!$D13,'2026 Time Off Request'!$L:$L,'Oct 2026'!Y$6)</f>
        <v>0</v>
      </c>
      <c r="Z13" s="148">
        <f>COUNTIFS('2026 Time Off Request'!$A:$A,'Oct 2026'!$D13,'2026 Time Off Request'!$L:$L,'Oct 2026'!Z$6)</f>
        <v>0</v>
      </c>
      <c r="AA13" s="148">
        <f>COUNTIFS('2026 Time Off Request'!$A:$A,'Oct 2026'!$D13,'2026 Time Off Request'!$L:$L,'Oct 2026'!AA$6)</f>
        <v>0</v>
      </c>
      <c r="AB13" s="148">
        <f>COUNTIFS('2026 Time Off Request'!$A:$A,'Oct 2026'!$D13,'2026 Time Off Request'!$L:$L,'Oct 2026'!AB$6)</f>
        <v>0</v>
      </c>
      <c r="AC13" s="147">
        <f>COUNTIFS('2026 Time Off Request'!$A:$A,'Oct 2026'!$D13,'2026 Time Off Request'!$L:$L,'Oct 2026'!AC$6)</f>
        <v>0</v>
      </c>
      <c r="AD13" s="147">
        <f>COUNTIFS('2026 Time Off Request'!$A:$A,'Oct 2026'!$D13,'2026 Time Off Request'!$L:$L,'Oct 2026'!AD$6)</f>
        <v>0</v>
      </c>
      <c r="AE13" s="148">
        <f>COUNTIFS('2026 Time Off Request'!$A:$A,'Oct 2026'!$D13,'2026 Time Off Request'!$L:$L,'Oct 2026'!AE$6)</f>
        <v>0</v>
      </c>
      <c r="AF13" s="148">
        <f>COUNTIFS('2026 Time Off Request'!$A:$A,'Oct 2026'!$D13,'2026 Time Off Request'!$L:$L,'Oct 2026'!AF$6)</f>
        <v>0</v>
      </c>
      <c r="AG13" s="148">
        <f>COUNTIFS('2026 Time Off Request'!$A:$A,'Oct 2026'!$D13,'2026 Time Off Request'!$L:$L,'Oct 2026'!AG$6)</f>
        <v>0</v>
      </c>
      <c r="AH13" s="148">
        <f>COUNTIFS('2026 Time Off Request'!$A:$A,'Oct 2026'!$D13,'2026 Time Off Request'!$L:$L,'Oct 2026'!AH$6)</f>
        <v>0</v>
      </c>
      <c r="AI13" s="148">
        <f>COUNTIFS('2026 Time Off Request'!$A:$A,'Oct 2026'!$D13,'2026 Time Off Request'!$L:$L,'Oct 2026'!AI$6)</f>
        <v>0</v>
      </c>
      <c r="AJ13" s="147">
        <f>COUNTIFS('2026 Time Off Request'!$A:$A,'Oct 2026'!$D13,'2026 Time Off Request'!$L:$L,'Oct 2026'!AJ$6)</f>
        <v>0</v>
      </c>
    </row>
    <row r="14" spans="1:39" ht="15.75">
      <c r="A14" s="2">
        <v>8</v>
      </c>
      <c r="B14" s="209" t="s">
        <v>36</v>
      </c>
      <c r="C14" s="210" t="s">
        <v>37</v>
      </c>
      <c r="D14" s="215" t="s">
        <v>39</v>
      </c>
      <c r="E14" s="212">
        <f t="shared" si="2"/>
        <v>0</v>
      </c>
      <c r="F14" s="223">
        <f>COUNTIFS('2026 Time Off Request'!$A:$A,'Oct 2026'!$D14,'2026 Time Off Request'!$L:$L,'Oct 2026'!F$6)</f>
        <v>0</v>
      </c>
      <c r="G14" s="148">
        <f>COUNTIFS('2026 Time Off Request'!$A:$A,'Oct 2026'!$D14,'2026 Time Off Request'!$L:$L,'Oct 2026'!G$6)</f>
        <v>0</v>
      </c>
      <c r="H14" s="147">
        <f>COUNTIFS('2026 Time Off Request'!$A:$A,'Oct 2026'!$D14,'2026 Time Off Request'!$L:$L,'Oct 2026'!H$6)</f>
        <v>0</v>
      </c>
      <c r="I14" s="147">
        <f>COUNTIFS('2026 Time Off Request'!$A:$A,'Oct 2026'!$D14,'2026 Time Off Request'!$L:$L,'Oct 2026'!I$6)</f>
        <v>0</v>
      </c>
      <c r="J14" s="148">
        <f>COUNTIFS('2026 Time Off Request'!$A:$A,'Oct 2026'!$D14,'2026 Time Off Request'!$L:$L,'Oct 2026'!J$6)</f>
        <v>0</v>
      </c>
      <c r="K14" s="148">
        <f>COUNTIFS('2026 Time Off Request'!$A:$A,'Oct 2026'!$D14,'2026 Time Off Request'!$L:$L,'Oct 2026'!K$6)</f>
        <v>0</v>
      </c>
      <c r="L14" s="148">
        <f>COUNTIFS('2026 Time Off Request'!$A:$A,'Oct 2026'!$D14,'2026 Time Off Request'!$L:$L,'Oct 2026'!L$6)</f>
        <v>0</v>
      </c>
      <c r="M14" s="148">
        <f>COUNTIFS('2026 Time Off Request'!$A:$A,'Oct 2026'!$D14,'2026 Time Off Request'!$L:$L,'Oct 2026'!M$6)</f>
        <v>0</v>
      </c>
      <c r="N14" s="148">
        <f>COUNTIFS('2026 Time Off Request'!$A:$A,'Oct 2026'!$D14,'2026 Time Off Request'!$L:$L,'Oct 2026'!N$6)</f>
        <v>0</v>
      </c>
      <c r="O14" s="147">
        <f>COUNTIFS('2026 Time Off Request'!$A:$A,'Oct 2026'!$D14,'2026 Time Off Request'!$L:$L,'Oct 2026'!O$6)</f>
        <v>0</v>
      </c>
      <c r="P14" s="147">
        <f>COUNTIFS('2026 Time Off Request'!$A:$A,'Oct 2026'!$D14,'2026 Time Off Request'!$L:$L,'Oct 2026'!P$6)</f>
        <v>0</v>
      </c>
      <c r="Q14" s="224">
        <f>COUNTIFS('2026 Time Off Request'!$A:$A,'Oct 2026'!$D14,'2026 Time Off Request'!$L:$L,'Oct 2026'!Q$6)</f>
        <v>0</v>
      </c>
      <c r="R14" s="148">
        <f>COUNTIFS('2026 Time Off Request'!$A:$A,'Oct 2026'!$D14,'2026 Time Off Request'!$L:$L,'Oct 2026'!R$6)</f>
        <v>0</v>
      </c>
      <c r="S14" s="148">
        <f>COUNTIFS('2026 Time Off Request'!$A:$A,'Oct 2026'!$D14,'2026 Time Off Request'!$L:$L,'Oct 2026'!S$6)</f>
        <v>0</v>
      </c>
      <c r="T14" s="148">
        <f>COUNTIFS('2026 Time Off Request'!$A:$A,'Oct 2026'!$D14,'2026 Time Off Request'!$L:$L,'Oct 2026'!T$6)</f>
        <v>0</v>
      </c>
      <c r="U14" s="148">
        <f>COUNTIFS('2026 Time Off Request'!$A:$A,'Oct 2026'!$D14,'2026 Time Off Request'!$L:$L,'Oct 2026'!U$6)</f>
        <v>0</v>
      </c>
      <c r="V14" s="147">
        <f>COUNTIFS('2026 Time Off Request'!$A:$A,'Oct 2026'!$D14,'2026 Time Off Request'!$L:$L,'Oct 2026'!V$6)</f>
        <v>0</v>
      </c>
      <c r="W14" s="147">
        <f>COUNTIFS('2026 Time Off Request'!$A:$A,'Oct 2026'!$D14,'2026 Time Off Request'!$L:$L,'Oct 2026'!W$6)</f>
        <v>0</v>
      </c>
      <c r="X14" s="148">
        <f>COUNTIFS('2026 Time Off Request'!$A:$A,'Oct 2026'!$D14,'2026 Time Off Request'!$L:$L,'Oct 2026'!X$6)</f>
        <v>0</v>
      </c>
      <c r="Y14" s="148">
        <f>COUNTIFS('2026 Time Off Request'!$A:$A,'Oct 2026'!$D14,'2026 Time Off Request'!$L:$L,'Oct 2026'!Y$6)</f>
        <v>0</v>
      </c>
      <c r="Z14" s="148">
        <f>COUNTIFS('2026 Time Off Request'!$A:$A,'Oct 2026'!$D14,'2026 Time Off Request'!$L:$L,'Oct 2026'!Z$6)</f>
        <v>0</v>
      </c>
      <c r="AA14" s="148">
        <f>COUNTIFS('2026 Time Off Request'!$A:$A,'Oct 2026'!$D14,'2026 Time Off Request'!$L:$L,'Oct 2026'!AA$6)</f>
        <v>0</v>
      </c>
      <c r="AB14" s="148">
        <f>COUNTIFS('2026 Time Off Request'!$A:$A,'Oct 2026'!$D14,'2026 Time Off Request'!$L:$L,'Oct 2026'!AB$6)</f>
        <v>0</v>
      </c>
      <c r="AC14" s="147">
        <f>COUNTIFS('2026 Time Off Request'!$A:$A,'Oct 2026'!$D14,'2026 Time Off Request'!$L:$L,'Oct 2026'!AC$6)</f>
        <v>0</v>
      </c>
      <c r="AD14" s="147">
        <f>COUNTIFS('2026 Time Off Request'!$A:$A,'Oct 2026'!$D14,'2026 Time Off Request'!$L:$L,'Oct 2026'!AD$6)</f>
        <v>0</v>
      </c>
      <c r="AE14" s="148">
        <f>COUNTIFS('2026 Time Off Request'!$A:$A,'Oct 2026'!$D14,'2026 Time Off Request'!$L:$L,'Oct 2026'!AE$6)</f>
        <v>0</v>
      </c>
      <c r="AF14" s="148">
        <f>COUNTIFS('2026 Time Off Request'!$A:$A,'Oct 2026'!$D14,'2026 Time Off Request'!$L:$L,'Oct 2026'!AF$6)</f>
        <v>0</v>
      </c>
      <c r="AG14" s="148">
        <f>COUNTIFS('2026 Time Off Request'!$A:$A,'Oct 2026'!$D14,'2026 Time Off Request'!$L:$L,'Oct 2026'!AG$6)</f>
        <v>0</v>
      </c>
      <c r="AH14" s="148">
        <f>COUNTIFS('2026 Time Off Request'!$A:$A,'Oct 2026'!$D14,'2026 Time Off Request'!$L:$L,'Oct 2026'!AH$6)</f>
        <v>0</v>
      </c>
      <c r="AI14" s="148">
        <f>COUNTIFS('2026 Time Off Request'!$A:$A,'Oct 2026'!$D14,'2026 Time Off Request'!$L:$L,'Oct 2026'!AI$6)</f>
        <v>0</v>
      </c>
      <c r="AJ14" s="147">
        <f>COUNTIFS('2026 Time Off Request'!$A:$A,'Oct 2026'!$D14,'2026 Time Off Request'!$L:$L,'Oct 2026'!AJ$6)</f>
        <v>0</v>
      </c>
    </row>
    <row r="15" spans="1:39" ht="15.75">
      <c r="A15" s="2">
        <v>9</v>
      </c>
      <c r="B15" s="209" t="s">
        <v>36</v>
      </c>
      <c r="C15" s="210" t="s">
        <v>37</v>
      </c>
      <c r="D15" s="215" t="s">
        <v>40</v>
      </c>
      <c r="E15" s="212">
        <f t="shared" si="2"/>
        <v>0</v>
      </c>
      <c r="F15" s="223">
        <f>COUNTIFS('2026 Time Off Request'!$A:$A,'Oct 2026'!$D15,'2026 Time Off Request'!$L:$L,'Oct 2026'!F$6)</f>
        <v>0</v>
      </c>
      <c r="G15" s="148">
        <f>COUNTIFS('2026 Time Off Request'!$A:$A,'Oct 2026'!$D15,'2026 Time Off Request'!$L:$L,'Oct 2026'!G$6)</f>
        <v>0</v>
      </c>
      <c r="H15" s="147">
        <f>COUNTIFS('2026 Time Off Request'!$A:$A,'Oct 2026'!$D15,'2026 Time Off Request'!$L:$L,'Oct 2026'!H$6)</f>
        <v>0</v>
      </c>
      <c r="I15" s="147">
        <f>COUNTIFS('2026 Time Off Request'!$A:$A,'Oct 2026'!$D15,'2026 Time Off Request'!$L:$L,'Oct 2026'!I$6)</f>
        <v>0</v>
      </c>
      <c r="J15" s="148">
        <f>COUNTIFS('2026 Time Off Request'!$A:$A,'Oct 2026'!$D15,'2026 Time Off Request'!$L:$L,'Oct 2026'!J$6)</f>
        <v>0</v>
      </c>
      <c r="K15" s="148">
        <f>COUNTIFS('2026 Time Off Request'!$A:$A,'Oct 2026'!$D15,'2026 Time Off Request'!$L:$L,'Oct 2026'!K$6)</f>
        <v>0</v>
      </c>
      <c r="L15" s="148">
        <f>COUNTIFS('2026 Time Off Request'!$A:$A,'Oct 2026'!$D15,'2026 Time Off Request'!$L:$L,'Oct 2026'!L$6)</f>
        <v>0</v>
      </c>
      <c r="M15" s="148">
        <f>COUNTIFS('2026 Time Off Request'!$A:$A,'Oct 2026'!$D15,'2026 Time Off Request'!$L:$L,'Oct 2026'!M$6)</f>
        <v>0</v>
      </c>
      <c r="N15" s="148">
        <f>COUNTIFS('2026 Time Off Request'!$A:$A,'Oct 2026'!$D15,'2026 Time Off Request'!$L:$L,'Oct 2026'!N$6)</f>
        <v>0</v>
      </c>
      <c r="O15" s="147">
        <f>COUNTIFS('2026 Time Off Request'!$A:$A,'Oct 2026'!$D15,'2026 Time Off Request'!$L:$L,'Oct 2026'!O$6)</f>
        <v>0</v>
      </c>
      <c r="P15" s="147">
        <f>COUNTIFS('2026 Time Off Request'!$A:$A,'Oct 2026'!$D15,'2026 Time Off Request'!$L:$L,'Oct 2026'!P$6)</f>
        <v>0</v>
      </c>
      <c r="Q15" s="224">
        <f>COUNTIFS('2026 Time Off Request'!$A:$A,'Oct 2026'!$D15,'2026 Time Off Request'!$L:$L,'Oct 2026'!Q$6)</f>
        <v>0</v>
      </c>
      <c r="R15" s="148">
        <f>COUNTIFS('2026 Time Off Request'!$A:$A,'Oct 2026'!$D15,'2026 Time Off Request'!$L:$L,'Oct 2026'!R$6)</f>
        <v>0</v>
      </c>
      <c r="S15" s="148">
        <f>COUNTIFS('2026 Time Off Request'!$A:$A,'Oct 2026'!$D15,'2026 Time Off Request'!$L:$L,'Oct 2026'!S$6)</f>
        <v>0</v>
      </c>
      <c r="T15" s="148">
        <f>COUNTIFS('2026 Time Off Request'!$A:$A,'Oct 2026'!$D15,'2026 Time Off Request'!$L:$L,'Oct 2026'!T$6)</f>
        <v>0</v>
      </c>
      <c r="U15" s="148">
        <f>COUNTIFS('2026 Time Off Request'!$A:$A,'Oct 2026'!$D15,'2026 Time Off Request'!$L:$L,'Oct 2026'!U$6)</f>
        <v>0</v>
      </c>
      <c r="V15" s="147">
        <f>COUNTIFS('2026 Time Off Request'!$A:$A,'Oct 2026'!$D15,'2026 Time Off Request'!$L:$L,'Oct 2026'!V$6)</f>
        <v>0</v>
      </c>
      <c r="W15" s="147">
        <f>COUNTIFS('2026 Time Off Request'!$A:$A,'Oct 2026'!$D15,'2026 Time Off Request'!$L:$L,'Oct 2026'!W$6)</f>
        <v>0</v>
      </c>
      <c r="X15" s="148">
        <f>COUNTIFS('2026 Time Off Request'!$A:$A,'Oct 2026'!$D15,'2026 Time Off Request'!$L:$L,'Oct 2026'!X$6)</f>
        <v>0</v>
      </c>
      <c r="Y15" s="148">
        <f>COUNTIFS('2026 Time Off Request'!$A:$A,'Oct 2026'!$D15,'2026 Time Off Request'!$L:$L,'Oct 2026'!Y$6)</f>
        <v>0</v>
      </c>
      <c r="Z15" s="148">
        <f>COUNTIFS('2026 Time Off Request'!$A:$A,'Oct 2026'!$D15,'2026 Time Off Request'!$L:$L,'Oct 2026'!Z$6)</f>
        <v>0</v>
      </c>
      <c r="AA15" s="148">
        <f>COUNTIFS('2026 Time Off Request'!$A:$A,'Oct 2026'!$D15,'2026 Time Off Request'!$L:$L,'Oct 2026'!AA$6)</f>
        <v>0</v>
      </c>
      <c r="AB15" s="148">
        <f>COUNTIFS('2026 Time Off Request'!$A:$A,'Oct 2026'!$D15,'2026 Time Off Request'!$L:$L,'Oct 2026'!AB$6)</f>
        <v>0</v>
      </c>
      <c r="AC15" s="147">
        <f>COUNTIFS('2026 Time Off Request'!$A:$A,'Oct 2026'!$D15,'2026 Time Off Request'!$L:$L,'Oct 2026'!AC$6)</f>
        <v>0</v>
      </c>
      <c r="AD15" s="147">
        <f>COUNTIFS('2026 Time Off Request'!$A:$A,'Oct 2026'!$D15,'2026 Time Off Request'!$L:$L,'Oct 2026'!AD$6)</f>
        <v>0</v>
      </c>
      <c r="AE15" s="148">
        <f>COUNTIFS('2026 Time Off Request'!$A:$A,'Oct 2026'!$D15,'2026 Time Off Request'!$L:$L,'Oct 2026'!AE$6)</f>
        <v>0</v>
      </c>
      <c r="AF15" s="148">
        <f>COUNTIFS('2026 Time Off Request'!$A:$A,'Oct 2026'!$D15,'2026 Time Off Request'!$L:$L,'Oct 2026'!AF$6)</f>
        <v>0</v>
      </c>
      <c r="AG15" s="148">
        <f>COUNTIFS('2026 Time Off Request'!$A:$A,'Oct 2026'!$D15,'2026 Time Off Request'!$L:$L,'Oct 2026'!AG$6)</f>
        <v>0</v>
      </c>
      <c r="AH15" s="148">
        <f>COUNTIFS('2026 Time Off Request'!$A:$A,'Oct 2026'!$D15,'2026 Time Off Request'!$L:$L,'Oct 2026'!AH$6)</f>
        <v>0</v>
      </c>
      <c r="AI15" s="148">
        <f>COUNTIFS('2026 Time Off Request'!$A:$A,'Oct 2026'!$D15,'2026 Time Off Request'!$L:$L,'Oct 2026'!AI$6)</f>
        <v>0</v>
      </c>
      <c r="AJ15" s="147">
        <f>COUNTIFS('2026 Time Off Request'!$A:$A,'Oct 2026'!$D15,'2026 Time Off Request'!$L:$L,'Oct 2026'!AJ$6)</f>
        <v>0</v>
      </c>
    </row>
    <row r="16" spans="1:39" ht="15.75">
      <c r="A16" s="2">
        <v>10</v>
      </c>
      <c r="B16" s="209" t="s">
        <v>36</v>
      </c>
      <c r="C16" s="210" t="s">
        <v>37</v>
      </c>
      <c r="D16" s="215" t="s">
        <v>41</v>
      </c>
      <c r="E16" s="212">
        <f t="shared" si="2"/>
        <v>0</v>
      </c>
      <c r="F16" s="223">
        <f>COUNTIFS('2026 Time Off Request'!$A:$A,'Oct 2026'!$D16,'2026 Time Off Request'!$L:$L,'Oct 2026'!F$6)</f>
        <v>0</v>
      </c>
      <c r="G16" s="148">
        <f>COUNTIFS('2026 Time Off Request'!$A:$A,'Oct 2026'!$D16,'2026 Time Off Request'!$L:$L,'Oct 2026'!G$6)</f>
        <v>0</v>
      </c>
      <c r="H16" s="147">
        <f>COUNTIFS('2026 Time Off Request'!$A:$A,'Oct 2026'!$D16,'2026 Time Off Request'!$L:$L,'Oct 2026'!H$6)</f>
        <v>0</v>
      </c>
      <c r="I16" s="147">
        <f>COUNTIFS('2026 Time Off Request'!$A:$A,'Oct 2026'!$D16,'2026 Time Off Request'!$L:$L,'Oct 2026'!I$6)</f>
        <v>0</v>
      </c>
      <c r="J16" s="148">
        <f>COUNTIFS('2026 Time Off Request'!$A:$A,'Oct 2026'!$D16,'2026 Time Off Request'!$L:$L,'Oct 2026'!J$6)</f>
        <v>0</v>
      </c>
      <c r="K16" s="148">
        <f>COUNTIFS('2026 Time Off Request'!$A:$A,'Oct 2026'!$D16,'2026 Time Off Request'!$L:$L,'Oct 2026'!K$6)</f>
        <v>0</v>
      </c>
      <c r="L16" s="148">
        <f>COUNTIFS('2026 Time Off Request'!$A:$A,'Oct 2026'!$D16,'2026 Time Off Request'!$L:$L,'Oct 2026'!L$6)</f>
        <v>0</v>
      </c>
      <c r="M16" s="148">
        <f>COUNTIFS('2026 Time Off Request'!$A:$A,'Oct 2026'!$D16,'2026 Time Off Request'!$L:$L,'Oct 2026'!M$6)</f>
        <v>0</v>
      </c>
      <c r="N16" s="148">
        <f>COUNTIFS('2026 Time Off Request'!$A:$A,'Oct 2026'!$D16,'2026 Time Off Request'!$L:$L,'Oct 2026'!N$6)</f>
        <v>0</v>
      </c>
      <c r="O16" s="147">
        <f>COUNTIFS('2026 Time Off Request'!$A:$A,'Oct 2026'!$D16,'2026 Time Off Request'!$L:$L,'Oct 2026'!O$6)</f>
        <v>0</v>
      </c>
      <c r="P16" s="147">
        <f>COUNTIFS('2026 Time Off Request'!$A:$A,'Oct 2026'!$D16,'2026 Time Off Request'!$L:$L,'Oct 2026'!P$6)</f>
        <v>0</v>
      </c>
      <c r="Q16" s="224">
        <f>COUNTIFS('2026 Time Off Request'!$A:$A,'Oct 2026'!$D16,'2026 Time Off Request'!$L:$L,'Oct 2026'!Q$6)</f>
        <v>0</v>
      </c>
      <c r="R16" s="148">
        <f>COUNTIFS('2026 Time Off Request'!$A:$A,'Oct 2026'!$D16,'2026 Time Off Request'!$L:$L,'Oct 2026'!R$6)</f>
        <v>0</v>
      </c>
      <c r="S16" s="148">
        <f>COUNTIFS('2026 Time Off Request'!$A:$A,'Oct 2026'!$D16,'2026 Time Off Request'!$L:$L,'Oct 2026'!S$6)</f>
        <v>0</v>
      </c>
      <c r="T16" s="148">
        <f>COUNTIFS('2026 Time Off Request'!$A:$A,'Oct 2026'!$D16,'2026 Time Off Request'!$L:$L,'Oct 2026'!T$6)</f>
        <v>0</v>
      </c>
      <c r="U16" s="148">
        <f>COUNTIFS('2026 Time Off Request'!$A:$A,'Oct 2026'!$D16,'2026 Time Off Request'!$L:$L,'Oct 2026'!U$6)</f>
        <v>0</v>
      </c>
      <c r="V16" s="147">
        <f>COUNTIFS('2026 Time Off Request'!$A:$A,'Oct 2026'!$D16,'2026 Time Off Request'!$L:$L,'Oct 2026'!V$6)</f>
        <v>0</v>
      </c>
      <c r="W16" s="147">
        <f>COUNTIFS('2026 Time Off Request'!$A:$A,'Oct 2026'!$D16,'2026 Time Off Request'!$L:$L,'Oct 2026'!W$6)</f>
        <v>0</v>
      </c>
      <c r="X16" s="148">
        <f>COUNTIFS('2026 Time Off Request'!$A:$A,'Oct 2026'!$D16,'2026 Time Off Request'!$L:$L,'Oct 2026'!X$6)</f>
        <v>0</v>
      </c>
      <c r="Y16" s="148">
        <f>COUNTIFS('2026 Time Off Request'!$A:$A,'Oct 2026'!$D16,'2026 Time Off Request'!$L:$L,'Oct 2026'!Y$6)</f>
        <v>0</v>
      </c>
      <c r="Z16" s="148">
        <f>COUNTIFS('2026 Time Off Request'!$A:$A,'Oct 2026'!$D16,'2026 Time Off Request'!$L:$L,'Oct 2026'!Z$6)</f>
        <v>0</v>
      </c>
      <c r="AA16" s="148">
        <f>COUNTIFS('2026 Time Off Request'!$A:$A,'Oct 2026'!$D16,'2026 Time Off Request'!$L:$L,'Oct 2026'!AA$6)</f>
        <v>0</v>
      </c>
      <c r="AB16" s="148">
        <f>COUNTIFS('2026 Time Off Request'!$A:$A,'Oct 2026'!$D16,'2026 Time Off Request'!$L:$L,'Oct 2026'!AB$6)</f>
        <v>0</v>
      </c>
      <c r="AC16" s="147">
        <f>COUNTIFS('2026 Time Off Request'!$A:$A,'Oct 2026'!$D16,'2026 Time Off Request'!$L:$L,'Oct 2026'!AC$6)</f>
        <v>0</v>
      </c>
      <c r="AD16" s="147">
        <f>COUNTIFS('2026 Time Off Request'!$A:$A,'Oct 2026'!$D16,'2026 Time Off Request'!$L:$L,'Oct 2026'!AD$6)</f>
        <v>0</v>
      </c>
      <c r="AE16" s="148">
        <f>COUNTIFS('2026 Time Off Request'!$A:$A,'Oct 2026'!$D16,'2026 Time Off Request'!$L:$L,'Oct 2026'!AE$6)</f>
        <v>0</v>
      </c>
      <c r="AF16" s="148">
        <f>COUNTIFS('2026 Time Off Request'!$A:$A,'Oct 2026'!$D16,'2026 Time Off Request'!$L:$L,'Oct 2026'!AF$6)</f>
        <v>0</v>
      </c>
      <c r="AG16" s="148">
        <f>COUNTIFS('2026 Time Off Request'!$A:$A,'Oct 2026'!$D16,'2026 Time Off Request'!$L:$L,'Oct 2026'!AG$6)</f>
        <v>0</v>
      </c>
      <c r="AH16" s="148">
        <f>COUNTIFS('2026 Time Off Request'!$A:$A,'Oct 2026'!$D16,'2026 Time Off Request'!$L:$L,'Oct 2026'!AH$6)</f>
        <v>0</v>
      </c>
      <c r="AI16" s="148">
        <f>COUNTIFS('2026 Time Off Request'!$A:$A,'Oct 2026'!$D16,'2026 Time Off Request'!$L:$L,'Oct 2026'!AI$6)</f>
        <v>0</v>
      </c>
      <c r="AJ16" s="147">
        <f>COUNTIFS('2026 Time Off Request'!$A:$A,'Oct 2026'!$D16,'2026 Time Off Request'!$L:$L,'Oct 2026'!AJ$6)</f>
        <v>0</v>
      </c>
    </row>
    <row r="17" spans="1:36" ht="15.75">
      <c r="A17" s="2">
        <v>11</v>
      </c>
      <c r="B17" s="209" t="s">
        <v>36</v>
      </c>
      <c r="C17" s="210" t="s">
        <v>37</v>
      </c>
      <c r="D17" s="215" t="s">
        <v>42</v>
      </c>
      <c r="E17" s="212">
        <f t="shared" si="2"/>
        <v>0</v>
      </c>
      <c r="F17" s="223">
        <f>COUNTIFS('2026 Time Off Request'!$A:$A,'Oct 2026'!$D17,'2026 Time Off Request'!$L:$L,'Oct 2026'!F$6)</f>
        <v>0</v>
      </c>
      <c r="G17" s="148">
        <f>COUNTIFS('2026 Time Off Request'!$A:$A,'Oct 2026'!$D17,'2026 Time Off Request'!$L:$L,'Oct 2026'!G$6)</f>
        <v>0</v>
      </c>
      <c r="H17" s="147">
        <f>COUNTIFS('2026 Time Off Request'!$A:$A,'Oct 2026'!$D17,'2026 Time Off Request'!$L:$L,'Oct 2026'!H$6)</f>
        <v>0</v>
      </c>
      <c r="I17" s="147">
        <f>COUNTIFS('2026 Time Off Request'!$A:$A,'Oct 2026'!$D17,'2026 Time Off Request'!$L:$L,'Oct 2026'!I$6)</f>
        <v>0</v>
      </c>
      <c r="J17" s="148">
        <f>COUNTIFS('2026 Time Off Request'!$A:$A,'Oct 2026'!$D17,'2026 Time Off Request'!$L:$L,'Oct 2026'!J$6)</f>
        <v>0</v>
      </c>
      <c r="K17" s="148">
        <f>COUNTIFS('2026 Time Off Request'!$A:$A,'Oct 2026'!$D17,'2026 Time Off Request'!$L:$L,'Oct 2026'!K$6)</f>
        <v>0</v>
      </c>
      <c r="L17" s="148">
        <f>COUNTIFS('2026 Time Off Request'!$A:$A,'Oct 2026'!$D17,'2026 Time Off Request'!$L:$L,'Oct 2026'!L$6)</f>
        <v>0</v>
      </c>
      <c r="M17" s="148">
        <f>COUNTIFS('2026 Time Off Request'!$A:$A,'Oct 2026'!$D17,'2026 Time Off Request'!$L:$L,'Oct 2026'!M$6)</f>
        <v>0</v>
      </c>
      <c r="N17" s="148">
        <f>COUNTIFS('2026 Time Off Request'!$A:$A,'Oct 2026'!$D17,'2026 Time Off Request'!$L:$L,'Oct 2026'!N$6)</f>
        <v>0</v>
      </c>
      <c r="O17" s="147">
        <f>COUNTIFS('2026 Time Off Request'!$A:$A,'Oct 2026'!$D17,'2026 Time Off Request'!$L:$L,'Oct 2026'!O$6)</f>
        <v>0</v>
      </c>
      <c r="P17" s="147">
        <f>COUNTIFS('2026 Time Off Request'!$A:$A,'Oct 2026'!$D17,'2026 Time Off Request'!$L:$L,'Oct 2026'!P$6)</f>
        <v>0</v>
      </c>
      <c r="Q17" s="224">
        <f>COUNTIFS('2026 Time Off Request'!$A:$A,'Oct 2026'!$D17,'2026 Time Off Request'!$L:$L,'Oct 2026'!Q$6)</f>
        <v>0</v>
      </c>
      <c r="R17" s="148">
        <f>COUNTIFS('2026 Time Off Request'!$A:$A,'Oct 2026'!$D17,'2026 Time Off Request'!$L:$L,'Oct 2026'!R$6)</f>
        <v>0</v>
      </c>
      <c r="S17" s="148">
        <f>COUNTIFS('2026 Time Off Request'!$A:$A,'Oct 2026'!$D17,'2026 Time Off Request'!$L:$L,'Oct 2026'!S$6)</f>
        <v>0</v>
      </c>
      <c r="T17" s="148">
        <f>COUNTIFS('2026 Time Off Request'!$A:$A,'Oct 2026'!$D17,'2026 Time Off Request'!$L:$L,'Oct 2026'!T$6)</f>
        <v>0</v>
      </c>
      <c r="U17" s="148">
        <f>COUNTIFS('2026 Time Off Request'!$A:$A,'Oct 2026'!$D17,'2026 Time Off Request'!$L:$L,'Oct 2026'!U$6)</f>
        <v>0</v>
      </c>
      <c r="V17" s="147">
        <f>COUNTIFS('2026 Time Off Request'!$A:$A,'Oct 2026'!$D17,'2026 Time Off Request'!$L:$L,'Oct 2026'!V$6)</f>
        <v>0</v>
      </c>
      <c r="W17" s="147">
        <f>COUNTIFS('2026 Time Off Request'!$A:$A,'Oct 2026'!$D17,'2026 Time Off Request'!$L:$L,'Oct 2026'!W$6)</f>
        <v>0</v>
      </c>
      <c r="X17" s="148">
        <f>COUNTIFS('2026 Time Off Request'!$A:$A,'Oct 2026'!$D17,'2026 Time Off Request'!$L:$L,'Oct 2026'!X$6)</f>
        <v>0</v>
      </c>
      <c r="Y17" s="148">
        <f>COUNTIFS('2026 Time Off Request'!$A:$A,'Oct 2026'!$D17,'2026 Time Off Request'!$L:$L,'Oct 2026'!Y$6)</f>
        <v>0</v>
      </c>
      <c r="Z17" s="148">
        <f>COUNTIFS('2026 Time Off Request'!$A:$A,'Oct 2026'!$D17,'2026 Time Off Request'!$L:$L,'Oct 2026'!Z$6)</f>
        <v>0</v>
      </c>
      <c r="AA17" s="148">
        <f>COUNTIFS('2026 Time Off Request'!$A:$A,'Oct 2026'!$D17,'2026 Time Off Request'!$L:$L,'Oct 2026'!AA$6)</f>
        <v>0</v>
      </c>
      <c r="AB17" s="148">
        <f>COUNTIFS('2026 Time Off Request'!$A:$A,'Oct 2026'!$D17,'2026 Time Off Request'!$L:$L,'Oct 2026'!AB$6)</f>
        <v>0</v>
      </c>
      <c r="AC17" s="147">
        <f>COUNTIFS('2026 Time Off Request'!$A:$A,'Oct 2026'!$D17,'2026 Time Off Request'!$L:$L,'Oct 2026'!AC$6)</f>
        <v>0</v>
      </c>
      <c r="AD17" s="147">
        <f>COUNTIFS('2026 Time Off Request'!$A:$A,'Oct 2026'!$D17,'2026 Time Off Request'!$L:$L,'Oct 2026'!AD$6)</f>
        <v>0</v>
      </c>
      <c r="AE17" s="148">
        <f>COUNTIFS('2026 Time Off Request'!$A:$A,'Oct 2026'!$D17,'2026 Time Off Request'!$L:$L,'Oct 2026'!AE$6)</f>
        <v>0</v>
      </c>
      <c r="AF17" s="148">
        <f>COUNTIFS('2026 Time Off Request'!$A:$A,'Oct 2026'!$D17,'2026 Time Off Request'!$L:$L,'Oct 2026'!AF$6)</f>
        <v>0</v>
      </c>
      <c r="AG17" s="148">
        <f>COUNTIFS('2026 Time Off Request'!$A:$A,'Oct 2026'!$D17,'2026 Time Off Request'!$L:$L,'Oct 2026'!AG$6)</f>
        <v>0</v>
      </c>
      <c r="AH17" s="148">
        <f>COUNTIFS('2026 Time Off Request'!$A:$A,'Oct 2026'!$D17,'2026 Time Off Request'!$L:$L,'Oct 2026'!AH$6)</f>
        <v>0</v>
      </c>
      <c r="AI17" s="148">
        <f>COUNTIFS('2026 Time Off Request'!$A:$A,'Oct 2026'!$D17,'2026 Time Off Request'!$L:$L,'Oct 2026'!AI$6)</f>
        <v>0</v>
      </c>
      <c r="AJ17" s="147">
        <f>COUNTIFS('2026 Time Off Request'!$A:$A,'Oct 2026'!$D17,'2026 Time Off Request'!$L:$L,'Oct 2026'!AJ$6)</f>
        <v>0</v>
      </c>
    </row>
    <row r="18" spans="1:36" ht="15.75">
      <c r="A18" s="2">
        <v>12</v>
      </c>
      <c r="B18" s="209" t="s">
        <v>36</v>
      </c>
      <c r="C18" s="210" t="s">
        <v>37</v>
      </c>
      <c r="D18" s="215" t="s">
        <v>43</v>
      </c>
      <c r="E18" s="212">
        <f t="shared" si="2"/>
        <v>0</v>
      </c>
      <c r="F18" s="223">
        <f>COUNTIFS('2026 Time Off Request'!$A:$A,'Oct 2026'!$D18,'2026 Time Off Request'!$L:$L,'Oct 2026'!F$6)</f>
        <v>0</v>
      </c>
      <c r="G18" s="148">
        <f>COUNTIFS('2026 Time Off Request'!$A:$A,'Oct 2026'!$D18,'2026 Time Off Request'!$L:$L,'Oct 2026'!G$6)</f>
        <v>0</v>
      </c>
      <c r="H18" s="147">
        <f>COUNTIFS('2026 Time Off Request'!$A:$A,'Oct 2026'!$D18,'2026 Time Off Request'!$L:$L,'Oct 2026'!H$6)</f>
        <v>0</v>
      </c>
      <c r="I18" s="147">
        <f>COUNTIFS('2026 Time Off Request'!$A:$A,'Oct 2026'!$D18,'2026 Time Off Request'!$L:$L,'Oct 2026'!I$6)</f>
        <v>0</v>
      </c>
      <c r="J18" s="148">
        <f>COUNTIFS('2026 Time Off Request'!$A:$A,'Oct 2026'!$D18,'2026 Time Off Request'!$L:$L,'Oct 2026'!J$6)</f>
        <v>0</v>
      </c>
      <c r="K18" s="148">
        <f>COUNTIFS('2026 Time Off Request'!$A:$A,'Oct 2026'!$D18,'2026 Time Off Request'!$L:$L,'Oct 2026'!K$6)</f>
        <v>0</v>
      </c>
      <c r="L18" s="148">
        <f>COUNTIFS('2026 Time Off Request'!$A:$A,'Oct 2026'!$D18,'2026 Time Off Request'!$L:$L,'Oct 2026'!L$6)</f>
        <v>0</v>
      </c>
      <c r="M18" s="148">
        <f>COUNTIFS('2026 Time Off Request'!$A:$A,'Oct 2026'!$D18,'2026 Time Off Request'!$L:$L,'Oct 2026'!M$6)</f>
        <v>0</v>
      </c>
      <c r="N18" s="148">
        <f>COUNTIFS('2026 Time Off Request'!$A:$A,'Oct 2026'!$D18,'2026 Time Off Request'!$L:$L,'Oct 2026'!N$6)</f>
        <v>0</v>
      </c>
      <c r="O18" s="147">
        <f>COUNTIFS('2026 Time Off Request'!$A:$A,'Oct 2026'!$D18,'2026 Time Off Request'!$L:$L,'Oct 2026'!O$6)</f>
        <v>0</v>
      </c>
      <c r="P18" s="147">
        <f>COUNTIFS('2026 Time Off Request'!$A:$A,'Oct 2026'!$D18,'2026 Time Off Request'!$L:$L,'Oct 2026'!P$6)</f>
        <v>0</v>
      </c>
      <c r="Q18" s="224">
        <f>COUNTIFS('2026 Time Off Request'!$A:$A,'Oct 2026'!$D18,'2026 Time Off Request'!$L:$L,'Oct 2026'!Q$6)</f>
        <v>0</v>
      </c>
      <c r="R18" s="148">
        <f>COUNTIFS('2026 Time Off Request'!$A:$A,'Oct 2026'!$D18,'2026 Time Off Request'!$L:$L,'Oct 2026'!R$6)</f>
        <v>0</v>
      </c>
      <c r="S18" s="148">
        <f>COUNTIFS('2026 Time Off Request'!$A:$A,'Oct 2026'!$D18,'2026 Time Off Request'!$L:$L,'Oct 2026'!S$6)</f>
        <v>0</v>
      </c>
      <c r="T18" s="148">
        <f>COUNTIFS('2026 Time Off Request'!$A:$A,'Oct 2026'!$D18,'2026 Time Off Request'!$L:$L,'Oct 2026'!T$6)</f>
        <v>0</v>
      </c>
      <c r="U18" s="148">
        <f>COUNTIFS('2026 Time Off Request'!$A:$A,'Oct 2026'!$D18,'2026 Time Off Request'!$L:$L,'Oct 2026'!U$6)</f>
        <v>0</v>
      </c>
      <c r="V18" s="147">
        <f>COUNTIFS('2026 Time Off Request'!$A:$A,'Oct 2026'!$D18,'2026 Time Off Request'!$L:$L,'Oct 2026'!V$6)</f>
        <v>0</v>
      </c>
      <c r="W18" s="147">
        <f>COUNTIFS('2026 Time Off Request'!$A:$A,'Oct 2026'!$D18,'2026 Time Off Request'!$L:$L,'Oct 2026'!W$6)</f>
        <v>0</v>
      </c>
      <c r="X18" s="148">
        <f>COUNTIFS('2026 Time Off Request'!$A:$A,'Oct 2026'!$D18,'2026 Time Off Request'!$L:$L,'Oct 2026'!X$6)</f>
        <v>0</v>
      </c>
      <c r="Y18" s="148">
        <f>COUNTIFS('2026 Time Off Request'!$A:$A,'Oct 2026'!$D18,'2026 Time Off Request'!$L:$L,'Oct 2026'!Y$6)</f>
        <v>0</v>
      </c>
      <c r="Z18" s="148">
        <f>COUNTIFS('2026 Time Off Request'!$A:$A,'Oct 2026'!$D18,'2026 Time Off Request'!$L:$L,'Oct 2026'!Z$6)</f>
        <v>0</v>
      </c>
      <c r="AA18" s="148">
        <f>COUNTIFS('2026 Time Off Request'!$A:$A,'Oct 2026'!$D18,'2026 Time Off Request'!$L:$L,'Oct 2026'!AA$6)</f>
        <v>0</v>
      </c>
      <c r="AB18" s="148">
        <f>COUNTIFS('2026 Time Off Request'!$A:$A,'Oct 2026'!$D18,'2026 Time Off Request'!$L:$L,'Oct 2026'!AB$6)</f>
        <v>0</v>
      </c>
      <c r="AC18" s="147">
        <f>COUNTIFS('2026 Time Off Request'!$A:$A,'Oct 2026'!$D18,'2026 Time Off Request'!$L:$L,'Oct 2026'!AC$6)</f>
        <v>0</v>
      </c>
      <c r="AD18" s="147">
        <f>COUNTIFS('2026 Time Off Request'!$A:$A,'Oct 2026'!$D18,'2026 Time Off Request'!$L:$L,'Oct 2026'!AD$6)</f>
        <v>0</v>
      </c>
      <c r="AE18" s="148">
        <f>COUNTIFS('2026 Time Off Request'!$A:$A,'Oct 2026'!$D18,'2026 Time Off Request'!$L:$L,'Oct 2026'!AE$6)</f>
        <v>0</v>
      </c>
      <c r="AF18" s="148">
        <f>COUNTIFS('2026 Time Off Request'!$A:$A,'Oct 2026'!$D18,'2026 Time Off Request'!$L:$L,'Oct 2026'!AF$6)</f>
        <v>0</v>
      </c>
      <c r="AG18" s="148">
        <f>COUNTIFS('2026 Time Off Request'!$A:$A,'Oct 2026'!$D18,'2026 Time Off Request'!$L:$L,'Oct 2026'!AG$6)</f>
        <v>0</v>
      </c>
      <c r="AH18" s="148">
        <f>COUNTIFS('2026 Time Off Request'!$A:$A,'Oct 2026'!$D18,'2026 Time Off Request'!$L:$L,'Oct 2026'!AH$6)</f>
        <v>0</v>
      </c>
      <c r="AI18" s="148">
        <f>COUNTIFS('2026 Time Off Request'!$A:$A,'Oct 2026'!$D18,'2026 Time Off Request'!$L:$L,'Oct 2026'!AI$6)</f>
        <v>0</v>
      </c>
      <c r="AJ18" s="147">
        <f>COUNTIFS('2026 Time Off Request'!$A:$A,'Oct 2026'!$D18,'2026 Time Off Request'!$L:$L,'Oct 2026'!AJ$6)</f>
        <v>0</v>
      </c>
    </row>
    <row r="19" spans="1:36" ht="15.75">
      <c r="A19" s="2">
        <v>13</v>
      </c>
      <c r="B19" s="209" t="s">
        <v>36</v>
      </c>
      <c r="C19" s="210" t="s">
        <v>37</v>
      </c>
      <c r="D19" s="215" t="s">
        <v>44</v>
      </c>
      <c r="E19" s="212">
        <f t="shared" si="2"/>
        <v>0</v>
      </c>
      <c r="F19" s="223">
        <f>COUNTIFS('2026 Time Off Request'!$A:$A,'Oct 2026'!$D19,'2026 Time Off Request'!$L:$L,'Oct 2026'!F$6)</f>
        <v>0</v>
      </c>
      <c r="G19" s="148">
        <f>COUNTIFS('2026 Time Off Request'!$A:$A,'Oct 2026'!$D19,'2026 Time Off Request'!$L:$L,'Oct 2026'!G$6)</f>
        <v>0</v>
      </c>
      <c r="H19" s="147">
        <f>COUNTIFS('2026 Time Off Request'!$A:$A,'Oct 2026'!$D19,'2026 Time Off Request'!$L:$L,'Oct 2026'!H$6)</f>
        <v>0</v>
      </c>
      <c r="I19" s="147">
        <f>COUNTIFS('2026 Time Off Request'!$A:$A,'Oct 2026'!$D19,'2026 Time Off Request'!$L:$L,'Oct 2026'!I$6)</f>
        <v>0</v>
      </c>
      <c r="J19" s="148">
        <f>COUNTIFS('2026 Time Off Request'!$A:$A,'Oct 2026'!$D19,'2026 Time Off Request'!$L:$L,'Oct 2026'!J$6)</f>
        <v>0</v>
      </c>
      <c r="K19" s="148">
        <f>COUNTIFS('2026 Time Off Request'!$A:$A,'Oct 2026'!$D19,'2026 Time Off Request'!$L:$L,'Oct 2026'!K$6)</f>
        <v>0</v>
      </c>
      <c r="L19" s="148">
        <f>COUNTIFS('2026 Time Off Request'!$A:$A,'Oct 2026'!$D19,'2026 Time Off Request'!$L:$L,'Oct 2026'!L$6)</f>
        <v>0</v>
      </c>
      <c r="M19" s="148">
        <f>COUNTIFS('2026 Time Off Request'!$A:$A,'Oct 2026'!$D19,'2026 Time Off Request'!$L:$L,'Oct 2026'!M$6)</f>
        <v>0</v>
      </c>
      <c r="N19" s="148">
        <f>COUNTIFS('2026 Time Off Request'!$A:$A,'Oct 2026'!$D19,'2026 Time Off Request'!$L:$L,'Oct 2026'!N$6)</f>
        <v>0</v>
      </c>
      <c r="O19" s="147">
        <f>COUNTIFS('2026 Time Off Request'!$A:$A,'Oct 2026'!$D19,'2026 Time Off Request'!$L:$L,'Oct 2026'!O$6)</f>
        <v>0</v>
      </c>
      <c r="P19" s="147">
        <f>COUNTIFS('2026 Time Off Request'!$A:$A,'Oct 2026'!$D19,'2026 Time Off Request'!$L:$L,'Oct 2026'!P$6)</f>
        <v>0</v>
      </c>
      <c r="Q19" s="224">
        <f>COUNTIFS('2026 Time Off Request'!$A:$A,'Oct 2026'!$D19,'2026 Time Off Request'!$L:$L,'Oct 2026'!Q$6)</f>
        <v>0</v>
      </c>
      <c r="R19" s="148">
        <f>COUNTIFS('2026 Time Off Request'!$A:$A,'Oct 2026'!$D19,'2026 Time Off Request'!$L:$L,'Oct 2026'!R$6)</f>
        <v>0</v>
      </c>
      <c r="S19" s="148">
        <f>COUNTIFS('2026 Time Off Request'!$A:$A,'Oct 2026'!$D19,'2026 Time Off Request'!$L:$L,'Oct 2026'!S$6)</f>
        <v>0</v>
      </c>
      <c r="T19" s="148">
        <f>COUNTIFS('2026 Time Off Request'!$A:$A,'Oct 2026'!$D19,'2026 Time Off Request'!$L:$L,'Oct 2026'!T$6)</f>
        <v>0</v>
      </c>
      <c r="U19" s="148">
        <f>COUNTIFS('2026 Time Off Request'!$A:$A,'Oct 2026'!$D19,'2026 Time Off Request'!$L:$L,'Oct 2026'!U$6)</f>
        <v>0</v>
      </c>
      <c r="V19" s="147">
        <f>COUNTIFS('2026 Time Off Request'!$A:$A,'Oct 2026'!$D19,'2026 Time Off Request'!$L:$L,'Oct 2026'!V$6)</f>
        <v>0</v>
      </c>
      <c r="W19" s="147">
        <f>COUNTIFS('2026 Time Off Request'!$A:$A,'Oct 2026'!$D19,'2026 Time Off Request'!$L:$L,'Oct 2026'!W$6)</f>
        <v>0</v>
      </c>
      <c r="X19" s="148">
        <f>COUNTIFS('2026 Time Off Request'!$A:$A,'Oct 2026'!$D19,'2026 Time Off Request'!$L:$L,'Oct 2026'!X$6)</f>
        <v>0</v>
      </c>
      <c r="Y19" s="148">
        <f>COUNTIFS('2026 Time Off Request'!$A:$A,'Oct 2026'!$D19,'2026 Time Off Request'!$L:$L,'Oct 2026'!Y$6)</f>
        <v>0</v>
      </c>
      <c r="Z19" s="148">
        <f>COUNTIFS('2026 Time Off Request'!$A:$A,'Oct 2026'!$D19,'2026 Time Off Request'!$L:$L,'Oct 2026'!Z$6)</f>
        <v>0</v>
      </c>
      <c r="AA19" s="148">
        <f>COUNTIFS('2026 Time Off Request'!$A:$A,'Oct 2026'!$D19,'2026 Time Off Request'!$L:$L,'Oct 2026'!AA$6)</f>
        <v>0</v>
      </c>
      <c r="AB19" s="148">
        <f>COUNTIFS('2026 Time Off Request'!$A:$A,'Oct 2026'!$D19,'2026 Time Off Request'!$L:$L,'Oct 2026'!AB$6)</f>
        <v>0</v>
      </c>
      <c r="AC19" s="147">
        <f>COUNTIFS('2026 Time Off Request'!$A:$A,'Oct 2026'!$D19,'2026 Time Off Request'!$L:$L,'Oct 2026'!AC$6)</f>
        <v>0</v>
      </c>
      <c r="AD19" s="147">
        <f>COUNTIFS('2026 Time Off Request'!$A:$A,'Oct 2026'!$D19,'2026 Time Off Request'!$L:$L,'Oct 2026'!AD$6)</f>
        <v>0</v>
      </c>
      <c r="AE19" s="148">
        <f>COUNTIFS('2026 Time Off Request'!$A:$A,'Oct 2026'!$D19,'2026 Time Off Request'!$L:$L,'Oct 2026'!AE$6)</f>
        <v>0</v>
      </c>
      <c r="AF19" s="148">
        <f>COUNTIFS('2026 Time Off Request'!$A:$A,'Oct 2026'!$D19,'2026 Time Off Request'!$L:$L,'Oct 2026'!AF$6)</f>
        <v>0</v>
      </c>
      <c r="AG19" s="148">
        <f>COUNTIFS('2026 Time Off Request'!$A:$A,'Oct 2026'!$D19,'2026 Time Off Request'!$L:$L,'Oct 2026'!AG$6)</f>
        <v>0</v>
      </c>
      <c r="AH19" s="148">
        <f>COUNTIFS('2026 Time Off Request'!$A:$A,'Oct 2026'!$D19,'2026 Time Off Request'!$L:$L,'Oct 2026'!AH$6)</f>
        <v>0</v>
      </c>
      <c r="AI19" s="148">
        <f>COUNTIFS('2026 Time Off Request'!$A:$A,'Oct 2026'!$D19,'2026 Time Off Request'!$L:$L,'Oct 2026'!AI$6)</f>
        <v>0</v>
      </c>
      <c r="AJ19" s="147">
        <f>COUNTIFS('2026 Time Off Request'!$A:$A,'Oct 2026'!$D19,'2026 Time Off Request'!$L:$L,'Oct 2026'!AJ$6)</f>
        <v>0</v>
      </c>
    </row>
    <row r="20" spans="1:36" ht="15.75">
      <c r="A20" s="2">
        <v>14</v>
      </c>
      <c r="B20" s="209" t="s">
        <v>45</v>
      </c>
      <c r="C20" s="210" t="s">
        <v>37</v>
      </c>
      <c r="D20" s="215" t="s">
        <v>46</v>
      </c>
      <c r="E20" s="212">
        <f t="shared" si="2"/>
        <v>0</v>
      </c>
      <c r="F20" s="223">
        <f>COUNTIFS('2026 Time Off Request'!$A:$A,'Oct 2026'!$D20,'2026 Time Off Request'!$L:$L,'Oct 2026'!F$6)</f>
        <v>0</v>
      </c>
      <c r="G20" s="148">
        <f>COUNTIFS('2026 Time Off Request'!$A:$A,'Oct 2026'!$D20,'2026 Time Off Request'!$L:$L,'Oct 2026'!G$6)</f>
        <v>0</v>
      </c>
      <c r="H20" s="147">
        <f>COUNTIFS('2026 Time Off Request'!$A:$A,'Oct 2026'!$D20,'2026 Time Off Request'!$L:$L,'Oct 2026'!H$6)</f>
        <v>0</v>
      </c>
      <c r="I20" s="147">
        <f>COUNTIFS('2026 Time Off Request'!$A:$A,'Oct 2026'!$D20,'2026 Time Off Request'!$L:$L,'Oct 2026'!I$6)</f>
        <v>0</v>
      </c>
      <c r="J20" s="148">
        <f>COUNTIFS('2026 Time Off Request'!$A:$A,'Oct 2026'!$D20,'2026 Time Off Request'!$L:$L,'Oct 2026'!J$6)</f>
        <v>0</v>
      </c>
      <c r="K20" s="148">
        <f>COUNTIFS('2026 Time Off Request'!$A:$A,'Oct 2026'!$D20,'2026 Time Off Request'!$L:$L,'Oct 2026'!K$6)</f>
        <v>0</v>
      </c>
      <c r="L20" s="148">
        <f>COUNTIFS('2026 Time Off Request'!$A:$A,'Oct 2026'!$D20,'2026 Time Off Request'!$L:$L,'Oct 2026'!L$6)</f>
        <v>0</v>
      </c>
      <c r="M20" s="148">
        <f>COUNTIFS('2026 Time Off Request'!$A:$A,'Oct 2026'!$D20,'2026 Time Off Request'!$L:$L,'Oct 2026'!M$6)</f>
        <v>0</v>
      </c>
      <c r="N20" s="148">
        <f>COUNTIFS('2026 Time Off Request'!$A:$A,'Oct 2026'!$D20,'2026 Time Off Request'!$L:$L,'Oct 2026'!N$6)</f>
        <v>0</v>
      </c>
      <c r="O20" s="147">
        <f>COUNTIFS('2026 Time Off Request'!$A:$A,'Oct 2026'!$D20,'2026 Time Off Request'!$L:$L,'Oct 2026'!O$6)</f>
        <v>0</v>
      </c>
      <c r="P20" s="147">
        <f>COUNTIFS('2026 Time Off Request'!$A:$A,'Oct 2026'!$D20,'2026 Time Off Request'!$L:$L,'Oct 2026'!P$6)</f>
        <v>0</v>
      </c>
      <c r="Q20" s="224">
        <f>COUNTIFS('2026 Time Off Request'!$A:$A,'Oct 2026'!$D20,'2026 Time Off Request'!$L:$L,'Oct 2026'!Q$6)</f>
        <v>0</v>
      </c>
      <c r="R20" s="148">
        <f>COUNTIFS('2026 Time Off Request'!$A:$A,'Oct 2026'!$D20,'2026 Time Off Request'!$L:$L,'Oct 2026'!R$6)</f>
        <v>0</v>
      </c>
      <c r="S20" s="148">
        <f>COUNTIFS('2026 Time Off Request'!$A:$A,'Oct 2026'!$D20,'2026 Time Off Request'!$L:$L,'Oct 2026'!S$6)</f>
        <v>0</v>
      </c>
      <c r="T20" s="148">
        <f>COUNTIFS('2026 Time Off Request'!$A:$A,'Oct 2026'!$D20,'2026 Time Off Request'!$L:$L,'Oct 2026'!T$6)</f>
        <v>0</v>
      </c>
      <c r="U20" s="148">
        <f>COUNTIFS('2026 Time Off Request'!$A:$A,'Oct 2026'!$D20,'2026 Time Off Request'!$L:$L,'Oct 2026'!U$6)</f>
        <v>0</v>
      </c>
      <c r="V20" s="147">
        <f>COUNTIFS('2026 Time Off Request'!$A:$A,'Oct 2026'!$D20,'2026 Time Off Request'!$L:$L,'Oct 2026'!V$6)</f>
        <v>0</v>
      </c>
      <c r="W20" s="147">
        <f>COUNTIFS('2026 Time Off Request'!$A:$A,'Oct 2026'!$D20,'2026 Time Off Request'!$L:$L,'Oct 2026'!W$6)</f>
        <v>0</v>
      </c>
      <c r="X20" s="148">
        <f>COUNTIFS('2026 Time Off Request'!$A:$A,'Oct 2026'!$D20,'2026 Time Off Request'!$L:$L,'Oct 2026'!X$6)</f>
        <v>0</v>
      </c>
      <c r="Y20" s="148">
        <f>COUNTIFS('2026 Time Off Request'!$A:$A,'Oct 2026'!$D20,'2026 Time Off Request'!$L:$L,'Oct 2026'!Y$6)</f>
        <v>0</v>
      </c>
      <c r="Z20" s="148">
        <f>COUNTIFS('2026 Time Off Request'!$A:$A,'Oct 2026'!$D20,'2026 Time Off Request'!$L:$L,'Oct 2026'!Z$6)</f>
        <v>0</v>
      </c>
      <c r="AA20" s="148">
        <f>COUNTIFS('2026 Time Off Request'!$A:$A,'Oct 2026'!$D20,'2026 Time Off Request'!$L:$L,'Oct 2026'!AA$6)</f>
        <v>0</v>
      </c>
      <c r="AB20" s="148">
        <f>COUNTIFS('2026 Time Off Request'!$A:$A,'Oct 2026'!$D20,'2026 Time Off Request'!$L:$L,'Oct 2026'!AB$6)</f>
        <v>0</v>
      </c>
      <c r="AC20" s="147">
        <f>COUNTIFS('2026 Time Off Request'!$A:$A,'Oct 2026'!$D20,'2026 Time Off Request'!$L:$L,'Oct 2026'!AC$6)</f>
        <v>0</v>
      </c>
      <c r="AD20" s="147">
        <f>COUNTIFS('2026 Time Off Request'!$A:$A,'Oct 2026'!$D20,'2026 Time Off Request'!$L:$L,'Oct 2026'!AD$6)</f>
        <v>0</v>
      </c>
      <c r="AE20" s="148">
        <f>COUNTIFS('2026 Time Off Request'!$A:$A,'Oct 2026'!$D20,'2026 Time Off Request'!$L:$L,'Oct 2026'!AE$6)</f>
        <v>0</v>
      </c>
      <c r="AF20" s="148">
        <f>COUNTIFS('2026 Time Off Request'!$A:$A,'Oct 2026'!$D20,'2026 Time Off Request'!$L:$L,'Oct 2026'!AF$6)</f>
        <v>0</v>
      </c>
      <c r="AG20" s="148">
        <f>COUNTIFS('2026 Time Off Request'!$A:$A,'Oct 2026'!$D20,'2026 Time Off Request'!$L:$L,'Oct 2026'!AG$6)</f>
        <v>0</v>
      </c>
      <c r="AH20" s="148">
        <f>COUNTIFS('2026 Time Off Request'!$A:$A,'Oct 2026'!$D20,'2026 Time Off Request'!$L:$L,'Oct 2026'!AH$6)</f>
        <v>0</v>
      </c>
      <c r="AI20" s="148">
        <f>COUNTIFS('2026 Time Off Request'!$A:$A,'Oct 2026'!$D20,'2026 Time Off Request'!$L:$L,'Oct 2026'!AI$6)</f>
        <v>0</v>
      </c>
      <c r="AJ20" s="147">
        <f>COUNTIFS('2026 Time Off Request'!$A:$A,'Oct 2026'!$D20,'2026 Time Off Request'!$L:$L,'Oct 2026'!AJ$6)</f>
        <v>0</v>
      </c>
    </row>
    <row r="21" spans="1:36" ht="15.75">
      <c r="A21" s="2">
        <v>15</v>
      </c>
      <c r="B21" s="209" t="s">
        <v>45</v>
      </c>
      <c r="C21" s="210" t="s">
        <v>47</v>
      </c>
      <c r="D21" s="215" t="s">
        <v>48</v>
      </c>
      <c r="E21" s="212">
        <f t="shared" si="2"/>
        <v>0</v>
      </c>
      <c r="F21" s="223">
        <f>COUNTIFS('2026 Time Off Request'!$A:$A,'Oct 2026'!$D21,'2026 Time Off Request'!$L:$L,'Oct 2026'!F$6)</f>
        <v>0</v>
      </c>
      <c r="G21" s="148">
        <f>COUNTIFS('2026 Time Off Request'!$A:$A,'Oct 2026'!$D21,'2026 Time Off Request'!$L:$L,'Oct 2026'!G$6)</f>
        <v>0</v>
      </c>
      <c r="H21" s="147">
        <f>COUNTIFS('2026 Time Off Request'!$A:$A,'Oct 2026'!$D21,'2026 Time Off Request'!$L:$L,'Oct 2026'!H$6)</f>
        <v>0</v>
      </c>
      <c r="I21" s="147">
        <f>COUNTIFS('2026 Time Off Request'!$A:$A,'Oct 2026'!$D21,'2026 Time Off Request'!$L:$L,'Oct 2026'!I$6)</f>
        <v>0</v>
      </c>
      <c r="J21" s="148">
        <f>COUNTIFS('2026 Time Off Request'!$A:$A,'Oct 2026'!$D21,'2026 Time Off Request'!$L:$L,'Oct 2026'!J$6)</f>
        <v>0</v>
      </c>
      <c r="K21" s="148">
        <f>COUNTIFS('2026 Time Off Request'!$A:$A,'Oct 2026'!$D21,'2026 Time Off Request'!$L:$L,'Oct 2026'!K$6)</f>
        <v>0</v>
      </c>
      <c r="L21" s="148">
        <f>COUNTIFS('2026 Time Off Request'!$A:$A,'Oct 2026'!$D21,'2026 Time Off Request'!$L:$L,'Oct 2026'!L$6)</f>
        <v>0</v>
      </c>
      <c r="M21" s="148">
        <f>COUNTIFS('2026 Time Off Request'!$A:$A,'Oct 2026'!$D21,'2026 Time Off Request'!$L:$L,'Oct 2026'!M$6)</f>
        <v>0</v>
      </c>
      <c r="N21" s="148">
        <f>COUNTIFS('2026 Time Off Request'!$A:$A,'Oct 2026'!$D21,'2026 Time Off Request'!$L:$L,'Oct 2026'!N$6)</f>
        <v>0</v>
      </c>
      <c r="O21" s="147">
        <f>COUNTIFS('2026 Time Off Request'!$A:$A,'Oct 2026'!$D21,'2026 Time Off Request'!$L:$L,'Oct 2026'!O$6)</f>
        <v>0</v>
      </c>
      <c r="P21" s="147">
        <f>COUNTIFS('2026 Time Off Request'!$A:$A,'Oct 2026'!$D21,'2026 Time Off Request'!$L:$L,'Oct 2026'!P$6)</f>
        <v>0</v>
      </c>
      <c r="Q21" s="224">
        <f>COUNTIFS('2026 Time Off Request'!$A:$A,'Oct 2026'!$D21,'2026 Time Off Request'!$L:$L,'Oct 2026'!Q$6)</f>
        <v>0</v>
      </c>
      <c r="R21" s="148">
        <f>COUNTIFS('2026 Time Off Request'!$A:$A,'Oct 2026'!$D21,'2026 Time Off Request'!$L:$L,'Oct 2026'!R$6)</f>
        <v>0</v>
      </c>
      <c r="S21" s="148">
        <f>COUNTIFS('2026 Time Off Request'!$A:$A,'Oct 2026'!$D21,'2026 Time Off Request'!$L:$L,'Oct 2026'!S$6)</f>
        <v>0</v>
      </c>
      <c r="T21" s="148">
        <f>COUNTIFS('2026 Time Off Request'!$A:$A,'Oct 2026'!$D21,'2026 Time Off Request'!$L:$L,'Oct 2026'!T$6)</f>
        <v>0</v>
      </c>
      <c r="U21" s="148">
        <f>COUNTIFS('2026 Time Off Request'!$A:$A,'Oct 2026'!$D21,'2026 Time Off Request'!$L:$L,'Oct 2026'!U$6)</f>
        <v>0</v>
      </c>
      <c r="V21" s="147">
        <f>COUNTIFS('2026 Time Off Request'!$A:$A,'Oct 2026'!$D21,'2026 Time Off Request'!$L:$L,'Oct 2026'!V$6)</f>
        <v>0</v>
      </c>
      <c r="W21" s="147">
        <f>COUNTIFS('2026 Time Off Request'!$A:$A,'Oct 2026'!$D21,'2026 Time Off Request'!$L:$L,'Oct 2026'!W$6)</f>
        <v>0</v>
      </c>
      <c r="X21" s="148">
        <f>COUNTIFS('2026 Time Off Request'!$A:$A,'Oct 2026'!$D21,'2026 Time Off Request'!$L:$L,'Oct 2026'!X$6)</f>
        <v>0</v>
      </c>
      <c r="Y21" s="148">
        <f>COUNTIFS('2026 Time Off Request'!$A:$A,'Oct 2026'!$D21,'2026 Time Off Request'!$L:$L,'Oct 2026'!Y$6)</f>
        <v>0</v>
      </c>
      <c r="Z21" s="148">
        <f>COUNTIFS('2026 Time Off Request'!$A:$A,'Oct 2026'!$D21,'2026 Time Off Request'!$L:$L,'Oct 2026'!Z$6)</f>
        <v>0</v>
      </c>
      <c r="AA21" s="148">
        <f>COUNTIFS('2026 Time Off Request'!$A:$A,'Oct 2026'!$D21,'2026 Time Off Request'!$L:$L,'Oct 2026'!AA$6)</f>
        <v>0</v>
      </c>
      <c r="AB21" s="148">
        <f>COUNTIFS('2026 Time Off Request'!$A:$A,'Oct 2026'!$D21,'2026 Time Off Request'!$L:$L,'Oct 2026'!AB$6)</f>
        <v>0</v>
      </c>
      <c r="AC21" s="147">
        <f>COUNTIFS('2026 Time Off Request'!$A:$A,'Oct 2026'!$D21,'2026 Time Off Request'!$L:$L,'Oct 2026'!AC$6)</f>
        <v>0</v>
      </c>
      <c r="AD21" s="147">
        <f>COUNTIFS('2026 Time Off Request'!$A:$A,'Oct 2026'!$D21,'2026 Time Off Request'!$L:$L,'Oct 2026'!AD$6)</f>
        <v>0</v>
      </c>
      <c r="AE21" s="148">
        <f>COUNTIFS('2026 Time Off Request'!$A:$A,'Oct 2026'!$D21,'2026 Time Off Request'!$L:$L,'Oct 2026'!AE$6)</f>
        <v>0</v>
      </c>
      <c r="AF21" s="148">
        <f>COUNTIFS('2026 Time Off Request'!$A:$A,'Oct 2026'!$D21,'2026 Time Off Request'!$L:$L,'Oct 2026'!AF$6)</f>
        <v>0</v>
      </c>
      <c r="AG21" s="148">
        <f>COUNTIFS('2026 Time Off Request'!$A:$A,'Oct 2026'!$D21,'2026 Time Off Request'!$L:$L,'Oct 2026'!AG$6)</f>
        <v>0</v>
      </c>
      <c r="AH21" s="148">
        <f>COUNTIFS('2026 Time Off Request'!$A:$A,'Oct 2026'!$D21,'2026 Time Off Request'!$L:$L,'Oct 2026'!AH$6)</f>
        <v>0</v>
      </c>
      <c r="AI21" s="148">
        <f>COUNTIFS('2026 Time Off Request'!$A:$A,'Oct 2026'!$D21,'2026 Time Off Request'!$L:$L,'Oct 2026'!AI$6)</f>
        <v>0</v>
      </c>
      <c r="AJ21" s="147">
        <f>COUNTIFS('2026 Time Off Request'!$A:$A,'Oct 2026'!$D21,'2026 Time Off Request'!$L:$L,'Oct 2026'!AJ$6)</f>
        <v>0</v>
      </c>
    </row>
    <row r="22" spans="1:36" ht="15.75">
      <c r="A22" s="2">
        <v>16</v>
      </c>
      <c r="B22" s="209" t="s">
        <v>49</v>
      </c>
      <c r="C22" s="210" t="s">
        <v>50</v>
      </c>
      <c r="D22" s="215" t="s">
        <v>51</v>
      </c>
      <c r="E22" s="212">
        <f t="shared" si="2"/>
        <v>0</v>
      </c>
      <c r="F22" s="223">
        <f>COUNTIFS('2026 Time Off Request'!$A:$A,'Oct 2026'!$D22,'2026 Time Off Request'!$L:$L,'Oct 2026'!F$6)</f>
        <v>0</v>
      </c>
      <c r="G22" s="148">
        <f>COUNTIFS('2026 Time Off Request'!$A:$A,'Oct 2026'!$D22,'2026 Time Off Request'!$L:$L,'Oct 2026'!G$6)</f>
        <v>0</v>
      </c>
      <c r="H22" s="147">
        <f>COUNTIFS('2026 Time Off Request'!$A:$A,'Oct 2026'!$D22,'2026 Time Off Request'!$L:$L,'Oct 2026'!H$6)</f>
        <v>0</v>
      </c>
      <c r="I22" s="147">
        <f>COUNTIFS('2026 Time Off Request'!$A:$A,'Oct 2026'!$D22,'2026 Time Off Request'!$L:$L,'Oct 2026'!I$6)</f>
        <v>0</v>
      </c>
      <c r="J22" s="148">
        <f>COUNTIFS('2026 Time Off Request'!$A:$A,'Oct 2026'!$D22,'2026 Time Off Request'!$L:$L,'Oct 2026'!J$6)</f>
        <v>0</v>
      </c>
      <c r="K22" s="148">
        <f>COUNTIFS('2026 Time Off Request'!$A:$A,'Oct 2026'!$D22,'2026 Time Off Request'!$L:$L,'Oct 2026'!K$6)</f>
        <v>0</v>
      </c>
      <c r="L22" s="148">
        <f>COUNTIFS('2026 Time Off Request'!$A:$A,'Oct 2026'!$D22,'2026 Time Off Request'!$L:$L,'Oct 2026'!L$6)</f>
        <v>0</v>
      </c>
      <c r="M22" s="148">
        <f>COUNTIFS('2026 Time Off Request'!$A:$A,'Oct 2026'!$D22,'2026 Time Off Request'!$L:$L,'Oct 2026'!M$6)</f>
        <v>0</v>
      </c>
      <c r="N22" s="148">
        <f>COUNTIFS('2026 Time Off Request'!$A:$A,'Oct 2026'!$D22,'2026 Time Off Request'!$L:$L,'Oct 2026'!N$6)</f>
        <v>0</v>
      </c>
      <c r="O22" s="147">
        <f>COUNTIFS('2026 Time Off Request'!$A:$A,'Oct 2026'!$D22,'2026 Time Off Request'!$L:$L,'Oct 2026'!O$6)</f>
        <v>0</v>
      </c>
      <c r="P22" s="147">
        <f>COUNTIFS('2026 Time Off Request'!$A:$A,'Oct 2026'!$D22,'2026 Time Off Request'!$L:$L,'Oct 2026'!P$6)</f>
        <v>0</v>
      </c>
      <c r="Q22" s="224">
        <f>COUNTIFS('2026 Time Off Request'!$A:$A,'Oct 2026'!$D22,'2026 Time Off Request'!$L:$L,'Oct 2026'!Q$6)</f>
        <v>0</v>
      </c>
      <c r="R22" s="148">
        <f>COUNTIFS('2026 Time Off Request'!$A:$A,'Oct 2026'!$D22,'2026 Time Off Request'!$L:$L,'Oct 2026'!R$6)</f>
        <v>0</v>
      </c>
      <c r="S22" s="148">
        <f>COUNTIFS('2026 Time Off Request'!$A:$A,'Oct 2026'!$D22,'2026 Time Off Request'!$L:$L,'Oct 2026'!S$6)</f>
        <v>0</v>
      </c>
      <c r="T22" s="148">
        <f>COUNTIFS('2026 Time Off Request'!$A:$A,'Oct 2026'!$D22,'2026 Time Off Request'!$L:$L,'Oct 2026'!T$6)</f>
        <v>0</v>
      </c>
      <c r="U22" s="148">
        <f>COUNTIFS('2026 Time Off Request'!$A:$A,'Oct 2026'!$D22,'2026 Time Off Request'!$L:$L,'Oct 2026'!U$6)</f>
        <v>0</v>
      </c>
      <c r="V22" s="147">
        <f>COUNTIFS('2026 Time Off Request'!$A:$A,'Oct 2026'!$D22,'2026 Time Off Request'!$L:$L,'Oct 2026'!V$6)</f>
        <v>0</v>
      </c>
      <c r="W22" s="147">
        <f>COUNTIFS('2026 Time Off Request'!$A:$A,'Oct 2026'!$D22,'2026 Time Off Request'!$L:$L,'Oct 2026'!W$6)</f>
        <v>0</v>
      </c>
      <c r="X22" s="148">
        <f>COUNTIFS('2026 Time Off Request'!$A:$A,'Oct 2026'!$D22,'2026 Time Off Request'!$L:$L,'Oct 2026'!X$6)</f>
        <v>0</v>
      </c>
      <c r="Y22" s="148">
        <f>COUNTIFS('2026 Time Off Request'!$A:$A,'Oct 2026'!$D22,'2026 Time Off Request'!$L:$L,'Oct 2026'!Y$6)</f>
        <v>0</v>
      </c>
      <c r="Z22" s="148">
        <f>COUNTIFS('2026 Time Off Request'!$A:$A,'Oct 2026'!$D22,'2026 Time Off Request'!$L:$L,'Oct 2026'!Z$6)</f>
        <v>0</v>
      </c>
      <c r="AA22" s="148">
        <f>COUNTIFS('2026 Time Off Request'!$A:$A,'Oct 2026'!$D22,'2026 Time Off Request'!$L:$L,'Oct 2026'!AA$6)</f>
        <v>0</v>
      </c>
      <c r="AB22" s="148">
        <f>COUNTIFS('2026 Time Off Request'!$A:$A,'Oct 2026'!$D22,'2026 Time Off Request'!$L:$L,'Oct 2026'!AB$6)</f>
        <v>0</v>
      </c>
      <c r="AC22" s="147">
        <f>COUNTIFS('2026 Time Off Request'!$A:$A,'Oct 2026'!$D22,'2026 Time Off Request'!$L:$L,'Oct 2026'!AC$6)</f>
        <v>0</v>
      </c>
      <c r="AD22" s="147">
        <f>COUNTIFS('2026 Time Off Request'!$A:$A,'Oct 2026'!$D22,'2026 Time Off Request'!$L:$L,'Oct 2026'!AD$6)</f>
        <v>0</v>
      </c>
      <c r="AE22" s="148">
        <f>COUNTIFS('2026 Time Off Request'!$A:$A,'Oct 2026'!$D22,'2026 Time Off Request'!$L:$L,'Oct 2026'!AE$6)</f>
        <v>0</v>
      </c>
      <c r="AF22" s="148">
        <f>COUNTIFS('2026 Time Off Request'!$A:$A,'Oct 2026'!$D22,'2026 Time Off Request'!$L:$L,'Oct 2026'!AF$6)</f>
        <v>0</v>
      </c>
      <c r="AG22" s="148">
        <f>COUNTIFS('2026 Time Off Request'!$A:$A,'Oct 2026'!$D22,'2026 Time Off Request'!$L:$L,'Oct 2026'!AG$6)</f>
        <v>0</v>
      </c>
      <c r="AH22" s="148">
        <f>COUNTIFS('2026 Time Off Request'!$A:$A,'Oct 2026'!$D22,'2026 Time Off Request'!$L:$L,'Oct 2026'!AH$6)</f>
        <v>0</v>
      </c>
      <c r="AI22" s="148">
        <f>COUNTIFS('2026 Time Off Request'!$A:$A,'Oct 2026'!$D22,'2026 Time Off Request'!$L:$L,'Oct 2026'!AI$6)</f>
        <v>0</v>
      </c>
      <c r="AJ22" s="147">
        <f>COUNTIFS('2026 Time Off Request'!$A:$A,'Oct 2026'!$D22,'2026 Time Off Request'!$L:$L,'Oct 2026'!AJ$6)</f>
        <v>0</v>
      </c>
    </row>
    <row r="23" spans="1:36" ht="15.75">
      <c r="A23" s="2">
        <v>17</v>
      </c>
      <c r="B23" s="209" t="s">
        <v>45</v>
      </c>
      <c r="C23" s="210" t="s">
        <v>52</v>
      </c>
      <c r="D23" s="215" t="s">
        <v>53</v>
      </c>
      <c r="E23" s="212">
        <f t="shared" si="2"/>
        <v>0</v>
      </c>
      <c r="F23" s="223">
        <f>COUNTIFS('2026 Time Off Request'!$A:$A,'Oct 2026'!$D23,'2026 Time Off Request'!$L:$L,'Oct 2026'!F$6)</f>
        <v>0</v>
      </c>
      <c r="G23" s="148">
        <f>COUNTIFS('2026 Time Off Request'!$A:$A,'Oct 2026'!$D23,'2026 Time Off Request'!$L:$L,'Oct 2026'!G$6)</f>
        <v>0</v>
      </c>
      <c r="H23" s="147">
        <f>COUNTIFS('2026 Time Off Request'!$A:$A,'Oct 2026'!$D23,'2026 Time Off Request'!$L:$L,'Oct 2026'!H$6)</f>
        <v>0</v>
      </c>
      <c r="I23" s="147">
        <f>COUNTIFS('2026 Time Off Request'!$A:$A,'Oct 2026'!$D23,'2026 Time Off Request'!$L:$L,'Oct 2026'!I$6)</f>
        <v>0</v>
      </c>
      <c r="J23" s="148">
        <f>COUNTIFS('2026 Time Off Request'!$A:$A,'Oct 2026'!$D23,'2026 Time Off Request'!$L:$L,'Oct 2026'!J$6)</f>
        <v>0</v>
      </c>
      <c r="K23" s="148">
        <f>COUNTIFS('2026 Time Off Request'!$A:$A,'Oct 2026'!$D23,'2026 Time Off Request'!$L:$L,'Oct 2026'!K$6)</f>
        <v>0</v>
      </c>
      <c r="L23" s="148">
        <f>COUNTIFS('2026 Time Off Request'!$A:$A,'Oct 2026'!$D23,'2026 Time Off Request'!$L:$L,'Oct 2026'!L$6)</f>
        <v>0</v>
      </c>
      <c r="M23" s="148">
        <f>COUNTIFS('2026 Time Off Request'!$A:$A,'Oct 2026'!$D23,'2026 Time Off Request'!$L:$L,'Oct 2026'!M$6)</f>
        <v>0</v>
      </c>
      <c r="N23" s="148">
        <f>COUNTIFS('2026 Time Off Request'!$A:$A,'Oct 2026'!$D23,'2026 Time Off Request'!$L:$L,'Oct 2026'!N$6)</f>
        <v>0</v>
      </c>
      <c r="O23" s="147">
        <f>COUNTIFS('2026 Time Off Request'!$A:$A,'Oct 2026'!$D23,'2026 Time Off Request'!$L:$L,'Oct 2026'!O$6)</f>
        <v>0</v>
      </c>
      <c r="P23" s="147">
        <f>COUNTIFS('2026 Time Off Request'!$A:$A,'Oct 2026'!$D23,'2026 Time Off Request'!$L:$L,'Oct 2026'!P$6)</f>
        <v>0</v>
      </c>
      <c r="Q23" s="224">
        <f>COUNTIFS('2026 Time Off Request'!$A:$A,'Oct 2026'!$D23,'2026 Time Off Request'!$L:$L,'Oct 2026'!Q$6)</f>
        <v>0</v>
      </c>
      <c r="R23" s="148">
        <f>COUNTIFS('2026 Time Off Request'!$A:$A,'Oct 2026'!$D23,'2026 Time Off Request'!$L:$L,'Oct 2026'!R$6)</f>
        <v>0</v>
      </c>
      <c r="S23" s="148">
        <f>COUNTIFS('2026 Time Off Request'!$A:$A,'Oct 2026'!$D23,'2026 Time Off Request'!$L:$L,'Oct 2026'!S$6)</f>
        <v>0</v>
      </c>
      <c r="T23" s="148">
        <f>COUNTIFS('2026 Time Off Request'!$A:$A,'Oct 2026'!$D23,'2026 Time Off Request'!$L:$L,'Oct 2026'!T$6)</f>
        <v>0</v>
      </c>
      <c r="U23" s="148">
        <f>COUNTIFS('2026 Time Off Request'!$A:$A,'Oct 2026'!$D23,'2026 Time Off Request'!$L:$L,'Oct 2026'!U$6)</f>
        <v>0</v>
      </c>
      <c r="V23" s="147">
        <f>COUNTIFS('2026 Time Off Request'!$A:$A,'Oct 2026'!$D23,'2026 Time Off Request'!$L:$L,'Oct 2026'!V$6)</f>
        <v>0</v>
      </c>
      <c r="W23" s="147">
        <f>COUNTIFS('2026 Time Off Request'!$A:$A,'Oct 2026'!$D23,'2026 Time Off Request'!$L:$L,'Oct 2026'!W$6)</f>
        <v>0</v>
      </c>
      <c r="X23" s="148">
        <f>COUNTIFS('2026 Time Off Request'!$A:$A,'Oct 2026'!$D23,'2026 Time Off Request'!$L:$L,'Oct 2026'!X$6)</f>
        <v>0</v>
      </c>
      <c r="Y23" s="148">
        <f>COUNTIFS('2026 Time Off Request'!$A:$A,'Oct 2026'!$D23,'2026 Time Off Request'!$L:$L,'Oct 2026'!Y$6)</f>
        <v>0</v>
      </c>
      <c r="Z23" s="148">
        <f>COUNTIFS('2026 Time Off Request'!$A:$A,'Oct 2026'!$D23,'2026 Time Off Request'!$L:$L,'Oct 2026'!Z$6)</f>
        <v>0</v>
      </c>
      <c r="AA23" s="148">
        <f>COUNTIFS('2026 Time Off Request'!$A:$A,'Oct 2026'!$D23,'2026 Time Off Request'!$L:$L,'Oct 2026'!AA$6)</f>
        <v>0</v>
      </c>
      <c r="AB23" s="148">
        <f>COUNTIFS('2026 Time Off Request'!$A:$A,'Oct 2026'!$D23,'2026 Time Off Request'!$L:$L,'Oct 2026'!AB$6)</f>
        <v>0</v>
      </c>
      <c r="AC23" s="147">
        <f>COUNTIFS('2026 Time Off Request'!$A:$A,'Oct 2026'!$D23,'2026 Time Off Request'!$L:$L,'Oct 2026'!AC$6)</f>
        <v>0</v>
      </c>
      <c r="AD23" s="147">
        <f>COUNTIFS('2026 Time Off Request'!$A:$A,'Oct 2026'!$D23,'2026 Time Off Request'!$L:$L,'Oct 2026'!AD$6)</f>
        <v>0</v>
      </c>
      <c r="AE23" s="148">
        <f>COUNTIFS('2026 Time Off Request'!$A:$A,'Oct 2026'!$D23,'2026 Time Off Request'!$L:$L,'Oct 2026'!AE$6)</f>
        <v>0</v>
      </c>
      <c r="AF23" s="148">
        <f>COUNTIFS('2026 Time Off Request'!$A:$A,'Oct 2026'!$D23,'2026 Time Off Request'!$L:$L,'Oct 2026'!AF$6)</f>
        <v>0</v>
      </c>
      <c r="AG23" s="148">
        <f>COUNTIFS('2026 Time Off Request'!$A:$A,'Oct 2026'!$D23,'2026 Time Off Request'!$L:$L,'Oct 2026'!AG$6)</f>
        <v>0</v>
      </c>
      <c r="AH23" s="148">
        <f>COUNTIFS('2026 Time Off Request'!$A:$A,'Oct 2026'!$D23,'2026 Time Off Request'!$L:$L,'Oct 2026'!AH$6)</f>
        <v>0</v>
      </c>
      <c r="AI23" s="148">
        <f>COUNTIFS('2026 Time Off Request'!$A:$A,'Oct 2026'!$D23,'2026 Time Off Request'!$L:$L,'Oct 2026'!AI$6)</f>
        <v>0</v>
      </c>
      <c r="AJ23" s="147">
        <f>COUNTIFS('2026 Time Off Request'!$A:$A,'Oct 2026'!$D23,'2026 Time Off Request'!$L:$L,'Oct 2026'!AJ$6)</f>
        <v>0</v>
      </c>
    </row>
    <row r="24" spans="1:36" ht="15.75">
      <c r="A24" s="2"/>
      <c r="B24" s="209" t="s">
        <v>45</v>
      </c>
      <c r="C24" s="210" t="s">
        <v>52</v>
      </c>
      <c r="D24" s="215" t="s">
        <v>54</v>
      </c>
      <c r="E24" s="212">
        <f t="shared" ref="E24:E29" si="3">SUM(F24:AI24)</f>
        <v>0</v>
      </c>
      <c r="F24" s="223">
        <f>COUNTIFS('2026 Time Off Request'!$A:$A,'Oct 2026'!$D24,'2026 Time Off Request'!$L:$L,'Oct 2026'!F$6)</f>
        <v>0</v>
      </c>
      <c r="G24" s="148">
        <f>COUNTIFS('2026 Time Off Request'!$A:$A,'Oct 2026'!$D24,'2026 Time Off Request'!$L:$L,'Oct 2026'!G$6)</f>
        <v>0</v>
      </c>
      <c r="H24" s="147">
        <f>COUNTIFS('2026 Time Off Request'!$A:$A,'Oct 2026'!$D24,'2026 Time Off Request'!$L:$L,'Oct 2026'!H$6)</f>
        <v>0</v>
      </c>
      <c r="I24" s="147">
        <f>COUNTIFS('2026 Time Off Request'!$A:$A,'Oct 2026'!$D24,'2026 Time Off Request'!$L:$L,'Oct 2026'!I$6)</f>
        <v>0</v>
      </c>
      <c r="J24" s="148">
        <f>COUNTIFS('2026 Time Off Request'!$A:$A,'Oct 2026'!$D24,'2026 Time Off Request'!$L:$L,'Oct 2026'!J$6)</f>
        <v>0</v>
      </c>
      <c r="K24" s="148">
        <f>COUNTIFS('2026 Time Off Request'!$A:$A,'Oct 2026'!$D24,'2026 Time Off Request'!$L:$L,'Oct 2026'!K$6)</f>
        <v>0</v>
      </c>
      <c r="L24" s="148">
        <f>COUNTIFS('2026 Time Off Request'!$A:$A,'Oct 2026'!$D24,'2026 Time Off Request'!$L:$L,'Oct 2026'!L$6)</f>
        <v>0</v>
      </c>
      <c r="M24" s="148">
        <f>COUNTIFS('2026 Time Off Request'!$A:$A,'Oct 2026'!$D24,'2026 Time Off Request'!$L:$L,'Oct 2026'!M$6)</f>
        <v>0</v>
      </c>
      <c r="N24" s="148">
        <f>COUNTIFS('2026 Time Off Request'!$A:$A,'Oct 2026'!$D24,'2026 Time Off Request'!$L:$L,'Oct 2026'!N$6)</f>
        <v>0</v>
      </c>
      <c r="O24" s="147">
        <f>COUNTIFS('2026 Time Off Request'!$A:$A,'Oct 2026'!$D24,'2026 Time Off Request'!$L:$L,'Oct 2026'!O$6)</f>
        <v>0</v>
      </c>
      <c r="P24" s="147">
        <f>COUNTIFS('2026 Time Off Request'!$A:$A,'Oct 2026'!$D24,'2026 Time Off Request'!$L:$L,'Oct 2026'!P$6)</f>
        <v>0</v>
      </c>
      <c r="Q24" s="224">
        <f>COUNTIFS('2026 Time Off Request'!$A:$A,'Oct 2026'!$D24,'2026 Time Off Request'!$L:$L,'Oct 2026'!Q$6)</f>
        <v>0</v>
      </c>
      <c r="R24" s="148">
        <f>COUNTIFS('2026 Time Off Request'!$A:$A,'Oct 2026'!$D24,'2026 Time Off Request'!$L:$L,'Oct 2026'!R$6)</f>
        <v>0</v>
      </c>
      <c r="S24" s="148">
        <f>COUNTIFS('2026 Time Off Request'!$A:$A,'Oct 2026'!$D24,'2026 Time Off Request'!$L:$L,'Oct 2026'!S$6)</f>
        <v>0</v>
      </c>
      <c r="T24" s="148">
        <f>COUNTIFS('2026 Time Off Request'!$A:$A,'Oct 2026'!$D24,'2026 Time Off Request'!$L:$L,'Oct 2026'!T$6)</f>
        <v>0</v>
      </c>
      <c r="U24" s="148">
        <f>COUNTIFS('2026 Time Off Request'!$A:$A,'Oct 2026'!$D24,'2026 Time Off Request'!$L:$L,'Oct 2026'!U$6)</f>
        <v>0</v>
      </c>
      <c r="V24" s="147">
        <f>COUNTIFS('2026 Time Off Request'!$A:$A,'Oct 2026'!$D24,'2026 Time Off Request'!$L:$L,'Oct 2026'!V$6)</f>
        <v>0</v>
      </c>
      <c r="W24" s="147">
        <f>COUNTIFS('2026 Time Off Request'!$A:$A,'Oct 2026'!$D24,'2026 Time Off Request'!$L:$L,'Oct 2026'!W$6)</f>
        <v>0</v>
      </c>
      <c r="X24" s="148">
        <f>COUNTIFS('2026 Time Off Request'!$A:$A,'Oct 2026'!$D24,'2026 Time Off Request'!$L:$L,'Oct 2026'!X$6)</f>
        <v>0</v>
      </c>
      <c r="Y24" s="148">
        <f>COUNTIFS('2026 Time Off Request'!$A:$A,'Oct 2026'!$D24,'2026 Time Off Request'!$L:$L,'Oct 2026'!Y$6)</f>
        <v>0</v>
      </c>
      <c r="Z24" s="148">
        <f>COUNTIFS('2026 Time Off Request'!$A:$A,'Oct 2026'!$D24,'2026 Time Off Request'!$L:$L,'Oct 2026'!Z$6)</f>
        <v>0</v>
      </c>
      <c r="AA24" s="148">
        <f>COUNTIFS('2026 Time Off Request'!$A:$A,'Oct 2026'!$D24,'2026 Time Off Request'!$L:$L,'Oct 2026'!AA$6)</f>
        <v>0</v>
      </c>
      <c r="AB24" s="148">
        <f>COUNTIFS('2026 Time Off Request'!$A:$A,'Oct 2026'!$D24,'2026 Time Off Request'!$L:$L,'Oct 2026'!AB$6)</f>
        <v>0</v>
      </c>
      <c r="AC24" s="147">
        <f>COUNTIFS('2026 Time Off Request'!$A:$A,'Oct 2026'!$D24,'2026 Time Off Request'!$L:$L,'Oct 2026'!AC$6)</f>
        <v>0</v>
      </c>
      <c r="AD24" s="147">
        <f>COUNTIFS('2026 Time Off Request'!$A:$A,'Oct 2026'!$D24,'2026 Time Off Request'!$L:$L,'Oct 2026'!AD$6)</f>
        <v>0</v>
      </c>
      <c r="AE24" s="148">
        <f>COUNTIFS('2026 Time Off Request'!$A:$A,'Oct 2026'!$D24,'2026 Time Off Request'!$L:$L,'Oct 2026'!AE$6)</f>
        <v>0</v>
      </c>
      <c r="AF24" s="148">
        <f>COUNTIFS('2026 Time Off Request'!$A:$A,'Oct 2026'!$D24,'2026 Time Off Request'!$L:$L,'Oct 2026'!AF$6)</f>
        <v>0</v>
      </c>
      <c r="AG24" s="148">
        <f>COUNTIFS('2026 Time Off Request'!$A:$A,'Oct 2026'!$D24,'2026 Time Off Request'!$L:$L,'Oct 2026'!AG$6)</f>
        <v>0</v>
      </c>
      <c r="AH24" s="148">
        <f>COUNTIFS('2026 Time Off Request'!$A:$A,'Oct 2026'!$D24,'2026 Time Off Request'!$L:$L,'Oct 2026'!AH$6)</f>
        <v>0</v>
      </c>
      <c r="AI24" s="148">
        <f>COUNTIFS('2026 Time Off Request'!$A:$A,'Oct 2026'!$D24,'2026 Time Off Request'!$L:$L,'Oct 2026'!AI$6)</f>
        <v>0</v>
      </c>
      <c r="AJ24" s="147">
        <f>COUNTIFS('2026 Time Off Request'!$A:$A,'Oct 2026'!$D24,'2026 Time Off Request'!$L:$L,'Oct 2026'!AJ$6)</f>
        <v>0</v>
      </c>
    </row>
    <row r="25" spans="1:36" ht="15.75">
      <c r="A25" s="2">
        <v>18</v>
      </c>
      <c r="B25" s="209" t="s">
        <v>45</v>
      </c>
      <c r="C25" s="210" t="s">
        <v>55</v>
      </c>
      <c r="D25" s="215" t="s">
        <v>56</v>
      </c>
      <c r="E25" s="212">
        <f t="shared" si="3"/>
        <v>0</v>
      </c>
      <c r="F25" s="223">
        <f>COUNTIFS('2026 Time Off Request'!$A:$A,'Oct 2026'!$D25,'2026 Time Off Request'!$L:$L,'Oct 2026'!F$6)</f>
        <v>0</v>
      </c>
      <c r="G25" s="148">
        <f>COUNTIFS('2026 Time Off Request'!$A:$A,'Oct 2026'!$D25,'2026 Time Off Request'!$L:$L,'Oct 2026'!G$6)</f>
        <v>0</v>
      </c>
      <c r="H25" s="147">
        <f>COUNTIFS('2026 Time Off Request'!$A:$A,'Oct 2026'!$D25,'2026 Time Off Request'!$L:$L,'Oct 2026'!H$6)</f>
        <v>0</v>
      </c>
      <c r="I25" s="147">
        <f>COUNTIFS('2026 Time Off Request'!$A:$A,'Oct 2026'!$D25,'2026 Time Off Request'!$L:$L,'Oct 2026'!I$6)</f>
        <v>0</v>
      </c>
      <c r="J25" s="148">
        <f>COUNTIFS('2026 Time Off Request'!$A:$A,'Oct 2026'!$D25,'2026 Time Off Request'!$L:$L,'Oct 2026'!J$6)</f>
        <v>0</v>
      </c>
      <c r="K25" s="148">
        <f>COUNTIFS('2026 Time Off Request'!$A:$A,'Oct 2026'!$D25,'2026 Time Off Request'!$L:$L,'Oct 2026'!K$6)</f>
        <v>0</v>
      </c>
      <c r="L25" s="148">
        <f>COUNTIFS('2026 Time Off Request'!$A:$A,'Oct 2026'!$D25,'2026 Time Off Request'!$L:$L,'Oct 2026'!L$6)</f>
        <v>0</v>
      </c>
      <c r="M25" s="148">
        <f>COUNTIFS('2026 Time Off Request'!$A:$A,'Oct 2026'!$D25,'2026 Time Off Request'!$L:$L,'Oct 2026'!M$6)</f>
        <v>0</v>
      </c>
      <c r="N25" s="148">
        <f>COUNTIFS('2026 Time Off Request'!$A:$A,'Oct 2026'!$D25,'2026 Time Off Request'!$L:$L,'Oct 2026'!N$6)</f>
        <v>0</v>
      </c>
      <c r="O25" s="147">
        <f>COUNTIFS('2026 Time Off Request'!$A:$A,'Oct 2026'!$D25,'2026 Time Off Request'!$L:$L,'Oct 2026'!O$6)</f>
        <v>0</v>
      </c>
      <c r="P25" s="147">
        <f>COUNTIFS('2026 Time Off Request'!$A:$A,'Oct 2026'!$D25,'2026 Time Off Request'!$L:$L,'Oct 2026'!P$6)</f>
        <v>0</v>
      </c>
      <c r="Q25" s="224">
        <f>COUNTIFS('2026 Time Off Request'!$A:$A,'Oct 2026'!$D25,'2026 Time Off Request'!$L:$L,'Oct 2026'!Q$6)</f>
        <v>0</v>
      </c>
      <c r="R25" s="148">
        <f>COUNTIFS('2026 Time Off Request'!$A:$A,'Oct 2026'!$D25,'2026 Time Off Request'!$L:$L,'Oct 2026'!R$6)</f>
        <v>0</v>
      </c>
      <c r="S25" s="148">
        <f>COUNTIFS('2026 Time Off Request'!$A:$A,'Oct 2026'!$D25,'2026 Time Off Request'!$L:$L,'Oct 2026'!S$6)</f>
        <v>0</v>
      </c>
      <c r="T25" s="148">
        <f>COUNTIFS('2026 Time Off Request'!$A:$A,'Oct 2026'!$D25,'2026 Time Off Request'!$L:$L,'Oct 2026'!T$6)</f>
        <v>0</v>
      </c>
      <c r="U25" s="148">
        <f>COUNTIFS('2026 Time Off Request'!$A:$A,'Oct 2026'!$D25,'2026 Time Off Request'!$L:$L,'Oct 2026'!U$6)</f>
        <v>0</v>
      </c>
      <c r="V25" s="147">
        <f>COUNTIFS('2026 Time Off Request'!$A:$A,'Oct 2026'!$D25,'2026 Time Off Request'!$L:$L,'Oct 2026'!V$6)</f>
        <v>0</v>
      </c>
      <c r="W25" s="147">
        <f>COUNTIFS('2026 Time Off Request'!$A:$A,'Oct 2026'!$D25,'2026 Time Off Request'!$L:$L,'Oct 2026'!W$6)</f>
        <v>0</v>
      </c>
      <c r="X25" s="148">
        <f>COUNTIFS('2026 Time Off Request'!$A:$A,'Oct 2026'!$D25,'2026 Time Off Request'!$L:$L,'Oct 2026'!X$6)</f>
        <v>0</v>
      </c>
      <c r="Y25" s="148">
        <f>COUNTIFS('2026 Time Off Request'!$A:$A,'Oct 2026'!$D25,'2026 Time Off Request'!$L:$L,'Oct 2026'!Y$6)</f>
        <v>0</v>
      </c>
      <c r="Z25" s="148">
        <f>COUNTIFS('2026 Time Off Request'!$A:$A,'Oct 2026'!$D25,'2026 Time Off Request'!$L:$L,'Oct 2026'!Z$6)</f>
        <v>0</v>
      </c>
      <c r="AA25" s="148">
        <f>COUNTIFS('2026 Time Off Request'!$A:$A,'Oct 2026'!$D25,'2026 Time Off Request'!$L:$L,'Oct 2026'!AA$6)</f>
        <v>0</v>
      </c>
      <c r="AB25" s="148">
        <f>COUNTIFS('2026 Time Off Request'!$A:$A,'Oct 2026'!$D25,'2026 Time Off Request'!$L:$L,'Oct 2026'!AB$6)</f>
        <v>0</v>
      </c>
      <c r="AC25" s="147">
        <f>COUNTIFS('2026 Time Off Request'!$A:$A,'Oct 2026'!$D25,'2026 Time Off Request'!$L:$L,'Oct 2026'!AC$6)</f>
        <v>0</v>
      </c>
      <c r="AD25" s="147">
        <f>COUNTIFS('2026 Time Off Request'!$A:$A,'Oct 2026'!$D25,'2026 Time Off Request'!$L:$L,'Oct 2026'!AD$6)</f>
        <v>0</v>
      </c>
      <c r="AE25" s="148">
        <f>COUNTIFS('2026 Time Off Request'!$A:$A,'Oct 2026'!$D25,'2026 Time Off Request'!$L:$L,'Oct 2026'!AE$6)</f>
        <v>0</v>
      </c>
      <c r="AF25" s="148">
        <f>COUNTIFS('2026 Time Off Request'!$A:$A,'Oct 2026'!$D25,'2026 Time Off Request'!$L:$L,'Oct 2026'!AF$6)</f>
        <v>0</v>
      </c>
      <c r="AG25" s="148">
        <f>COUNTIFS('2026 Time Off Request'!$A:$A,'Oct 2026'!$D25,'2026 Time Off Request'!$L:$L,'Oct 2026'!AG$6)</f>
        <v>0</v>
      </c>
      <c r="AH25" s="148">
        <f>COUNTIFS('2026 Time Off Request'!$A:$A,'Oct 2026'!$D25,'2026 Time Off Request'!$L:$L,'Oct 2026'!AH$6)</f>
        <v>0</v>
      </c>
      <c r="AI25" s="148">
        <f>COUNTIFS('2026 Time Off Request'!$A:$A,'Oct 2026'!$D25,'2026 Time Off Request'!$L:$L,'Oct 2026'!AI$6)</f>
        <v>0</v>
      </c>
      <c r="AJ25" s="147">
        <f>COUNTIFS('2026 Time Off Request'!$A:$A,'Oct 2026'!$D25,'2026 Time Off Request'!$L:$L,'Oct 2026'!AJ$6)</f>
        <v>0</v>
      </c>
    </row>
    <row r="26" spans="1:36" ht="15.75">
      <c r="A26" s="2"/>
      <c r="B26" s="209" t="s">
        <v>45</v>
      </c>
      <c r="C26" s="210" t="s">
        <v>55</v>
      </c>
      <c r="D26" s="215" t="s">
        <v>57</v>
      </c>
      <c r="E26" s="212">
        <f t="shared" si="3"/>
        <v>0</v>
      </c>
      <c r="F26" s="223">
        <f>COUNTIFS('2026 Time Off Request'!$A:$A,'Oct 2026'!$D26,'2026 Time Off Request'!$L:$L,'Oct 2026'!F$6)</f>
        <v>0</v>
      </c>
      <c r="G26" s="148">
        <f>COUNTIFS('2026 Time Off Request'!$A:$A,'Oct 2026'!$D26,'2026 Time Off Request'!$L:$L,'Oct 2026'!G$6)</f>
        <v>0</v>
      </c>
      <c r="H26" s="147">
        <f>COUNTIFS('2026 Time Off Request'!$A:$A,'Oct 2026'!$D26,'2026 Time Off Request'!$L:$L,'Oct 2026'!H$6)</f>
        <v>0</v>
      </c>
      <c r="I26" s="147">
        <f>COUNTIFS('2026 Time Off Request'!$A:$A,'Oct 2026'!$D26,'2026 Time Off Request'!$L:$L,'Oct 2026'!I$6)</f>
        <v>0</v>
      </c>
      <c r="J26" s="148">
        <f>COUNTIFS('2026 Time Off Request'!$A:$A,'Oct 2026'!$D26,'2026 Time Off Request'!$L:$L,'Oct 2026'!J$6)</f>
        <v>0</v>
      </c>
      <c r="K26" s="148">
        <f>COUNTIFS('2026 Time Off Request'!$A:$A,'Oct 2026'!$D26,'2026 Time Off Request'!$L:$L,'Oct 2026'!K$6)</f>
        <v>0</v>
      </c>
      <c r="L26" s="148">
        <f>COUNTIFS('2026 Time Off Request'!$A:$A,'Oct 2026'!$D26,'2026 Time Off Request'!$L:$L,'Oct 2026'!L$6)</f>
        <v>0</v>
      </c>
      <c r="M26" s="148">
        <f>COUNTIFS('2026 Time Off Request'!$A:$A,'Oct 2026'!$D26,'2026 Time Off Request'!$L:$L,'Oct 2026'!M$6)</f>
        <v>0</v>
      </c>
      <c r="N26" s="148">
        <f>COUNTIFS('2026 Time Off Request'!$A:$A,'Oct 2026'!$D26,'2026 Time Off Request'!$L:$L,'Oct 2026'!N$6)</f>
        <v>0</v>
      </c>
      <c r="O26" s="147">
        <f>COUNTIFS('2026 Time Off Request'!$A:$A,'Oct 2026'!$D26,'2026 Time Off Request'!$L:$L,'Oct 2026'!O$6)</f>
        <v>0</v>
      </c>
      <c r="P26" s="147">
        <f>COUNTIFS('2026 Time Off Request'!$A:$A,'Oct 2026'!$D26,'2026 Time Off Request'!$L:$L,'Oct 2026'!P$6)</f>
        <v>0</v>
      </c>
      <c r="Q26" s="224">
        <f>COUNTIFS('2026 Time Off Request'!$A:$A,'Oct 2026'!$D26,'2026 Time Off Request'!$L:$L,'Oct 2026'!Q$6)</f>
        <v>0</v>
      </c>
      <c r="R26" s="148">
        <f>COUNTIFS('2026 Time Off Request'!$A:$A,'Oct 2026'!$D26,'2026 Time Off Request'!$L:$L,'Oct 2026'!R$6)</f>
        <v>0</v>
      </c>
      <c r="S26" s="148">
        <f>COUNTIFS('2026 Time Off Request'!$A:$A,'Oct 2026'!$D26,'2026 Time Off Request'!$L:$L,'Oct 2026'!S$6)</f>
        <v>0</v>
      </c>
      <c r="T26" s="148">
        <f>COUNTIFS('2026 Time Off Request'!$A:$A,'Oct 2026'!$D26,'2026 Time Off Request'!$L:$L,'Oct 2026'!T$6)</f>
        <v>0</v>
      </c>
      <c r="U26" s="148">
        <f>COUNTIFS('2026 Time Off Request'!$A:$A,'Oct 2026'!$D26,'2026 Time Off Request'!$L:$L,'Oct 2026'!U$6)</f>
        <v>0</v>
      </c>
      <c r="V26" s="147">
        <f>COUNTIFS('2026 Time Off Request'!$A:$A,'Oct 2026'!$D26,'2026 Time Off Request'!$L:$L,'Oct 2026'!V$6)</f>
        <v>0</v>
      </c>
      <c r="W26" s="147">
        <f>COUNTIFS('2026 Time Off Request'!$A:$A,'Oct 2026'!$D26,'2026 Time Off Request'!$L:$L,'Oct 2026'!W$6)</f>
        <v>0</v>
      </c>
      <c r="X26" s="148">
        <f>COUNTIFS('2026 Time Off Request'!$A:$A,'Oct 2026'!$D26,'2026 Time Off Request'!$L:$L,'Oct 2026'!X$6)</f>
        <v>0</v>
      </c>
      <c r="Y26" s="148">
        <f>COUNTIFS('2026 Time Off Request'!$A:$A,'Oct 2026'!$D26,'2026 Time Off Request'!$L:$L,'Oct 2026'!Y$6)</f>
        <v>0</v>
      </c>
      <c r="Z26" s="148">
        <f>COUNTIFS('2026 Time Off Request'!$A:$A,'Oct 2026'!$D26,'2026 Time Off Request'!$L:$L,'Oct 2026'!Z$6)</f>
        <v>0</v>
      </c>
      <c r="AA26" s="148">
        <f>COUNTIFS('2026 Time Off Request'!$A:$A,'Oct 2026'!$D26,'2026 Time Off Request'!$L:$L,'Oct 2026'!AA$6)</f>
        <v>0</v>
      </c>
      <c r="AB26" s="148">
        <f>COUNTIFS('2026 Time Off Request'!$A:$A,'Oct 2026'!$D26,'2026 Time Off Request'!$L:$L,'Oct 2026'!AB$6)</f>
        <v>0</v>
      </c>
      <c r="AC26" s="147">
        <f>COUNTIFS('2026 Time Off Request'!$A:$A,'Oct 2026'!$D26,'2026 Time Off Request'!$L:$L,'Oct 2026'!AC$6)</f>
        <v>0</v>
      </c>
      <c r="AD26" s="147">
        <f>COUNTIFS('2026 Time Off Request'!$A:$A,'Oct 2026'!$D26,'2026 Time Off Request'!$L:$L,'Oct 2026'!AD$6)</f>
        <v>0</v>
      </c>
      <c r="AE26" s="148">
        <f>COUNTIFS('2026 Time Off Request'!$A:$A,'Oct 2026'!$D26,'2026 Time Off Request'!$L:$L,'Oct 2026'!AE$6)</f>
        <v>0</v>
      </c>
      <c r="AF26" s="148">
        <f>COUNTIFS('2026 Time Off Request'!$A:$A,'Oct 2026'!$D26,'2026 Time Off Request'!$L:$L,'Oct 2026'!AF$6)</f>
        <v>0</v>
      </c>
      <c r="AG26" s="148">
        <f>COUNTIFS('2026 Time Off Request'!$A:$A,'Oct 2026'!$D26,'2026 Time Off Request'!$L:$L,'Oct 2026'!AG$6)</f>
        <v>0</v>
      </c>
      <c r="AH26" s="148">
        <f>COUNTIFS('2026 Time Off Request'!$A:$A,'Oct 2026'!$D26,'2026 Time Off Request'!$L:$L,'Oct 2026'!AH$6)</f>
        <v>0</v>
      </c>
      <c r="AI26" s="148">
        <f>COUNTIFS('2026 Time Off Request'!$A:$A,'Oct 2026'!$D26,'2026 Time Off Request'!$L:$L,'Oct 2026'!AI$6)</f>
        <v>0</v>
      </c>
      <c r="AJ26" s="147">
        <f>COUNTIFS('2026 Time Off Request'!$A:$A,'Oct 2026'!$D26,'2026 Time Off Request'!$L:$L,'Oct 2026'!AJ$6)</f>
        <v>0</v>
      </c>
    </row>
    <row r="27" spans="1:36" ht="15.75">
      <c r="A27" s="2">
        <v>19</v>
      </c>
      <c r="B27" s="209" t="s">
        <v>45</v>
      </c>
      <c r="C27" s="210" t="s">
        <v>58</v>
      </c>
      <c r="D27" s="215" t="s">
        <v>59</v>
      </c>
      <c r="E27" s="212">
        <f t="shared" si="3"/>
        <v>0</v>
      </c>
      <c r="F27" s="223">
        <f>COUNTIFS('2026 Time Off Request'!$A:$A,'Oct 2026'!$D27,'2026 Time Off Request'!$L:$L,'Oct 2026'!F$6)</f>
        <v>0</v>
      </c>
      <c r="G27" s="148">
        <f>COUNTIFS('2026 Time Off Request'!$A:$A,'Oct 2026'!$D27,'2026 Time Off Request'!$L:$L,'Oct 2026'!G$6)</f>
        <v>0</v>
      </c>
      <c r="H27" s="147">
        <f>COUNTIFS('2026 Time Off Request'!$A:$A,'Oct 2026'!$D27,'2026 Time Off Request'!$L:$L,'Oct 2026'!H$6)</f>
        <v>0</v>
      </c>
      <c r="I27" s="147">
        <f>COUNTIFS('2026 Time Off Request'!$A:$A,'Oct 2026'!$D27,'2026 Time Off Request'!$L:$L,'Oct 2026'!I$6)</f>
        <v>0</v>
      </c>
      <c r="J27" s="148">
        <f>COUNTIFS('2026 Time Off Request'!$A:$A,'Oct 2026'!$D27,'2026 Time Off Request'!$L:$L,'Oct 2026'!J$6)</f>
        <v>0</v>
      </c>
      <c r="K27" s="148">
        <f>COUNTIFS('2026 Time Off Request'!$A:$A,'Oct 2026'!$D27,'2026 Time Off Request'!$L:$L,'Oct 2026'!K$6)</f>
        <v>0</v>
      </c>
      <c r="L27" s="148">
        <f>COUNTIFS('2026 Time Off Request'!$A:$A,'Oct 2026'!$D27,'2026 Time Off Request'!$L:$L,'Oct 2026'!L$6)</f>
        <v>0</v>
      </c>
      <c r="M27" s="148">
        <f>COUNTIFS('2026 Time Off Request'!$A:$A,'Oct 2026'!$D27,'2026 Time Off Request'!$L:$L,'Oct 2026'!M$6)</f>
        <v>0</v>
      </c>
      <c r="N27" s="148">
        <f>COUNTIFS('2026 Time Off Request'!$A:$A,'Oct 2026'!$D27,'2026 Time Off Request'!$L:$L,'Oct 2026'!N$6)</f>
        <v>0</v>
      </c>
      <c r="O27" s="147">
        <f>COUNTIFS('2026 Time Off Request'!$A:$A,'Oct 2026'!$D27,'2026 Time Off Request'!$L:$L,'Oct 2026'!O$6)</f>
        <v>0</v>
      </c>
      <c r="P27" s="147">
        <f>COUNTIFS('2026 Time Off Request'!$A:$A,'Oct 2026'!$D27,'2026 Time Off Request'!$L:$L,'Oct 2026'!P$6)</f>
        <v>0</v>
      </c>
      <c r="Q27" s="224">
        <f>COUNTIFS('2026 Time Off Request'!$A:$A,'Oct 2026'!$D27,'2026 Time Off Request'!$L:$L,'Oct 2026'!Q$6)</f>
        <v>0</v>
      </c>
      <c r="R27" s="148">
        <f>COUNTIFS('2026 Time Off Request'!$A:$A,'Oct 2026'!$D27,'2026 Time Off Request'!$L:$L,'Oct 2026'!R$6)</f>
        <v>0</v>
      </c>
      <c r="S27" s="148">
        <f>COUNTIFS('2026 Time Off Request'!$A:$A,'Oct 2026'!$D27,'2026 Time Off Request'!$L:$L,'Oct 2026'!S$6)</f>
        <v>0</v>
      </c>
      <c r="T27" s="148">
        <f>COUNTIFS('2026 Time Off Request'!$A:$A,'Oct 2026'!$D27,'2026 Time Off Request'!$L:$L,'Oct 2026'!T$6)</f>
        <v>0</v>
      </c>
      <c r="U27" s="148">
        <f>COUNTIFS('2026 Time Off Request'!$A:$A,'Oct 2026'!$D27,'2026 Time Off Request'!$L:$L,'Oct 2026'!U$6)</f>
        <v>0</v>
      </c>
      <c r="V27" s="147">
        <f>COUNTIFS('2026 Time Off Request'!$A:$A,'Oct 2026'!$D27,'2026 Time Off Request'!$L:$L,'Oct 2026'!V$6)</f>
        <v>0</v>
      </c>
      <c r="W27" s="147">
        <f>COUNTIFS('2026 Time Off Request'!$A:$A,'Oct 2026'!$D27,'2026 Time Off Request'!$L:$L,'Oct 2026'!W$6)</f>
        <v>0</v>
      </c>
      <c r="X27" s="148">
        <f>COUNTIFS('2026 Time Off Request'!$A:$A,'Oct 2026'!$D27,'2026 Time Off Request'!$L:$L,'Oct 2026'!X$6)</f>
        <v>0</v>
      </c>
      <c r="Y27" s="148">
        <f>COUNTIFS('2026 Time Off Request'!$A:$A,'Oct 2026'!$D27,'2026 Time Off Request'!$L:$L,'Oct 2026'!Y$6)</f>
        <v>0</v>
      </c>
      <c r="Z27" s="148">
        <f>COUNTIFS('2026 Time Off Request'!$A:$A,'Oct 2026'!$D27,'2026 Time Off Request'!$L:$L,'Oct 2026'!Z$6)</f>
        <v>0</v>
      </c>
      <c r="AA27" s="148">
        <f>COUNTIFS('2026 Time Off Request'!$A:$A,'Oct 2026'!$D27,'2026 Time Off Request'!$L:$L,'Oct 2026'!AA$6)</f>
        <v>0</v>
      </c>
      <c r="AB27" s="148">
        <f>COUNTIFS('2026 Time Off Request'!$A:$A,'Oct 2026'!$D27,'2026 Time Off Request'!$L:$L,'Oct 2026'!AB$6)</f>
        <v>0</v>
      </c>
      <c r="AC27" s="147">
        <f>COUNTIFS('2026 Time Off Request'!$A:$A,'Oct 2026'!$D27,'2026 Time Off Request'!$L:$L,'Oct 2026'!AC$6)</f>
        <v>0</v>
      </c>
      <c r="AD27" s="147">
        <f>COUNTIFS('2026 Time Off Request'!$A:$A,'Oct 2026'!$D27,'2026 Time Off Request'!$L:$L,'Oct 2026'!AD$6)</f>
        <v>0</v>
      </c>
      <c r="AE27" s="148">
        <f>COUNTIFS('2026 Time Off Request'!$A:$A,'Oct 2026'!$D27,'2026 Time Off Request'!$L:$L,'Oct 2026'!AE$6)</f>
        <v>0</v>
      </c>
      <c r="AF27" s="148">
        <f>COUNTIFS('2026 Time Off Request'!$A:$A,'Oct 2026'!$D27,'2026 Time Off Request'!$L:$L,'Oct 2026'!AF$6)</f>
        <v>0</v>
      </c>
      <c r="AG27" s="148">
        <f>COUNTIFS('2026 Time Off Request'!$A:$A,'Oct 2026'!$D27,'2026 Time Off Request'!$L:$L,'Oct 2026'!AG$6)</f>
        <v>0</v>
      </c>
      <c r="AH27" s="148">
        <f>COUNTIFS('2026 Time Off Request'!$A:$A,'Oct 2026'!$D27,'2026 Time Off Request'!$L:$L,'Oct 2026'!AH$6)</f>
        <v>0</v>
      </c>
      <c r="AI27" s="148">
        <f>COUNTIFS('2026 Time Off Request'!$A:$A,'Oct 2026'!$D27,'2026 Time Off Request'!$L:$L,'Oct 2026'!AI$6)</f>
        <v>0</v>
      </c>
      <c r="AJ27" s="147">
        <f>COUNTIFS('2026 Time Off Request'!$A:$A,'Oct 2026'!$D27,'2026 Time Off Request'!$L:$L,'Oct 2026'!AJ$6)</f>
        <v>0</v>
      </c>
    </row>
    <row r="28" spans="1:36" ht="15.75">
      <c r="A28" s="2">
        <v>20</v>
      </c>
      <c r="B28" s="209" t="s">
        <v>45</v>
      </c>
      <c r="C28" s="210" t="s">
        <v>60</v>
      </c>
      <c r="D28" s="215" t="s">
        <v>61</v>
      </c>
      <c r="E28" s="212">
        <f t="shared" si="3"/>
        <v>0</v>
      </c>
      <c r="F28" s="223">
        <f>COUNTIFS('2026 Time Off Request'!$A:$A,'Oct 2026'!$D28,'2026 Time Off Request'!$L:$L,'Oct 2026'!F$6)</f>
        <v>0</v>
      </c>
      <c r="G28" s="148">
        <f>COUNTIFS('2026 Time Off Request'!$A:$A,'Oct 2026'!$D28,'2026 Time Off Request'!$L:$L,'Oct 2026'!G$6)</f>
        <v>0</v>
      </c>
      <c r="H28" s="147">
        <f>COUNTIFS('2026 Time Off Request'!$A:$A,'Oct 2026'!$D28,'2026 Time Off Request'!$L:$L,'Oct 2026'!H$6)</f>
        <v>0</v>
      </c>
      <c r="I28" s="147">
        <f>COUNTIFS('2026 Time Off Request'!$A:$A,'Oct 2026'!$D28,'2026 Time Off Request'!$L:$L,'Oct 2026'!I$6)</f>
        <v>0</v>
      </c>
      <c r="J28" s="148">
        <f>COUNTIFS('2026 Time Off Request'!$A:$A,'Oct 2026'!$D28,'2026 Time Off Request'!$L:$L,'Oct 2026'!J$6)</f>
        <v>0</v>
      </c>
      <c r="K28" s="148">
        <f>COUNTIFS('2026 Time Off Request'!$A:$A,'Oct 2026'!$D28,'2026 Time Off Request'!$L:$L,'Oct 2026'!K$6)</f>
        <v>0</v>
      </c>
      <c r="L28" s="148">
        <f>COUNTIFS('2026 Time Off Request'!$A:$A,'Oct 2026'!$D28,'2026 Time Off Request'!$L:$L,'Oct 2026'!L$6)</f>
        <v>0</v>
      </c>
      <c r="M28" s="148">
        <f>COUNTIFS('2026 Time Off Request'!$A:$A,'Oct 2026'!$D28,'2026 Time Off Request'!$L:$L,'Oct 2026'!M$6)</f>
        <v>0</v>
      </c>
      <c r="N28" s="148">
        <f>COUNTIFS('2026 Time Off Request'!$A:$A,'Oct 2026'!$D28,'2026 Time Off Request'!$L:$L,'Oct 2026'!N$6)</f>
        <v>0</v>
      </c>
      <c r="O28" s="147">
        <f>COUNTIFS('2026 Time Off Request'!$A:$A,'Oct 2026'!$D28,'2026 Time Off Request'!$L:$L,'Oct 2026'!O$6)</f>
        <v>0</v>
      </c>
      <c r="P28" s="147">
        <f>COUNTIFS('2026 Time Off Request'!$A:$A,'Oct 2026'!$D28,'2026 Time Off Request'!$L:$L,'Oct 2026'!P$6)</f>
        <v>0</v>
      </c>
      <c r="Q28" s="224">
        <f>COUNTIFS('2026 Time Off Request'!$A:$A,'Oct 2026'!$D28,'2026 Time Off Request'!$L:$L,'Oct 2026'!Q$6)</f>
        <v>0</v>
      </c>
      <c r="R28" s="148">
        <f>COUNTIFS('2026 Time Off Request'!$A:$A,'Oct 2026'!$D28,'2026 Time Off Request'!$L:$L,'Oct 2026'!R$6)</f>
        <v>0</v>
      </c>
      <c r="S28" s="148">
        <f>COUNTIFS('2026 Time Off Request'!$A:$A,'Oct 2026'!$D28,'2026 Time Off Request'!$L:$L,'Oct 2026'!S$6)</f>
        <v>0</v>
      </c>
      <c r="T28" s="148">
        <f>COUNTIFS('2026 Time Off Request'!$A:$A,'Oct 2026'!$D28,'2026 Time Off Request'!$L:$L,'Oct 2026'!T$6)</f>
        <v>0</v>
      </c>
      <c r="U28" s="148">
        <f>COUNTIFS('2026 Time Off Request'!$A:$A,'Oct 2026'!$D28,'2026 Time Off Request'!$L:$L,'Oct 2026'!U$6)</f>
        <v>0</v>
      </c>
      <c r="V28" s="147">
        <f>COUNTIFS('2026 Time Off Request'!$A:$A,'Oct 2026'!$D28,'2026 Time Off Request'!$L:$L,'Oct 2026'!V$6)</f>
        <v>0</v>
      </c>
      <c r="W28" s="147">
        <f>COUNTIFS('2026 Time Off Request'!$A:$A,'Oct 2026'!$D28,'2026 Time Off Request'!$L:$L,'Oct 2026'!W$6)</f>
        <v>0</v>
      </c>
      <c r="X28" s="148">
        <f>COUNTIFS('2026 Time Off Request'!$A:$A,'Oct 2026'!$D28,'2026 Time Off Request'!$L:$L,'Oct 2026'!X$6)</f>
        <v>0</v>
      </c>
      <c r="Y28" s="148">
        <f>COUNTIFS('2026 Time Off Request'!$A:$A,'Oct 2026'!$D28,'2026 Time Off Request'!$L:$L,'Oct 2026'!Y$6)</f>
        <v>0</v>
      </c>
      <c r="Z28" s="148">
        <f>COUNTIFS('2026 Time Off Request'!$A:$A,'Oct 2026'!$D28,'2026 Time Off Request'!$L:$L,'Oct 2026'!Z$6)</f>
        <v>0</v>
      </c>
      <c r="AA28" s="148">
        <f>COUNTIFS('2026 Time Off Request'!$A:$A,'Oct 2026'!$D28,'2026 Time Off Request'!$L:$L,'Oct 2026'!AA$6)</f>
        <v>0</v>
      </c>
      <c r="AB28" s="148">
        <f>COUNTIFS('2026 Time Off Request'!$A:$A,'Oct 2026'!$D28,'2026 Time Off Request'!$L:$L,'Oct 2026'!AB$6)</f>
        <v>0</v>
      </c>
      <c r="AC28" s="147">
        <f>COUNTIFS('2026 Time Off Request'!$A:$A,'Oct 2026'!$D28,'2026 Time Off Request'!$L:$L,'Oct 2026'!AC$6)</f>
        <v>0</v>
      </c>
      <c r="AD28" s="147">
        <f>COUNTIFS('2026 Time Off Request'!$A:$A,'Oct 2026'!$D28,'2026 Time Off Request'!$L:$L,'Oct 2026'!AD$6)</f>
        <v>0</v>
      </c>
      <c r="AE28" s="148">
        <f>COUNTIFS('2026 Time Off Request'!$A:$A,'Oct 2026'!$D28,'2026 Time Off Request'!$L:$L,'Oct 2026'!AE$6)</f>
        <v>0</v>
      </c>
      <c r="AF28" s="148">
        <f>COUNTIFS('2026 Time Off Request'!$A:$A,'Oct 2026'!$D28,'2026 Time Off Request'!$L:$L,'Oct 2026'!AF$6)</f>
        <v>0</v>
      </c>
      <c r="AG28" s="148">
        <f>COUNTIFS('2026 Time Off Request'!$A:$A,'Oct 2026'!$D28,'2026 Time Off Request'!$L:$L,'Oct 2026'!AG$6)</f>
        <v>0</v>
      </c>
      <c r="AH28" s="148">
        <f>COUNTIFS('2026 Time Off Request'!$A:$A,'Oct 2026'!$D28,'2026 Time Off Request'!$L:$L,'Oct 2026'!AH$6)</f>
        <v>0</v>
      </c>
      <c r="AI28" s="148">
        <f>COUNTIFS('2026 Time Off Request'!$A:$A,'Oct 2026'!$D28,'2026 Time Off Request'!$L:$L,'Oct 2026'!AI$6)</f>
        <v>0</v>
      </c>
      <c r="AJ28" s="147">
        <f>COUNTIFS('2026 Time Off Request'!$A:$A,'Oct 2026'!$D28,'2026 Time Off Request'!$L:$L,'Oct 2026'!AJ$6)</f>
        <v>0</v>
      </c>
    </row>
    <row r="29" spans="1:36" ht="15.75">
      <c r="A29" s="2"/>
      <c r="B29" s="209" t="s">
        <v>45</v>
      </c>
      <c r="C29" s="210" t="s">
        <v>62</v>
      </c>
      <c r="D29" s="215" t="s">
        <v>63</v>
      </c>
      <c r="E29" s="212">
        <f t="shared" si="3"/>
        <v>0</v>
      </c>
      <c r="F29" s="223">
        <f>COUNTIFS('2026 Time Off Request'!$A:$A,'Oct 2026'!$D29,'2026 Time Off Request'!$L:$L,'Oct 2026'!F$6)</f>
        <v>0</v>
      </c>
      <c r="G29" s="148">
        <f>COUNTIFS('2026 Time Off Request'!$A:$A,'Oct 2026'!$D29,'2026 Time Off Request'!$L:$L,'Oct 2026'!G$6)</f>
        <v>0</v>
      </c>
      <c r="H29" s="147">
        <f>COUNTIFS('2026 Time Off Request'!$A:$A,'Oct 2026'!$D29,'2026 Time Off Request'!$L:$L,'Oct 2026'!H$6)</f>
        <v>0</v>
      </c>
      <c r="I29" s="147">
        <f>COUNTIFS('2026 Time Off Request'!$A:$A,'Oct 2026'!$D29,'2026 Time Off Request'!$L:$L,'Oct 2026'!I$6)</f>
        <v>0</v>
      </c>
      <c r="J29" s="148">
        <f>COUNTIFS('2026 Time Off Request'!$A:$A,'Oct 2026'!$D29,'2026 Time Off Request'!$L:$L,'Oct 2026'!J$6)</f>
        <v>0</v>
      </c>
      <c r="K29" s="148">
        <f>COUNTIFS('2026 Time Off Request'!$A:$A,'Oct 2026'!$D29,'2026 Time Off Request'!$L:$L,'Oct 2026'!K$6)</f>
        <v>0</v>
      </c>
      <c r="L29" s="148">
        <f>COUNTIFS('2026 Time Off Request'!$A:$A,'Oct 2026'!$D29,'2026 Time Off Request'!$L:$L,'Oct 2026'!L$6)</f>
        <v>0</v>
      </c>
      <c r="M29" s="148">
        <f>COUNTIFS('2026 Time Off Request'!$A:$A,'Oct 2026'!$D29,'2026 Time Off Request'!$L:$L,'Oct 2026'!M$6)</f>
        <v>0</v>
      </c>
      <c r="N29" s="148">
        <f>COUNTIFS('2026 Time Off Request'!$A:$A,'Oct 2026'!$D29,'2026 Time Off Request'!$L:$L,'Oct 2026'!N$6)</f>
        <v>0</v>
      </c>
      <c r="O29" s="147">
        <f>COUNTIFS('2026 Time Off Request'!$A:$A,'Oct 2026'!$D29,'2026 Time Off Request'!$L:$L,'Oct 2026'!O$6)</f>
        <v>0</v>
      </c>
      <c r="P29" s="147">
        <f>COUNTIFS('2026 Time Off Request'!$A:$A,'Oct 2026'!$D29,'2026 Time Off Request'!$L:$L,'Oct 2026'!P$6)</f>
        <v>0</v>
      </c>
      <c r="Q29" s="224">
        <f>COUNTIFS('2026 Time Off Request'!$A:$A,'Oct 2026'!$D29,'2026 Time Off Request'!$L:$L,'Oct 2026'!Q$6)</f>
        <v>0</v>
      </c>
      <c r="R29" s="148">
        <f>COUNTIFS('2026 Time Off Request'!$A:$A,'Oct 2026'!$D29,'2026 Time Off Request'!$L:$L,'Oct 2026'!R$6)</f>
        <v>0</v>
      </c>
      <c r="S29" s="148">
        <f>COUNTIFS('2026 Time Off Request'!$A:$A,'Oct 2026'!$D29,'2026 Time Off Request'!$L:$L,'Oct 2026'!S$6)</f>
        <v>0</v>
      </c>
      <c r="T29" s="148">
        <f>COUNTIFS('2026 Time Off Request'!$A:$A,'Oct 2026'!$D29,'2026 Time Off Request'!$L:$L,'Oct 2026'!T$6)</f>
        <v>0</v>
      </c>
      <c r="U29" s="148">
        <f>COUNTIFS('2026 Time Off Request'!$A:$A,'Oct 2026'!$D29,'2026 Time Off Request'!$L:$L,'Oct 2026'!U$6)</f>
        <v>0</v>
      </c>
      <c r="V29" s="147">
        <f>COUNTIFS('2026 Time Off Request'!$A:$A,'Oct 2026'!$D29,'2026 Time Off Request'!$L:$L,'Oct 2026'!V$6)</f>
        <v>0</v>
      </c>
      <c r="W29" s="147">
        <f>COUNTIFS('2026 Time Off Request'!$A:$A,'Oct 2026'!$D29,'2026 Time Off Request'!$L:$L,'Oct 2026'!W$6)</f>
        <v>0</v>
      </c>
      <c r="X29" s="148">
        <f>COUNTIFS('2026 Time Off Request'!$A:$A,'Oct 2026'!$D29,'2026 Time Off Request'!$L:$L,'Oct 2026'!X$6)</f>
        <v>0</v>
      </c>
      <c r="Y29" s="148">
        <f>COUNTIFS('2026 Time Off Request'!$A:$A,'Oct 2026'!$D29,'2026 Time Off Request'!$L:$L,'Oct 2026'!Y$6)</f>
        <v>0</v>
      </c>
      <c r="Z29" s="148">
        <f>COUNTIFS('2026 Time Off Request'!$A:$A,'Oct 2026'!$D29,'2026 Time Off Request'!$L:$L,'Oct 2026'!Z$6)</f>
        <v>0</v>
      </c>
      <c r="AA29" s="148">
        <f>COUNTIFS('2026 Time Off Request'!$A:$A,'Oct 2026'!$D29,'2026 Time Off Request'!$L:$L,'Oct 2026'!AA$6)</f>
        <v>0</v>
      </c>
      <c r="AB29" s="148">
        <f>COUNTIFS('2026 Time Off Request'!$A:$A,'Oct 2026'!$D29,'2026 Time Off Request'!$L:$L,'Oct 2026'!AB$6)</f>
        <v>0</v>
      </c>
      <c r="AC29" s="147">
        <f>COUNTIFS('2026 Time Off Request'!$A:$A,'Oct 2026'!$D29,'2026 Time Off Request'!$L:$L,'Oct 2026'!AC$6)</f>
        <v>0</v>
      </c>
      <c r="AD29" s="147">
        <f>COUNTIFS('2026 Time Off Request'!$A:$A,'Oct 2026'!$D29,'2026 Time Off Request'!$L:$L,'Oct 2026'!AD$6)</f>
        <v>0</v>
      </c>
      <c r="AE29" s="148">
        <f>COUNTIFS('2026 Time Off Request'!$A:$A,'Oct 2026'!$D29,'2026 Time Off Request'!$L:$L,'Oct 2026'!AE$6)</f>
        <v>0</v>
      </c>
      <c r="AF29" s="148">
        <f>COUNTIFS('2026 Time Off Request'!$A:$A,'Oct 2026'!$D29,'2026 Time Off Request'!$L:$L,'Oct 2026'!AF$6)</f>
        <v>0</v>
      </c>
      <c r="AG29" s="148">
        <f>COUNTIFS('2026 Time Off Request'!$A:$A,'Oct 2026'!$D29,'2026 Time Off Request'!$L:$L,'Oct 2026'!AG$6)</f>
        <v>0</v>
      </c>
      <c r="AH29" s="148">
        <f>COUNTIFS('2026 Time Off Request'!$A:$A,'Oct 2026'!$D29,'2026 Time Off Request'!$L:$L,'Oct 2026'!AH$6)</f>
        <v>0</v>
      </c>
      <c r="AI29" s="148">
        <f>COUNTIFS('2026 Time Off Request'!$A:$A,'Oct 2026'!$D29,'2026 Time Off Request'!$L:$L,'Oct 2026'!AI$6)</f>
        <v>0</v>
      </c>
      <c r="AJ29" s="147">
        <f>COUNTIFS('2026 Time Off Request'!$A:$A,'Oct 2026'!$D29,'2026 Time Off Request'!$L:$L,'Oct 2026'!AJ$6)</f>
        <v>0</v>
      </c>
    </row>
    <row r="30" spans="1:36" ht="15.75">
      <c r="A30" s="2">
        <v>21</v>
      </c>
      <c r="B30" s="209" t="s">
        <v>49</v>
      </c>
      <c r="C30" s="210" t="s">
        <v>64</v>
      </c>
      <c r="D30" s="215" t="s">
        <v>65</v>
      </c>
      <c r="E30" s="212">
        <f t="shared" si="2"/>
        <v>0</v>
      </c>
      <c r="F30" s="223">
        <f>COUNTIFS('2026 Time Off Request'!$A:$A,'Oct 2026'!$D30,'2026 Time Off Request'!$L:$L,'Oct 2026'!F$6)</f>
        <v>0</v>
      </c>
      <c r="G30" s="148">
        <f>COUNTIFS('2026 Time Off Request'!$A:$A,'Oct 2026'!$D30,'2026 Time Off Request'!$L:$L,'Oct 2026'!G$6)</f>
        <v>0</v>
      </c>
      <c r="H30" s="147">
        <f>COUNTIFS('2026 Time Off Request'!$A:$A,'Oct 2026'!$D30,'2026 Time Off Request'!$L:$L,'Oct 2026'!H$6)</f>
        <v>0</v>
      </c>
      <c r="I30" s="147">
        <f>COUNTIFS('2026 Time Off Request'!$A:$A,'Oct 2026'!$D30,'2026 Time Off Request'!$L:$L,'Oct 2026'!I$6)</f>
        <v>0</v>
      </c>
      <c r="J30" s="148">
        <f>COUNTIFS('2026 Time Off Request'!$A:$A,'Oct 2026'!$D30,'2026 Time Off Request'!$L:$L,'Oct 2026'!J$6)</f>
        <v>0</v>
      </c>
      <c r="K30" s="148">
        <f>COUNTIFS('2026 Time Off Request'!$A:$A,'Oct 2026'!$D30,'2026 Time Off Request'!$L:$L,'Oct 2026'!K$6)</f>
        <v>0</v>
      </c>
      <c r="L30" s="148">
        <f>COUNTIFS('2026 Time Off Request'!$A:$A,'Oct 2026'!$D30,'2026 Time Off Request'!$L:$L,'Oct 2026'!L$6)</f>
        <v>0</v>
      </c>
      <c r="M30" s="148">
        <f>COUNTIFS('2026 Time Off Request'!$A:$A,'Oct 2026'!$D30,'2026 Time Off Request'!$L:$L,'Oct 2026'!M$6)</f>
        <v>0</v>
      </c>
      <c r="N30" s="148">
        <f>COUNTIFS('2026 Time Off Request'!$A:$A,'Oct 2026'!$D30,'2026 Time Off Request'!$L:$L,'Oct 2026'!N$6)</f>
        <v>0</v>
      </c>
      <c r="O30" s="147">
        <f>COUNTIFS('2026 Time Off Request'!$A:$A,'Oct 2026'!$D30,'2026 Time Off Request'!$L:$L,'Oct 2026'!O$6)</f>
        <v>0</v>
      </c>
      <c r="P30" s="147">
        <f>COUNTIFS('2026 Time Off Request'!$A:$A,'Oct 2026'!$D30,'2026 Time Off Request'!$L:$L,'Oct 2026'!P$6)</f>
        <v>0</v>
      </c>
      <c r="Q30" s="224">
        <f>COUNTIFS('2026 Time Off Request'!$A:$A,'Oct 2026'!$D30,'2026 Time Off Request'!$L:$L,'Oct 2026'!Q$6)</f>
        <v>0</v>
      </c>
      <c r="R30" s="148">
        <f>COUNTIFS('2026 Time Off Request'!$A:$A,'Oct 2026'!$D30,'2026 Time Off Request'!$L:$L,'Oct 2026'!R$6)</f>
        <v>0</v>
      </c>
      <c r="S30" s="148">
        <f>COUNTIFS('2026 Time Off Request'!$A:$A,'Oct 2026'!$D30,'2026 Time Off Request'!$L:$L,'Oct 2026'!S$6)</f>
        <v>0</v>
      </c>
      <c r="T30" s="148">
        <f>COUNTIFS('2026 Time Off Request'!$A:$A,'Oct 2026'!$D30,'2026 Time Off Request'!$L:$L,'Oct 2026'!T$6)</f>
        <v>0</v>
      </c>
      <c r="U30" s="148">
        <f>COUNTIFS('2026 Time Off Request'!$A:$A,'Oct 2026'!$D30,'2026 Time Off Request'!$L:$L,'Oct 2026'!U$6)</f>
        <v>0</v>
      </c>
      <c r="V30" s="147">
        <f>COUNTIFS('2026 Time Off Request'!$A:$A,'Oct 2026'!$D30,'2026 Time Off Request'!$L:$L,'Oct 2026'!V$6)</f>
        <v>0</v>
      </c>
      <c r="W30" s="147">
        <f>COUNTIFS('2026 Time Off Request'!$A:$A,'Oct 2026'!$D30,'2026 Time Off Request'!$L:$L,'Oct 2026'!W$6)</f>
        <v>0</v>
      </c>
      <c r="X30" s="148">
        <f>COUNTIFS('2026 Time Off Request'!$A:$A,'Oct 2026'!$D30,'2026 Time Off Request'!$L:$L,'Oct 2026'!X$6)</f>
        <v>0</v>
      </c>
      <c r="Y30" s="148">
        <f>COUNTIFS('2026 Time Off Request'!$A:$A,'Oct 2026'!$D30,'2026 Time Off Request'!$L:$L,'Oct 2026'!Y$6)</f>
        <v>0</v>
      </c>
      <c r="Z30" s="148">
        <f>COUNTIFS('2026 Time Off Request'!$A:$A,'Oct 2026'!$D30,'2026 Time Off Request'!$L:$L,'Oct 2026'!Z$6)</f>
        <v>0</v>
      </c>
      <c r="AA30" s="148">
        <f>COUNTIFS('2026 Time Off Request'!$A:$A,'Oct 2026'!$D30,'2026 Time Off Request'!$L:$L,'Oct 2026'!AA$6)</f>
        <v>0</v>
      </c>
      <c r="AB30" s="148">
        <f>COUNTIFS('2026 Time Off Request'!$A:$A,'Oct 2026'!$D30,'2026 Time Off Request'!$L:$L,'Oct 2026'!AB$6)</f>
        <v>0</v>
      </c>
      <c r="AC30" s="147">
        <f>COUNTIFS('2026 Time Off Request'!$A:$A,'Oct 2026'!$D30,'2026 Time Off Request'!$L:$L,'Oct 2026'!AC$6)</f>
        <v>0</v>
      </c>
      <c r="AD30" s="147">
        <f>COUNTIFS('2026 Time Off Request'!$A:$A,'Oct 2026'!$D30,'2026 Time Off Request'!$L:$L,'Oct 2026'!AD$6)</f>
        <v>0</v>
      </c>
      <c r="AE30" s="148">
        <f>COUNTIFS('2026 Time Off Request'!$A:$A,'Oct 2026'!$D30,'2026 Time Off Request'!$L:$L,'Oct 2026'!AE$6)</f>
        <v>0</v>
      </c>
      <c r="AF30" s="148">
        <f>COUNTIFS('2026 Time Off Request'!$A:$A,'Oct 2026'!$D30,'2026 Time Off Request'!$L:$L,'Oct 2026'!AF$6)</f>
        <v>0</v>
      </c>
      <c r="AG30" s="148">
        <f>COUNTIFS('2026 Time Off Request'!$A:$A,'Oct 2026'!$D30,'2026 Time Off Request'!$L:$L,'Oct 2026'!AG$6)</f>
        <v>0</v>
      </c>
      <c r="AH30" s="148">
        <f>COUNTIFS('2026 Time Off Request'!$A:$A,'Oct 2026'!$D30,'2026 Time Off Request'!$L:$L,'Oct 2026'!AH$6)</f>
        <v>0</v>
      </c>
      <c r="AI30" s="148">
        <f>COUNTIFS('2026 Time Off Request'!$A:$A,'Oct 2026'!$D30,'2026 Time Off Request'!$L:$L,'Oct 2026'!AI$6)</f>
        <v>0</v>
      </c>
      <c r="AJ30" s="147">
        <f>COUNTIFS('2026 Time Off Request'!$A:$A,'Oct 2026'!$D30,'2026 Time Off Request'!$L:$L,'Oct 2026'!AJ$6)</f>
        <v>0</v>
      </c>
    </row>
    <row r="31" spans="1:36" ht="15.75">
      <c r="A31" s="2">
        <v>22</v>
      </c>
      <c r="B31" s="209" t="s">
        <v>49</v>
      </c>
      <c r="C31" s="210" t="s">
        <v>66</v>
      </c>
      <c r="D31" s="215" t="s">
        <v>67</v>
      </c>
      <c r="E31" s="212">
        <f t="shared" si="2"/>
        <v>0</v>
      </c>
      <c r="F31" s="223">
        <f>COUNTIFS('2026 Time Off Request'!$A:$A,'Oct 2026'!$D31,'2026 Time Off Request'!$L:$L,'Oct 2026'!F$6)</f>
        <v>0</v>
      </c>
      <c r="G31" s="148">
        <f>COUNTIFS('2026 Time Off Request'!$A:$A,'Oct 2026'!$D31,'2026 Time Off Request'!$L:$L,'Oct 2026'!G$6)</f>
        <v>0</v>
      </c>
      <c r="H31" s="147">
        <f>COUNTIFS('2026 Time Off Request'!$A:$A,'Oct 2026'!$D31,'2026 Time Off Request'!$L:$L,'Oct 2026'!H$6)</f>
        <v>0</v>
      </c>
      <c r="I31" s="147">
        <f>COUNTIFS('2026 Time Off Request'!$A:$A,'Oct 2026'!$D31,'2026 Time Off Request'!$L:$L,'Oct 2026'!I$6)</f>
        <v>0</v>
      </c>
      <c r="J31" s="148">
        <f>COUNTIFS('2026 Time Off Request'!$A:$A,'Oct 2026'!$D31,'2026 Time Off Request'!$L:$L,'Oct 2026'!J$6)</f>
        <v>0</v>
      </c>
      <c r="K31" s="148">
        <f>COUNTIFS('2026 Time Off Request'!$A:$A,'Oct 2026'!$D31,'2026 Time Off Request'!$L:$L,'Oct 2026'!K$6)</f>
        <v>0</v>
      </c>
      <c r="L31" s="148">
        <f>COUNTIFS('2026 Time Off Request'!$A:$A,'Oct 2026'!$D31,'2026 Time Off Request'!$L:$L,'Oct 2026'!L$6)</f>
        <v>0</v>
      </c>
      <c r="M31" s="148">
        <f>COUNTIFS('2026 Time Off Request'!$A:$A,'Oct 2026'!$D31,'2026 Time Off Request'!$L:$L,'Oct 2026'!M$6)</f>
        <v>0</v>
      </c>
      <c r="N31" s="148">
        <f>COUNTIFS('2026 Time Off Request'!$A:$A,'Oct 2026'!$D31,'2026 Time Off Request'!$L:$L,'Oct 2026'!N$6)</f>
        <v>0</v>
      </c>
      <c r="O31" s="147">
        <f>COUNTIFS('2026 Time Off Request'!$A:$A,'Oct 2026'!$D31,'2026 Time Off Request'!$L:$L,'Oct 2026'!O$6)</f>
        <v>0</v>
      </c>
      <c r="P31" s="147">
        <f>COUNTIFS('2026 Time Off Request'!$A:$A,'Oct 2026'!$D31,'2026 Time Off Request'!$L:$L,'Oct 2026'!P$6)</f>
        <v>0</v>
      </c>
      <c r="Q31" s="224">
        <f>COUNTIFS('2026 Time Off Request'!$A:$A,'Oct 2026'!$D31,'2026 Time Off Request'!$L:$L,'Oct 2026'!Q$6)</f>
        <v>0</v>
      </c>
      <c r="R31" s="148">
        <f>COUNTIFS('2026 Time Off Request'!$A:$A,'Oct 2026'!$D31,'2026 Time Off Request'!$L:$L,'Oct 2026'!R$6)</f>
        <v>0</v>
      </c>
      <c r="S31" s="148">
        <f>COUNTIFS('2026 Time Off Request'!$A:$A,'Oct 2026'!$D31,'2026 Time Off Request'!$L:$L,'Oct 2026'!S$6)</f>
        <v>0</v>
      </c>
      <c r="T31" s="148">
        <f>COUNTIFS('2026 Time Off Request'!$A:$A,'Oct 2026'!$D31,'2026 Time Off Request'!$L:$L,'Oct 2026'!T$6)</f>
        <v>0</v>
      </c>
      <c r="U31" s="148">
        <f>COUNTIFS('2026 Time Off Request'!$A:$A,'Oct 2026'!$D31,'2026 Time Off Request'!$L:$L,'Oct 2026'!U$6)</f>
        <v>0</v>
      </c>
      <c r="V31" s="147">
        <f>COUNTIFS('2026 Time Off Request'!$A:$A,'Oct 2026'!$D31,'2026 Time Off Request'!$L:$L,'Oct 2026'!V$6)</f>
        <v>0</v>
      </c>
      <c r="W31" s="147">
        <f>COUNTIFS('2026 Time Off Request'!$A:$A,'Oct 2026'!$D31,'2026 Time Off Request'!$L:$L,'Oct 2026'!W$6)</f>
        <v>0</v>
      </c>
      <c r="X31" s="148">
        <f>COUNTIFS('2026 Time Off Request'!$A:$A,'Oct 2026'!$D31,'2026 Time Off Request'!$L:$L,'Oct 2026'!X$6)</f>
        <v>0</v>
      </c>
      <c r="Y31" s="148">
        <f>COUNTIFS('2026 Time Off Request'!$A:$A,'Oct 2026'!$D31,'2026 Time Off Request'!$L:$L,'Oct 2026'!Y$6)</f>
        <v>0</v>
      </c>
      <c r="Z31" s="148">
        <f>COUNTIFS('2026 Time Off Request'!$A:$A,'Oct 2026'!$D31,'2026 Time Off Request'!$L:$L,'Oct 2026'!Z$6)</f>
        <v>0</v>
      </c>
      <c r="AA31" s="148">
        <f>COUNTIFS('2026 Time Off Request'!$A:$A,'Oct 2026'!$D31,'2026 Time Off Request'!$L:$L,'Oct 2026'!AA$6)</f>
        <v>0</v>
      </c>
      <c r="AB31" s="148">
        <f>COUNTIFS('2026 Time Off Request'!$A:$A,'Oct 2026'!$D31,'2026 Time Off Request'!$L:$L,'Oct 2026'!AB$6)</f>
        <v>0</v>
      </c>
      <c r="AC31" s="147">
        <f>COUNTIFS('2026 Time Off Request'!$A:$A,'Oct 2026'!$D31,'2026 Time Off Request'!$L:$L,'Oct 2026'!AC$6)</f>
        <v>0</v>
      </c>
      <c r="AD31" s="147">
        <f>COUNTIFS('2026 Time Off Request'!$A:$A,'Oct 2026'!$D31,'2026 Time Off Request'!$L:$L,'Oct 2026'!AD$6)</f>
        <v>0</v>
      </c>
      <c r="AE31" s="148">
        <f>COUNTIFS('2026 Time Off Request'!$A:$A,'Oct 2026'!$D31,'2026 Time Off Request'!$L:$L,'Oct 2026'!AE$6)</f>
        <v>0</v>
      </c>
      <c r="AF31" s="148">
        <f>COUNTIFS('2026 Time Off Request'!$A:$A,'Oct 2026'!$D31,'2026 Time Off Request'!$L:$L,'Oct 2026'!AF$6)</f>
        <v>0</v>
      </c>
      <c r="AG31" s="148">
        <f>COUNTIFS('2026 Time Off Request'!$A:$A,'Oct 2026'!$D31,'2026 Time Off Request'!$L:$L,'Oct 2026'!AG$6)</f>
        <v>0</v>
      </c>
      <c r="AH31" s="148">
        <f>COUNTIFS('2026 Time Off Request'!$A:$A,'Oct 2026'!$D31,'2026 Time Off Request'!$L:$L,'Oct 2026'!AH$6)</f>
        <v>0</v>
      </c>
      <c r="AI31" s="148">
        <f>COUNTIFS('2026 Time Off Request'!$A:$A,'Oct 2026'!$D31,'2026 Time Off Request'!$L:$L,'Oct 2026'!AI$6)</f>
        <v>0</v>
      </c>
      <c r="AJ31" s="147">
        <f>COUNTIFS('2026 Time Off Request'!$A:$A,'Oct 2026'!$D31,'2026 Time Off Request'!$L:$L,'Oct 2026'!AJ$6)</f>
        <v>0</v>
      </c>
    </row>
    <row r="32" spans="1:36" ht="15.75">
      <c r="A32" s="2">
        <v>23</v>
      </c>
      <c r="B32" s="209" t="s">
        <v>45</v>
      </c>
      <c r="C32" s="210" t="s">
        <v>68</v>
      </c>
      <c r="D32" s="215" t="s">
        <v>69</v>
      </c>
      <c r="E32" s="212">
        <f t="shared" si="2"/>
        <v>0</v>
      </c>
      <c r="F32" s="223">
        <f>COUNTIFS('2026 Time Off Request'!$A:$A,'Oct 2026'!$D32,'2026 Time Off Request'!$L:$L,'Oct 2026'!F$6)</f>
        <v>0</v>
      </c>
      <c r="G32" s="148">
        <f>COUNTIFS('2026 Time Off Request'!$A:$A,'Oct 2026'!$D32,'2026 Time Off Request'!$L:$L,'Oct 2026'!G$6)</f>
        <v>0</v>
      </c>
      <c r="H32" s="147">
        <f>COUNTIFS('2026 Time Off Request'!$A:$A,'Oct 2026'!$D32,'2026 Time Off Request'!$L:$L,'Oct 2026'!H$6)</f>
        <v>0</v>
      </c>
      <c r="I32" s="147">
        <f>COUNTIFS('2026 Time Off Request'!$A:$A,'Oct 2026'!$D32,'2026 Time Off Request'!$L:$L,'Oct 2026'!I$6)</f>
        <v>0</v>
      </c>
      <c r="J32" s="148">
        <f>COUNTIFS('2026 Time Off Request'!$A:$A,'Oct 2026'!$D32,'2026 Time Off Request'!$L:$L,'Oct 2026'!J$6)</f>
        <v>0</v>
      </c>
      <c r="K32" s="148">
        <f>COUNTIFS('2026 Time Off Request'!$A:$A,'Oct 2026'!$D32,'2026 Time Off Request'!$L:$L,'Oct 2026'!K$6)</f>
        <v>0</v>
      </c>
      <c r="L32" s="148">
        <f>COUNTIFS('2026 Time Off Request'!$A:$A,'Oct 2026'!$D32,'2026 Time Off Request'!$L:$L,'Oct 2026'!L$6)</f>
        <v>0</v>
      </c>
      <c r="M32" s="148">
        <f>COUNTIFS('2026 Time Off Request'!$A:$A,'Oct 2026'!$D32,'2026 Time Off Request'!$L:$L,'Oct 2026'!M$6)</f>
        <v>0</v>
      </c>
      <c r="N32" s="148">
        <f>COUNTIFS('2026 Time Off Request'!$A:$A,'Oct 2026'!$D32,'2026 Time Off Request'!$L:$L,'Oct 2026'!N$6)</f>
        <v>0</v>
      </c>
      <c r="O32" s="147">
        <f>COUNTIFS('2026 Time Off Request'!$A:$A,'Oct 2026'!$D32,'2026 Time Off Request'!$L:$L,'Oct 2026'!O$6)</f>
        <v>0</v>
      </c>
      <c r="P32" s="147">
        <f>COUNTIFS('2026 Time Off Request'!$A:$A,'Oct 2026'!$D32,'2026 Time Off Request'!$L:$L,'Oct 2026'!P$6)</f>
        <v>0</v>
      </c>
      <c r="Q32" s="224">
        <f>COUNTIFS('2026 Time Off Request'!$A:$A,'Oct 2026'!$D32,'2026 Time Off Request'!$L:$L,'Oct 2026'!Q$6)</f>
        <v>0</v>
      </c>
      <c r="R32" s="148">
        <f>COUNTIFS('2026 Time Off Request'!$A:$A,'Oct 2026'!$D32,'2026 Time Off Request'!$L:$L,'Oct 2026'!R$6)</f>
        <v>0</v>
      </c>
      <c r="S32" s="148">
        <f>COUNTIFS('2026 Time Off Request'!$A:$A,'Oct 2026'!$D32,'2026 Time Off Request'!$L:$L,'Oct 2026'!S$6)</f>
        <v>0</v>
      </c>
      <c r="T32" s="148">
        <f>COUNTIFS('2026 Time Off Request'!$A:$A,'Oct 2026'!$D32,'2026 Time Off Request'!$L:$L,'Oct 2026'!T$6)</f>
        <v>0</v>
      </c>
      <c r="U32" s="148">
        <f>COUNTIFS('2026 Time Off Request'!$A:$A,'Oct 2026'!$D32,'2026 Time Off Request'!$L:$L,'Oct 2026'!U$6)</f>
        <v>0</v>
      </c>
      <c r="V32" s="147">
        <f>COUNTIFS('2026 Time Off Request'!$A:$A,'Oct 2026'!$D32,'2026 Time Off Request'!$L:$L,'Oct 2026'!V$6)</f>
        <v>0</v>
      </c>
      <c r="W32" s="147">
        <f>COUNTIFS('2026 Time Off Request'!$A:$A,'Oct 2026'!$D32,'2026 Time Off Request'!$L:$L,'Oct 2026'!W$6)</f>
        <v>0</v>
      </c>
      <c r="X32" s="148">
        <f>COUNTIFS('2026 Time Off Request'!$A:$A,'Oct 2026'!$D32,'2026 Time Off Request'!$L:$L,'Oct 2026'!X$6)</f>
        <v>0</v>
      </c>
      <c r="Y32" s="148">
        <f>COUNTIFS('2026 Time Off Request'!$A:$A,'Oct 2026'!$D32,'2026 Time Off Request'!$L:$L,'Oct 2026'!Y$6)</f>
        <v>0</v>
      </c>
      <c r="Z32" s="148">
        <f>COUNTIFS('2026 Time Off Request'!$A:$A,'Oct 2026'!$D32,'2026 Time Off Request'!$L:$L,'Oct 2026'!Z$6)</f>
        <v>0</v>
      </c>
      <c r="AA32" s="148">
        <f>COUNTIFS('2026 Time Off Request'!$A:$A,'Oct 2026'!$D32,'2026 Time Off Request'!$L:$L,'Oct 2026'!AA$6)</f>
        <v>0</v>
      </c>
      <c r="AB32" s="148">
        <f>COUNTIFS('2026 Time Off Request'!$A:$A,'Oct 2026'!$D32,'2026 Time Off Request'!$L:$L,'Oct 2026'!AB$6)</f>
        <v>0</v>
      </c>
      <c r="AC32" s="147">
        <f>COUNTIFS('2026 Time Off Request'!$A:$A,'Oct 2026'!$D32,'2026 Time Off Request'!$L:$L,'Oct 2026'!AC$6)</f>
        <v>0</v>
      </c>
      <c r="AD32" s="147">
        <f>COUNTIFS('2026 Time Off Request'!$A:$A,'Oct 2026'!$D32,'2026 Time Off Request'!$L:$L,'Oct 2026'!AD$6)</f>
        <v>0</v>
      </c>
      <c r="AE32" s="148">
        <f>COUNTIFS('2026 Time Off Request'!$A:$A,'Oct 2026'!$D32,'2026 Time Off Request'!$L:$L,'Oct 2026'!AE$6)</f>
        <v>0</v>
      </c>
      <c r="AF32" s="148">
        <f>COUNTIFS('2026 Time Off Request'!$A:$A,'Oct 2026'!$D32,'2026 Time Off Request'!$L:$L,'Oct 2026'!AF$6)</f>
        <v>0</v>
      </c>
      <c r="AG32" s="148">
        <f>COUNTIFS('2026 Time Off Request'!$A:$A,'Oct 2026'!$D32,'2026 Time Off Request'!$L:$L,'Oct 2026'!AG$6)</f>
        <v>0</v>
      </c>
      <c r="AH32" s="148">
        <f>COUNTIFS('2026 Time Off Request'!$A:$A,'Oct 2026'!$D32,'2026 Time Off Request'!$L:$L,'Oct 2026'!AH$6)</f>
        <v>0</v>
      </c>
      <c r="AI32" s="148">
        <f>COUNTIFS('2026 Time Off Request'!$A:$A,'Oct 2026'!$D32,'2026 Time Off Request'!$L:$L,'Oct 2026'!AI$6)</f>
        <v>0</v>
      </c>
      <c r="AJ32" s="147">
        <f>COUNTIFS('2026 Time Off Request'!$A:$A,'Oct 2026'!$D32,'2026 Time Off Request'!$L:$L,'Oct 2026'!AJ$6)</f>
        <v>0</v>
      </c>
    </row>
    <row r="33" spans="1:36" ht="15.75">
      <c r="A33" s="2">
        <v>24</v>
      </c>
      <c r="B33" s="209" t="s">
        <v>45</v>
      </c>
      <c r="C33" s="210" t="s">
        <v>70</v>
      </c>
      <c r="D33" s="215" t="s">
        <v>71</v>
      </c>
      <c r="E33" s="212">
        <f t="shared" si="2"/>
        <v>0</v>
      </c>
      <c r="F33" s="223">
        <f>COUNTIFS('2026 Time Off Request'!$A:$A,'Oct 2026'!$D33,'2026 Time Off Request'!$L:$L,'Oct 2026'!F$6)</f>
        <v>0</v>
      </c>
      <c r="G33" s="148">
        <f>COUNTIFS('2026 Time Off Request'!$A:$A,'Oct 2026'!$D33,'2026 Time Off Request'!$L:$L,'Oct 2026'!G$6)</f>
        <v>0</v>
      </c>
      <c r="H33" s="147">
        <f>COUNTIFS('2026 Time Off Request'!$A:$A,'Oct 2026'!$D33,'2026 Time Off Request'!$L:$L,'Oct 2026'!H$6)</f>
        <v>0</v>
      </c>
      <c r="I33" s="147">
        <f>COUNTIFS('2026 Time Off Request'!$A:$A,'Oct 2026'!$D33,'2026 Time Off Request'!$L:$L,'Oct 2026'!I$6)</f>
        <v>0</v>
      </c>
      <c r="J33" s="148">
        <f>COUNTIFS('2026 Time Off Request'!$A:$A,'Oct 2026'!$D33,'2026 Time Off Request'!$L:$L,'Oct 2026'!J$6)</f>
        <v>0</v>
      </c>
      <c r="K33" s="148">
        <f>COUNTIFS('2026 Time Off Request'!$A:$A,'Oct 2026'!$D33,'2026 Time Off Request'!$L:$L,'Oct 2026'!K$6)</f>
        <v>0</v>
      </c>
      <c r="L33" s="148">
        <f>COUNTIFS('2026 Time Off Request'!$A:$A,'Oct 2026'!$D33,'2026 Time Off Request'!$L:$L,'Oct 2026'!L$6)</f>
        <v>0</v>
      </c>
      <c r="M33" s="148">
        <f>COUNTIFS('2026 Time Off Request'!$A:$A,'Oct 2026'!$D33,'2026 Time Off Request'!$L:$L,'Oct 2026'!M$6)</f>
        <v>0</v>
      </c>
      <c r="N33" s="148">
        <f>COUNTIFS('2026 Time Off Request'!$A:$A,'Oct 2026'!$D33,'2026 Time Off Request'!$L:$L,'Oct 2026'!N$6)</f>
        <v>0</v>
      </c>
      <c r="O33" s="147">
        <f>COUNTIFS('2026 Time Off Request'!$A:$A,'Oct 2026'!$D33,'2026 Time Off Request'!$L:$L,'Oct 2026'!O$6)</f>
        <v>0</v>
      </c>
      <c r="P33" s="147">
        <f>COUNTIFS('2026 Time Off Request'!$A:$A,'Oct 2026'!$D33,'2026 Time Off Request'!$L:$L,'Oct 2026'!P$6)</f>
        <v>0</v>
      </c>
      <c r="Q33" s="224">
        <f>COUNTIFS('2026 Time Off Request'!$A:$A,'Oct 2026'!$D33,'2026 Time Off Request'!$L:$L,'Oct 2026'!Q$6)</f>
        <v>0</v>
      </c>
      <c r="R33" s="148">
        <f>COUNTIFS('2026 Time Off Request'!$A:$A,'Oct 2026'!$D33,'2026 Time Off Request'!$L:$L,'Oct 2026'!R$6)</f>
        <v>0</v>
      </c>
      <c r="S33" s="148">
        <f>COUNTIFS('2026 Time Off Request'!$A:$A,'Oct 2026'!$D33,'2026 Time Off Request'!$L:$L,'Oct 2026'!S$6)</f>
        <v>0</v>
      </c>
      <c r="T33" s="148">
        <f>COUNTIFS('2026 Time Off Request'!$A:$A,'Oct 2026'!$D33,'2026 Time Off Request'!$L:$L,'Oct 2026'!T$6)</f>
        <v>0</v>
      </c>
      <c r="U33" s="148">
        <f>COUNTIFS('2026 Time Off Request'!$A:$A,'Oct 2026'!$D33,'2026 Time Off Request'!$L:$L,'Oct 2026'!U$6)</f>
        <v>0</v>
      </c>
      <c r="V33" s="147">
        <f>COUNTIFS('2026 Time Off Request'!$A:$A,'Oct 2026'!$D33,'2026 Time Off Request'!$L:$L,'Oct 2026'!V$6)</f>
        <v>0</v>
      </c>
      <c r="W33" s="147">
        <f>COUNTIFS('2026 Time Off Request'!$A:$A,'Oct 2026'!$D33,'2026 Time Off Request'!$L:$L,'Oct 2026'!W$6)</f>
        <v>0</v>
      </c>
      <c r="X33" s="148">
        <f>COUNTIFS('2026 Time Off Request'!$A:$A,'Oct 2026'!$D33,'2026 Time Off Request'!$L:$L,'Oct 2026'!X$6)</f>
        <v>0</v>
      </c>
      <c r="Y33" s="148">
        <f>COUNTIFS('2026 Time Off Request'!$A:$A,'Oct 2026'!$D33,'2026 Time Off Request'!$L:$L,'Oct 2026'!Y$6)</f>
        <v>0</v>
      </c>
      <c r="Z33" s="148">
        <f>COUNTIFS('2026 Time Off Request'!$A:$A,'Oct 2026'!$D33,'2026 Time Off Request'!$L:$L,'Oct 2026'!Z$6)</f>
        <v>0</v>
      </c>
      <c r="AA33" s="148">
        <f>COUNTIFS('2026 Time Off Request'!$A:$A,'Oct 2026'!$D33,'2026 Time Off Request'!$L:$L,'Oct 2026'!AA$6)</f>
        <v>0</v>
      </c>
      <c r="AB33" s="148">
        <f>COUNTIFS('2026 Time Off Request'!$A:$A,'Oct 2026'!$D33,'2026 Time Off Request'!$L:$L,'Oct 2026'!AB$6)</f>
        <v>0</v>
      </c>
      <c r="AC33" s="147">
        <f>COUNTIFS('2026 Time Off Request'!$A:$A,'Oct 2026'!$D33,'2026 Time Off Request'!$L:$L,'Oct 2026'!AC$6)</f>
        <v>0</v>
      </c>
      <c r="AD33" s="147">
        <f>COUNTIFS('2026 Time Off Request'!$A:$A,'Oct 2026'!$D33,'2026 Time Off Request'!$L:$L,'Oct 2026'!AD$6)</f>
        <v>0</v>
      </c>
      <c r="AE33" s="148">
        <f>COUNTIFS('2026 Time Off Request'!$A:$A,'Oct 2026'!$D33,'2026 Time Off Request'!$L:$L,'Oct 2026'!AE$6)</f>
        <v>0</v>
      </c>
      <c r="AF33" s="148">
        <f>COUNTIFS('2026 Time Off Request'!$A:$A,'Oct 2026'!$D33,'2026 Time Off Request'!$L:$L,'Oct 2026'!AF$6)</f>
        <v>0</v>
      </c>
      <c r="AG33" s="148">
        <f>COUNTIFS('2026 Time Off Request'!$A:$A,'Oct 2026'!$D33,'2026 Time Off Request'!$L:$L,'Oct 2026'!AG$6)</f>
        <v>0</v>
      </c>
      <c r="AH33" s="148">
        <f>COUNTIFS('2026 Time Off Request'!$A:$A,'Oct 2026'!$D33,'2026 Time Off Request'!$L:$L,'Oct 2026'!AH$6)</f>
        <v>0</v>
      </c>
      <c r="AI33" s="148">
        <f>COUNTIFS('2026 Time Off Request'!$A:$A,'Oct 2026'!$D33,'2026 Time Off Request'!$L:$L,'Oct 2026'!AI$6)</f>
        <v>0</v>
      </c>
      <c r="AJ33" s="147">
        <f>COUNTIFS('2026 Time Off Request'!$A:$A,'Oct 2026'!$D33,'2026 Time Off Request'!$L:$L,'Oct 2026'!AJ$6)</f>
        <v>0</v>
      </c>
    </row>
    <row r="34" spans="1:36" ht="15.75">
      <c r="A34" s="2">
        <v>25</v>
      </c>
      <c r="B34" s="209" t="s">
        <v>45</v>
      </c>
      <c r="C34" s="210" t="s">
        <v>70</v>
      </c>
      <c r="D34" s="215" t="s">
        <v>72</v>
      </c>
      <c r="E34" s="212">
        <f t="shared" si="2"/>
        <v>0</v>
      </c>
      <c r="F34" s="223">
        <f>COUNTIFS('2026 Time Off Request'!$A:$A,'Oct 2026'!$D34,'2026 Time Off Request'!$L:$L,'Oct 2026'!F$6)</f>
        <v>0</v>
      </c>
      <c r="G34" s="148">
        <f>COUNTIFS('2026 Time Off Request'!$A:$A,'Oct 2026'!$D34,'2026 Time Off Request'!$L:$L,'Oct 2026'!G$6)</f>
        <v>0</v>
      </c>
      <c r="H34" s="147">
        <f>COUNTIFS('2026 Time Off Request'!$A:$A,'Oct 2026'!$D34,'2026 Time Off Request'!$L:$L,'Oct 2026'!H$6)</f>
        <v>0</v>
      </c>
      <c r="I34" s="147">
        <f>COUNTIFS('2026 Time Off Request'!$A:$A,'Oct 2026'!$D34,'2026 Time Off Request'!$L:$L,'Oct 2026'!I$6)</f>
        <v>0</v>
      </c>
      <c r="J34" s="148">
        <f>COUNTIFS('2026 Time Off Request'!$A:$A,'Oct 2026'!$D34,'2026 Time Off Request'!$L:$L,'Oct 2026'!J$6)</f>
        <v>0</v>
      </c>
      <c r="K34" s="148">
        <f>COUNTIFS('2026 Time Off Request'!$A:$A,'Oct 2026'!$D34,'2026 Time Off Request'!$L:$L,'Oct 2026'!K$6)</f>
        <v>0</v>
      </c>
      <c r="L34" s="148">
        <f>COUNTIFS('2026 Time Off Request'!$A:$A,'Oct 2026'!$D34,'2026 Time Off Request'!$L:$L,'Oct 2026'!L$6)</f>
        <v>0</v>
      </c>
      <c r="M34" s="148">
        <f>COUNTIFS('2026 Time Off Request'!$A:$A,'Oct 2026'!$D34,'2026 Time Off Request'!$L:$L,'Oct 2026'!M$6)</f>
        <v>0</v>
      </c>
      <c r="N34" s="148">
        <f>COUNTIFS('2026 Time Off Request'!$A:$A,'Oct 2026'!$D34,'2026 Time Off Request'!$L:$L,'Oct 2026'!N$6)</f>
        <v>0</v>
      </c>
      <c r="O34" s="147">
        <f>COUNTIFS('2026 Time Off Request'!$A:$A,'Oct 2026'!$D34,'2026 Time Off Request'!$L:$L,'Oct 2026'!O$6)</f>
        <v>0</v>
      </c>
      <c r="P34" s="147">
        <f>COUNTIFS('2026 Time Off Request'!$A:$A,'Oct 2026'!$D34,'2026 Time Off Request'!$L:$L,'Oct 2026'!P$6)</f>
        <v>0</v>
      </c>
      <c r="Q34" s="224">
        <f>COUNTIFS('2026 Time Off Request'!$A:$A,'Oct 2026'!$D34,'2026 Time Off Request'!$L:$L,'Oct 2026'!Q$6)</f>
        <v>0</v>
      </c>
      <c r="R34" s="148">
        <f>COUNTIFS('2026 Time Off Request'!$A:$A,'Oct 2026'!$D34,'2026 Time Off Request'!$L:$L,'Oct 2026'!R$6)</f>
        <v>0</v>
      </c>
      <c r="S34" s="148">
        <f>COUNTIFS('2026 Time Off Request'!$A:$A,'Oct 2026'!$D34,'2026 Time Off Request'!$L:$L,'Oct 2026'!S$6)</f>
        <v>0</v>
      </c>
      <c r="T34" s="148">
        <f>COUNTIFS('2026 Time Off Request'!$A:$A,'Oct 2026'!$D34,'2026 Time Off Request'!$L:$L,'Oct 2026'!T$6)</f>
        <v>0</v>
      </c>
      <c r="U34" s="148">
        <f>COUNTIFS('2026 Time Off Request'!$A:$A,'Oct 2026'!$D34,'2026 Time Off Request'!$L:$L,'Oct 2026'!U$6)</f>
        <v>0</v>
      </c>
      <c r="V34" s="147">
        <f>COUNTIFS('2026 Time Off Request'!$A:$A,'Oct 2026'!$D34,'2026 Time Off Request'!$L:$L,'Oct 2026'!V$6)</f>
        <v>0</v>
      </c>
      <c r="W34" s="147">
        <f>COUNTIFS('2026 Time Off Request'!$A:$A,'Oct 2026'!$D34,'2026 Time Off Request'!$L:$L,'Oct 2026'!W$6)</f>
        <v>0</v>
      </c>
      <c r="X34" s="148">
        <f>COUNTIFS('2026 Time Off Request'!$A:$A,'Oct 2026'!$D34,'2026 Time Off Request'!$L:$L,'Oct 2026'!X$6)</f>
        <v>0</v>
      </c>
      <c r="Y34" s="148">
        <f>COUNTIFS('2026 Time Off Request'!$A:$A,'Oct 2026'!$D34,'2026 Time Off Request'!$L:$L,'Oct 2026'!Y$6)</f>
        <v>0</v>
      </c>
      <c r="Z34" s="148">
        <f>COUNTIFS('2026 Time Off Request'!$A:$A,'Oct 2026'!$D34,'2026 Time Off Request'!$L:$L,'Oct 2026'!Z$6)</f>
        <v>0</v>
      </c>
      <c r="AA34" s="148">
        <f>COUNTIFS('2026 Time Off Request'!$A:$A,'Oct 2026'!$D34,'2026 Time Off Request'!$L:$L,'Oct 2026'!AA$6)</f>
        <v>0</v>
      </c>
      <c r="AB34" s="148">
        <f>COUNTIFS('2026 Time Off Request'!$A:$A,'Oct 2026'!$D34,'2026 Time Off Request'!$L:$L,'Oct 2026'!AB$6)</f>
        <v>0</v>
      </c>
      <c r="AC34" s="147">
        <f>COUNTIFS('2026 Time Off Request'!$A:$A,'Oct 2026'!$D34,'2026 Time Off Request'!$L:$L,'Oct 2026'!AC$6)</f>
        <v>0</v>
      </c>
      <c r="AD34" s="147">
        <f>COUNTIFS('2026 Time Off Request'!$A:$A,'Oct 2026'!$D34,'2026 Time Off Request'!$L:$L,'Oct 2026'!AD$6)</f>
        <v>0</v>
      </c>
      <c r="AE34" s="148">
        <f>COUNTIFS('2026 Time Off Request'!$A:$A,'Oct 2026'!$D34,'2026 Time Off Request'!$L:$L,'Oct 2026'!AE$6)</f>
        <v>0</v>
      </c>
      <c r="AF34" s="148">
        <f>COUNTIFS('2026 Time Off Request'!$A:$A,'Oct 2026'!$D34,'2026 Time Off Request'!$L:$L,'Oct 2026'!AF$6)</f>
        <v>0</v>
      </c>
      <c r="AG34" s="148">
        <f>COUNTIFS('2026 Time Off Request'!$A:$A,'Oct 2026'!$D34,'2026 Time Off Request'!$L:$L,'Oct 2026'!AG$6)</f>
        <v>0</v>
      </c>
      <c r="AH34" s="148">
        <f>COUNTIFS('2026 Time Off Request'!$A:$A,'Oct 2026'!$D34,'2026 Time Off Request'!$L:$L,'Oct 2026'!AH$6)</f>
        <v>0</v>
      </c>
      <c r="AI34" s="148">
        <f>COUNTIFS('2026 Time Off Request'!$A:$A,'Oct 2026'!$D34,'2026 Time Off Request'!$L:$L,'Oct 2026'!AI$6)</f>
        <v>0</v>
      </c>
      <c r="AJ34" s="147">
        <f>COUNTIFS('2026 Time Off Request'!$A:$A,'Oct 2026'!$D34,'2026 Time Off Request'!$L:$L,'Oct 2026'!AJ$6)</f>
        <v>0</v>
      </c>
    </row>
    <row r="35" spans="1:36" ht="15.75">
      <c r="A35" s="2">
        <v>26</v>
      </c>
      <c r="B35" s="209" t="s">
        <v>45</v>
      </c>
      <c r="C35" s="210" t="s">
        <v>73</v>
      </c>
      <c r="D35" s="215" t="s">
        <v>74</v>
      </c>
      <c r="E35" s="212">
        <f t="shared" ref="E35" si="4">SUM(F35:AI35)</f>
        <v>0</v>
      </c>
      <c r="F35" s="223">
        <f>COUNTIFS('2026 Time Off Request'!$A:$A,'Oct 2026'!$D35,'2026 Time Off Request'!$L:$L,'Oct 2026'!F$6)</f>
        <v>0</v>
      </c>
      <c r="G35" s="148">
        <f>COUNTIFS('2026 Time Off Request'!$A:$A,'Oct 2026'!$D35,'2026 Time Off Request'!$L:$L,'Oct 2026'!G$6)</f>
        <v>0</v>
      </c>
      <c r="H35" s="147">
        <f>COUNTIFS('2026 Time Off Request'!$A:$A,'Oct 2026'!$D35,'2026 Time Off Request'!$L:$L,'Oct 2026'!H$6)</f>
        <v>0</v>
      </c>
      <c r="I35" s="147">
        <f>COUNTIFS('2026 Time Off Request'!$A:$A,'Oct 2026'!$D35,'2026 Time Off Request'!$L:$L,'Oct 2026'!I$6)</f>
        <v>0</v>
      </c>
      <c r="J35" s="148">
        <f>COUNTIFS('2026 Time Off Request'!$A:$A,'Oct 2026'!$D35,'2026 Time Off Request'!$L:$L,'Oct 2026'!J$6)</f>
        <v>0</v>
      </c>
      <c r="K35" s="148">
        <f>COUNTIFS('2026 Time Off Request'!$A:$A,'Oct 2026'!$D35,'2026 Time Off Request'!$L:$L,'Oct 2026'!K$6)</f>
        <v>0</v>
      </c>
      <c r="L35" s="148">
        <f>COUNTIFS('2026 Time Off Request'!$A:$A,'Oct 2026'!$D35,'2026 Time Off Request'!$L:$L,'Oct 2026'!L$6)</f>
        <v>0</v>
      </c>
      <c r="M35" s="148">
        <f>COUNTIFS('2026 Time Off Request'!$A:$A,'Oct 2026'!$D35,'2026 Time Off Request'!$L:$L,'Oct 2026'!M$6)</f>
        <v>0</v>
      </c>
      <c r="N35" s="148">
        <f>COUNTIFS('2026 Time Off Request'!$A:$A,'Oct 2026'!$D35,'2026 Time Off Request'!$L:$L,'Oct 2026'!N$6)</f>
        <v>0</v>
      </c>
      <c r="O35" s="147">
        <f>COUNTIFS('2026 Time Off Request'!$A:$A,'Oct 2026'!$D35,'2026 Time Off Request'!$L:$L,'Oct 2026'!O$6)</f>
        <v>0</v>
      </c>
      <c r="P35" s="147">
        <f>COUNTIFS('2026 Time Off Request'!$A:$A,'Oct 2026'!$D35,'2026 Time Off Request'!$L:$L,'Oct 2026'!P$6)</f>
        <v>0</v>
      </c>
      <c r="Q35" s="224">
        <f>COUNTIFS('2026 Time Off Request'!$A:$A,'Oct 2026'!$D35,'2026 Time Off Request'!$L:$L,'Oct 2026'!Q$6)</f>
        <v>0</v>
      </c>
      <c r="R35" s="148">
        <f>COUNTIFS('2026 Time Off Request'!$A:$A,'Oct 2026'!$D35,'2026 Time Off Request'!$L:$L,'Oct 2026'!R$6)</f>
        <v>0</v>
      </c>
      <c r="S35" s="148">
        <f>COUNTIFS('2026 Time Off Request'!$A:$A,'Oct 2026'!$D35,'2026 Time Off Request'!$L:$L,'Oct 2026'!S$6)</f>
        <v>0</v>
      </c>
      <c r="T35" s="148">
        <f>COUNTIFS('2026 Time Off Request'!$A:$A,'Oct 2026'!$D35,'2026 Time Off Request'!$L:$L,'Oct 2026'!T$6)</f>
        <v>0</v>
      </c>
      <c r="U35" s="148">
        <f>COUNTIFS('2026 Time Off Request'!$A:$A,'Oct 2026'!$D35,'2026 Time Off Request'!$L:$L,'Oct 2026'!U$6)</f>
        <v>0</v>
      </c>
      <c r="V35" s="147">
        <f>COUNTIFS('2026 Time Off Request'!$A:$A,'Oct 2026'!$D35,'2026 Time Off Request'!$L:$L,'Oct 2026'!V$6)</f>
        <v>0</v>
      </c>
      <c r="W35" s="147">
        <f>COUNTIFS('2026 Time Off Request'!$A:$A,'Oct 2026'!$D35,'2026 Time Off Request'!$L:$L,'Oct 2026'!W$6)</f>
        <v>0</v>
      </c>
      <c r="X35" s="148">
        <f>COUNTIFS('2026 Time Off Request'!$A:$A,'Oct 2026'!$D35,'2026 Time Off Request'!$L:$L,'Oct 2026'!X$6)</f>
        <v>0</v>
      </c>
      <c r="Y35" s="148">
        <f>COUNTIFS('2026 Time Off Request'!$A:$A,'Oct 2026'!$D35,'2026 Time Off Request'!$L:$L,'Oct 2026'!Y$6)</f>
        <v>0</v>
      </c>
      <c r="Z35" s="148">
        <f>COUNTIFS('2026 Time Off Request'!$A:$A,'Oct 2026'!$D35,'2026 Time Off Request'!$L:$L,'Oct 2026'!Z$6)</f>
        <v>0</v>
      </c>
      <c r="AA35" s="148">
        <f>COUNTIFS('2026 Time Off Request'!$A:$A,'Oct 2026'!$D35,'2026 Time Off Request'!$L:$L,'Oct 2026'!AA$6)</f>
        <v>0</v>
      </c>
      <c r="AB35" s="148">
        <f>COUNTIFS('2026 Time Off Request'!$A:$A,'Oct 2026'!$D35,'2026 Time Off Request'!$L:$L,'Oct 2026'!AB$6)</f>
        <v>0</v>
      </c>
      <c r="AC35" s="147">
        <f>COUNTIFS('2026 Time Off Request'!$A:$A,'Oct 2026'!$D35,'2026 Time Off Request'!$L:$L,'Oct 2026'!AC$6)</f>
        <v>0</v>
      </c>
      <c r="AD35" s="147">
        <f>COUNTIFS('2026 Time Off Request'!$A:$A,'Oct 2026'!$D35,'2026 Time Off Request'!$L:$L,'Oct 2026'!AD$6)</f>
        <v>0</v>
      </c>
      <c r="AE35" s="148">
        <f>COUNTIFS('2026 Time Off Request'!$A:$A,'Oct 2026'!$D35,'2026 Time Off Request'!$L:$L,'Oct 2026'!AE$6)</f>
        <v>0</v>
      </c>
      <c r="AF35" s="148">
        <f>COUNTIFS('2026 Time Off Request'!$A:$A,'Oct 2026'!$D35,'2026 Time Off Request'!$L:$L,'Oct 2026'!AF$6)</f>
        <v>0</v>
      </c>
      <c r="AG35" s="148">
        <f>COUNTIFS('2026 Time Off Request'!$A:$A,'Oct 2026'!$D35,'2026 Time Off Request'!$L:$L,'Oct 2026'!AG$6)</f>
        <v>0</v>
      </c>
      <c r="AH35" s="148">
        <f>COUNTIFS('2026 Time Off Request'!$A:$A,'Oct 2026'!$D35,'2026 Time Off Request'!$L:$L,'Oct 2026'!AH$6)</f>
        <v>0</v>
      </c>
      <c r="AI35" s="148">
        <f>COUNTIFS('2026 Time Off Request'!$A:$A,'Oct 2026'!$D35,'2026 Time Off Request'!$L:$L,'Oct 2026'!AI$6)</f>
        <v>0</v>
      </c>
      <c r="AJ35" s="147">
        <f>COUNTIFS('2026 Time Off Request'!$A:$A,'Oct 2026'!$D35,'2026 Time Off Request'!$L:$L,'Oct 2026'!AJ$6)</f>
        <v>0</v>
      </c>
    </row>
    <row r="36" spans="1:36" ht="15.75">
      <c r="A36" s="2">
        <v>27</v>
      </c>
      <c r="B36" s="209" t="s">
        <v>49</v>
      </c>
      <c r="C36" s="210" t="s">
        <v>75</v>
      </c>
      <c r="D36" s="215" t="s">
        <v>76</v>
      </c>
      <c r="E36" s="212">
        <f t="shared" si="2"/>
        <v>0</v>
      </c>
      <c r="F36" s="223">
        <f>COUNTIFS('2026 Time Off Request'!$A:$A,'Oct 2026'!$D36,'2026 Time Off Request'!$L:$L,'Oct 2026'!F$6)</f>
        <v>0</v>
      </c>
      <c r="G36" s="148">
        <f>COUNTIFS('2026 Time Off Request'!$A:$A,'Oct 2026'!$D36,'2026 Time Off Request'!$L:$L,'Oct 2026'!G$6)</f>
        <v>0</v>
      </c>
      <c r="H36" s="147">
        <f>COUNTIFS('2026 Time Off Request'!$A:$A,'Oct 2026'!$D36,'2026 Time Off Request'!$L:$L,'Oct 2026'!H$6)</f>
        <v>0</v>
      </c>
      <c r="I36" s="147">
        <f>COUNTIFS('2026 Time Off Request'!$A:$A,'Oct 2026'!$D36,'2026 Time Off Request'!$L:$L,'Oct 2026'!I$6)</f>
        <v>0</v>
      </c>
      <c r="J36" s="148">
        <f>COUNTIFS('2026 Time Off Request'!$A:$A,'Oct 2026'!$D36,'2026 Time Off Request'!$L:$L,'Oct 2026'!J$6)</f>
        <v>0</v>
      </c>
      <c r="K36" s="148">
        <f>COUNTIFS('2026 Time Off Request'!$A:$A,'Oct 2026'!$D36,'2026 Time Off Request'!$L:$L,'Oct 2026'!K$6)</f>
        <v>0</v>
      </c>
      <c r="L36" s="148">
        <f>COUNTIFS('2026 Time Off Request'!$A:$A,'Oct 2026'!$D36,'2026 Time Off Request'!$L:$L,'Oct 2026'!L$6)</f>
        <v>0</v>
      </c>
      <c r="M36" s="148">
        <f>COUNTIFS('2026 Time Off Request'!$A:$A,'Oct 2026'!$D36,'2026 Time Off Request'!$L:$L,'Oct 2026'!M$6)</f>
        <v>0</v>
      </c>
      <c r="N36" s="148">
        <f>COUNTIFS('2026 Time Off Request'!$A:$A,'Oct 2026'!$D36,'2026 Time Off Request'!$L:$L,'Oct 2026'!N$6)</f>
        <v>0</v>
      </c>
      <c r="O36" s="147">
        <f>COUNTIFS('2026 Time Off Request'!$A:$A,'Oct 2026'!$D36,'2026 Time Off Request'!$L:$L,'Oct 2026'!O$6)</f>
        <v>0</v>
      </c>
      <c r="P36" s="147">
        <f>COUNTIFS('2026 Time Off Request'!$A:$A,'Oct 2026'!$D36,'2026 Time Off Request'!$L:$L,'Oct 2026'!P$6)</f>
        <v>0</v>
      </c>
      <c r="Q36" s="224">
        <f>COUNTIFS('2026 Time Off Request'!$A:$A,'Oct 2026'!$D36,'2026 Time Off Request'!$L:$L,'Oct 2026'!Q$6)</f>
        <v>0</v>
      </c>
      <c r="R36" s="148">
        <f>COUNTIFS('2026 Time Off Request'!$A:$A,'Oct 2026'!$D36,'2026 Time Off Request'!$L:$L,'Oct 2026'!R$6)</f>
        <v>0</v>
      </c>
      <c r="S36" s="148">
        <f>COUNTIFS('2026 Time Off Request'!$A:$A,'Oct 2026'!$D36,'2026 Time Off Request'!$L:$L,'Oct 2026'!S$6)</f>
        <v>0</v>
      </c>
      <c r="T36" s="148">
        <f>COUNTIFS('2026 Time Off Request'!$A:$A,'Oct 2026'!$D36,'2026 Time Off Request'!$L:$L,'Oct 2026'!T$6)</f>
        <v>0</v>
      </c>
      <c r="U36" s="148">
        <f>COUNTIFS('2026 Time Off Request'!$A:$A,'Oct 2026'!$D36,'2026 Time Off Request'!$L:$L,'Oct 2026'!U$6)</f>
        <v>0</v>
      </c>
      <c r="V36" s="147">
        <f>COUNTIFS('2026 Time Off Request'!$A:$A,'Oct 2026'!$D36,'2026 Time Off Request'!$L:$L,'Oct 2026'!V$6)</f>
        <v>0</v>
      </c>
      <c r="W36" s="147">
        <f>COUNTIFS('2026 Time Off Request'!$A:$A,'Oct 2026'!$D36,'2026 Time Off Request'!$L:$L,'Oct 2026'!W$6)</f>
        <v>0</v>
      </c>
      <c r="X36" s="148">
        <f>COUNTIFS('2026 Time Off Request'!$A:$A,'Oct 2026'!$D36,'2026 Time Off Request'!$L:$L,'Oct 2026'!X$6)</f>
        <v>0</v>
      </c>
      <c r="Y36" s="148">
        <f>COUNTIFS('2026 Time Off Request'!$A:$A,'Oct 2026'!$D36,'2026 Time Off Request'!$L:$L,'Oct 2026'!Y$6)</f>
        <v>0</v>
      </c>
      <c r="Z36" s="148">
        <f>COUNTIFS('2026 Time Off Request'!$A:$A,'Oct 2026'!$D36,'2026 Time Off Request'!$L:$L,'Oct 2026'!Z$6)</f>
        <v>0</v>
      </c>
      <c r="AA36" s="148">
        <f>COUNTIFS('2026 Time Off Request'!$A:$A,'Oct 2026'!$D36,'2026 Time Off Request'!$L:$L,'Oct 2026'!AA$6)</f>
        <v>0</v>
      </c>
      <c r="AB36" s="148">
        <f>COUNTIFS('2026 Time Off Request'!$A:$A,'Oct 2026'!$D36,'2026 Time Off Request'!$L:$L,'Oct 2026'!AB$6)</f>
        <v>0</v>
      </c>
      <c r="AC36" s="147">
        <f>COUNTIFS('2026 Time Off Request'!$A:$A,'Oct 2026'!$D36,'2026 Time Off Request'!$L:$L,'Oct 2026'!AC$6)</f>
        <v>0</v>
      </c>
      <c r="AD36" s="147">
        <f>COUNTIFS('2026 Time Off Request'!$A:$A,'Oct 2026'!$D36,'2026 Time Off Request'!$L:$L,'Oct 2026'!AD$6)</f>
        <v>0</v>
      </c>
      <c r="AE36" s="148">
        <f>COUNTIFS('2026 Time Off Request'!$A:$A,'Oct 2026'!$D36,'2026 Time Off Request'!$L:$L,'Oct 2026'!AE$6)</f>
        <v>0</v>
      </c>
      <c r="AF36" s="148">
        <f>COUNTIFS('2026 Time Off Request'!$A:$A,'Oct 2026'!$D36,'2026 Time Off Request'!$L:$L,'Oct 2026'!AF$6)</f>
        <v>0</v>
      </c>
      <c r="AG36" s="148">
        <f>COUNTIFS('2026 Time Off Request'!$A:$A,'Oct 2026'!$D36,'2026 Time Off Request'!$L:$L,'Oct 2026'!AG$6)</f>
        <v>0</v>
      </c>
      <c r="AH36" s="148">
        <f>COUNTIFS('2026 Time Off Request'!$A:$A,'Oct 2026'!$D36,'2026 Time Off Request'!$L:$L,'Oct 2026'!AH$6)</f>
        <v>0</v>
      </c>
      <c r="AI36" s="148">
        <f>COUNTIFS('2026 Time Off Request'!$A:$A,'Oct 2026'!$D36,'2026 Time Off Request'!$L:$L,'Oct 2026'!AI$6)</f>
        <v>0</v>
      </c>
      <c r="AJ36" s="147">
        <f>COUNTIFS('2026 Time Off Request'!$A:$A,'Oct 2026'!$D36,'2026 Time Off Request'!$L:$L,'Oct 2026'!AJ$6)</f>
        <v>0</v>
      </c>
    </row>
    <row r="37" spans="1:36" ht="15.75">
      <c r="A37" s="2">
        <v>28</v>
      </c>
      <c r="B37" s="209" t="s">
        <v>45</v>
      </c>
      <c r="C37" s="210" t="s">
        <v>77</v>
      </c>
      <c r="D37" s="215" t="s">
        <v>78</v>
      </c>
      <c r="E37" s="212">
        <f t="shared" si="2"/>
        <v>0</v>
      </c>
      <c r="F37" s="223">
        <f>COUNTIFS('2026 Time Off Request'!$A:$A,'Oct 2026'!$D37,'2026 Time Off Request'!$L:$L,'Oct 2026'!F$6)</f>
        <v>0</v>
      </c>
      <c r="G37" s="148">
        <f>COUNTIFS('2026 Time Off Request'!$A:$A,'Oct 2026'!$D37,'2026 Time Off Request'!$L:$L,'Oct 2026'!G$6)</f>
        <v>0</v>
      </c>
      <c r="H37" s="147">
        <f>COUNTIFS('2026 Time Off Request'!$A:$A,'Oct 2026'!$D37,'2026 Time Off Request'!$L:$L,'Oct 2026'!H$6)</f>
        <v>0</v>
      </c>
      <c r="I37" s="147">
        <f>COUNTIFS('2026 Time Off Request'!$A:$A,'Oct 2026'!$D37,'2026 Time Off Request'!$L:$L,'Oct 2026'!I$6)</f>
        <v>0</v>
      </c>
      <c r="J37" s="148">
        <f>COUNTIFS('2026 Time Off Request'!$A:$A,'Oct 2026'!$D37,'2026 Time Off Request'!$L:$L,'Oct 2026'!J$6)</f>
        <v>0</v>
      </c>
      <c r="K37" s="148">
        <f>COUNTIFS('2026 Time Off Request'!$A:$A,'Oct 2026'!$D37,'2026 Time Off Request'!$L:$L,'Oct 2026'!K$6)</f>
        <v>0</v>
      </c>
      <c r="L37" s="148">
        <f>COUNTIFS('2026 Time Off Request'!$A:$A,'Oct 2026'!$D37,'2026 Time Off Request'!$L:$L,'Oct 2026'!L$6)</f>
        <v>0</v>
      </c>
      <c r="M37" s="148">
        <f>COUNTIFS('2026 Time Off Request'!$A:$A,'Oct 2026'!$D37,'2026 Time Off Request'!$L:$L,'Oct 2026'!M$6)</f>
        <v>0</v>
      </c>
      <c r="N37" s="148">
        <f>COUNTIFS('2026 Time Off Request'!$A:$A,'Oct 2026'!$D37,'2026 Time Off Request'!$L:$L,'Oct 2026'!N$6)</f>
        <v>0</v>
      </c>
      <c r="O37" s="147">
        <f>COUNTIFS('2026 Time Off Request'!$A:$A,'Oct 2026'!$D37,'2026 Time Off Request'!$L:$L,'Oct 2026'!O$6)</f>
        <v>0</v>
      </c>
      <c r="P37" s="147">
        <f>COUNTIFS('2026 Time Off Request'!$A:$A,'Oct 2026'!$D37,'2026 Time Off Request'!$L:$L,'Oct 2026'!P$6)</f>
        <v>0</v>
      </c>
      <c r="Q37" s="224">
        <f>COUNTIFS('2026 Time Off Request'!$A:$A,'Oct 2026'!$D37,'2026 Time Off Request'!$L:$L,'Oct 2026'!Q$6)</f>
        <v>0</v>
      </c>
      <c r="R37" s="148">
        <f>COUNTIFS('2026 Time Off Request'!$A:$A,'Oct 2026'!$D37,'2026 Time Off Request'!$L:$L,'Oct 2026'!R$6)</f>
        <v>0</v>
      </c>
      <c r="S37" s="148">
        <f>COUNTIFS('2026 Time Off Request'!$A:$A,'Oct 2026'!$D37,'2026 Time Off Request'!$L:$L,'Oct 2026'!S$6)</f>
        <v>0</v>
      </c>
      <c r="T37" s="148">
        <f>COUNTIFS('2026 Time Off Request'!$A:$A,'Oct 2026'!$D37,'2026 Time Off Request'!$L:$L,'Oct 2026'!T$6)</f>
        <v>0</v>
      </c>
      <c r="U37" s="148">
        <f>COUNTIFS('2026 Time Off Request'!$A:$A,'Oct 2026'!$D37,'2026 Time Off Request'!$L:$L,'Oct 2026'!U$6)</f>
        <v>0</v>
      </c>
      <c r="V37" s="147">
        <f>COUNTIFS('2026 Time Off Request'!$A:$A,'Oct 2026'!$D37,'2026 Time Off Request'!$L:$L,'Oct 2026'!V$6)</f>
        <v>0</v>
      </c>
      <c r="W37" s="147">
        <f>COUNTIFS('2026 Time Off Request'!$A:$A,'Oct 2026'!$D37,'2026 Time Off Request'!$L:$L,'Oct 2026'!W$6)</f>
        <v>0</v>
      </c>
      <c r="X37" s="148">
        <f>COUNTIFS('2026 Time Off Request'!$A:$A,'Oct 2026'!$D37,'2026 Time Off Request'!$L:$L,'Oct 2026'!X$6)</f>
        <v>0</v>
      </c>
      <c r="Y37" s="148">
        <f>COUNTIFS('2026 Time Off Request'!$A:$A,'Oct 2026'!$D37,'2026 Time Off Request'!$L:$L,'Oct 2026'!Y$6)</f>
        <v>0</v>
      </c>
      <c r="Z37" s="148">
        <f>COUNTIFS('2026 Time Off Request'!$A:$A,'Oct 2026'!$D37,'2026 Time Off Request'!$L:$L,'Oct 2026'!Z$6)</f>
        <v>0</v>
      </c>
      <c r="AA37" s="148">
        <f>COUNTIFS('2026 Time Off Request'!$A:$A,'Oct 2026'!$D37,'2026 Time Off Request'!$L:$L,'Oct 2026'!AA$6)</f>
        <v>0</v>
      </c>
      <c r="AB37" s="148">
        <f>COUNTIFS('2026 Time Off Request'!$A:$A,'Oct 2026'!$D37,'2026 Time Off Request'!$L:$L,'Oct 2026'!AB$6)</f>
        <v>0</v>
      </c>
      <c r="AC37" s="147">
        <f>COUNTIFS('2026 Time Off Request'!$A:$A,'Oct 2026'!$D37,'2026 Time Off Request'!$L:$L,'Oct 2026'!AC$6)</f>
        <v>0</v>
      </c>
      <c r="AD37" s="147">
        <f>COUNTIFS('2026 Time Off Request'!$A:$A,'Oct 2026'!$D37,'2026 Time Off Request'!$L:$L,'Oct 2026'!AD$6)</f>
        <v>0</v>
      </c>
      <c r="AE37" s="148">
        <f>COUNTIFS('2026 Time Off Request'!$A:$A,'Oct 2026'!$D37,'2026 Time Off Request'!$L:$L,'Oct 2026'!AE$6)</f>
        <v>0</v>
      </c>
      <c r="AF37" s="148">
        <f>COUNTIFS('2026 Time Off Request'!$A:$A,'Oct 2026'!$D37,'2026 Time Off Request'!$L:$L,'Oct 2026'!AF$6)</f>
        <v>0</v>
      </c>
      <c r="AG37" s="148">
        <f>COUNTIFS('2026 Time Off Request'!$A:$A,'Oct 2026'!$D37,'2026 Time Off Request'!$L:$L,'Oct 2026'!AG$6)</f>
        <v>0</v>
      </c>
      <c r="AH37" s="148">
        <f>COUNTIFS('2026 Time Off Request'!$A:$A,'Oct 2026'!$D37,'2026 Time Off Request'!$L:$L,'Oct 2026'!AH$6)</f>
        <v>0</v>
      </c>
      <c r="AI37" s="148">
        <f>COUNTIFS('2026 Time Off Request'!$A:$A,'Oct 2026'!$D37,'2026 Time Off Request'!$L:$L,'Oct 2026'!AI$6)</f>
        <v>0</v>
      </c>
      <c r="AJ37" s="147">
        <f>COUNTIFS('2026 Time Off Request'!$A:$A,'Oct 2026'!$D37,'2026 Time Off Request'!$L:$L,'Oct 2026'!AJ$6)</f>
        <v>0</v>
      </c>
    </row>
    <row r="38" spans="1:36" ht="15.75">
      <c r="A38" s="2">
        <v>29</v>
      </c>
      <c r="B38" s="209" t="s">
        <v>45</v>
      </c>
      <c r="C38" s="210" t="s">
        <v>77</v>
      </c>
      <c r="D38" s="215" t="s">
        <v>79</v>
      </c>
      <c r="E38" s="212">
        <f t="shared" si="2"/>
        <v>0</v>
      </c>
      <c r="F38" s="223">
        <f>COUNTIFS('2026 Time Off Request'!$A:$A,'Oct 2026'!$D38,'2026 Time Off Request'!$L:$L,'Oct 2026'!F$6)</f>
        <v>0</v>
      </c>
      <c r="G38" s="148">
        <f>COUNTIFS('2026 Time Off Request'!$A:$A,'Oct 2026'!$D38,'2026 Time Off Request'!$L:$L,'Oct 2026'!G$6)</f>
        <v>0</v>
      </c>
      <c r="H38" s="147">
        <f>COUNTIFS('2026 Time Off Request'!$A:$A,'Oct 2026'!$D38,'2026 Time Off Request'!$L:$L,'Oct 2026'!H$6)</f>
        <v>0</v>
      </c>
      <c r="I38" s="147">
        <f>COUNTIFS('2026 Time Off Request'!$A:$A,'Oct 2026'!$D38,'2026 Time Off Request'!$L:$L,'Oct 2026'!I$6)</f>
        <v>0</v>
      </c>
      <c r="J38" s="148">
        <f>COUNTIFS('2026 Time Off Request'!$A:$A,'Oct 2026'!$D38,'2026 Time Off Request'!$L:$L,'Oct 2026'!J$6)</f>
        <v>0</v>
      </c>
      <c r="K38" s="148">
        <f>COUNTIFS('2026 Time Off Request'!$A:$A,'Oct 2026'!$D38,'2026 Time Off Request'!$L:$L,'Oct 2026'!K$6)</f>
        <v>0</v>
      </c>
      <c r="L38" s="148">
        <f>COUNTIFS('2026 Time Off Request'!$A:$A,'Oct 2026'!$D38,'2026 Time Off Request'!$L:$L,'Oct 2026'!L$6)</f>
        <v>0</v>
      </c>
      <c r="M38" s="148">
        <f>COUNTIFS('2026 Time Off Request'!$A:$A,'Oct 2026'!$D38,'2026 Time Off Request'!$L:$L,'Oct 2026'!M$6)</f>
        <v>0</v>
      </c>
      <c r="N38" s="148">
        <f>COUNTIFS('2026 Time Off Request'!$A:$A,'Oct 2026'!$D38,'2026 Time Off Request'!$L:$L,'Oct 2026'!N$6)</f>
        <v>0</v>
      </c>
      <c r="O38" s="147">
        <f>COUNTIFS('2026 Time Off Request'!$A:$A,'Oct 2026'!$D38,'2026 Time Off Request'!$L:$L,'Oct 2026'!O$6)</f>
        <v>0</v>
      </c>
      <c r="P38" s="147">
        <f>COUNTIFS('2026 Time Off Request'!$A:$A,'Oct 2026'!$D38,'2026 Time Off Request'!$L:$L,'Oct 2026'!P$6)</f>
        <v>0</v>
      </c>
      <c r="Q38" s="224">
        <f>COUNTIFS('2026 Time Off Request'!$A:$A,'Oct 2026'!$D38,'2026 Time Off Request'!$L:$L,'Oct 2026'!Q$6)</f>
        <v>0</v>
      </c>
      <c r="R38" s="148">
        <f>COUNTIFS('2026 Time Off Request'!$A:$A,'Oct 2026'!$D38,'2026 Time Off Request'!$L:$L,'Oct 2026'!R$6)</f>
        <v>0</v>
      </c>
      <c r="S38" s="148">
        <f>COUNTIFS('2026 Time Off Request'!$A:$A,'Oct 2026'!$D38,'2026 Time Off Request'!$L:$L,'Oct 2026'!S$6)</f>
        <v>0</v>
      </c>
      <c r="T38" s="148">
        <f>COUNTIFS('2026 Time Off Request'!$A:$A,'Oct 2026'!$D38,'2026 Time Off Request'!$L:$L,'Oct 2026'!T$6)</f>
        <v>0</v>
      </c>
      <c r="U38" s="148">
        <f>COUNTIFS('2026 Time Off Request'!$A:$A,'Oct 2026'!$D38,'2026 Time Off Request'!$L:$L,'Oct 2026'!U$6)</f>
        <v>0</v>
      </c>
      <c r="V38" s="147">
        <f>COUNTIFS('2026 Time Off Request'!$A:$A,'Oct 2026'!$D38,'2026 Time Off Request'!$L:$L,'Oct 2026'!V$6)</f>
        <v>0</v>
      </c>
      <c r="W38" s="147">
        <f>COUNTIFS('2026 Time Off Request'!$A:$A,'Oct 2026'!$D38,'2026 Time Off Request'!$L:$L,'Oct 2026'!W$6)</f>
        <v>0</v>
      </c>
      <c r="X38" s="148">
        <f>COUNTIFS('2026 Time Off Request'!$A:$A,'Oct 2026'!$D38,'2026 Time Off Request'!$L:$L,'Oct 2026'!X$6)</f>
        <v>0</v>
      </c>
      <c r="Y38" s="148">
        <f>COUNTIFS('2026 Time Off Request'!$A:$A,'Oct 2026'!$D38,'2026 Time Off Request'!$L:$L,'Oct 2026'!Y$6)</f>
        <v>0</v>
      </c>
      <c r="Z38" s="148">
        <f>COUNTIFS('2026 Time Off Request'!$A:$A,'Oct 2026'!$D38,'2026 Time Off Request'!$L:$L,'Oct 2026'!Z$6)</f>
        <v>0</v>
      </c>
      <c r="AA38" s="148">
        <f>COUNTIFS('2026 Time Off Request'!$A:$A,'Oct 2026'!$D38,'2026 Time Off Request'!$L:$L,'Oct 2026'!AA$6)</f>
        <v>0</v>
      </c>
      <c r="AB38" s="148">
        <f>COUNTIFS('2026 Time Off Request'!$A:$A,'Oct 2026'!$D38,'2026 Time Off Request'!$L:$L,'Oct 2026'!AB$6)</f>
        <v>0</v>
      </c>
      <c r="AC38" s="147">
        <f>COUNTIFS('2026 Time Off Request'!$A:$A,'Oct 2026'!$D38,'2026 Time Off Request'!$L:$L,'Oct 2026'!AC$6)</f>
        <v>0</v>
      </c>
      <c r="AD38" s="147">
        <f>COUNTIFS('2026 Time Off Request'!$A:$A,'Oct 2026'!$D38,'2026 Time Off Request'!$L:$L,'Oct 2026'!AD$6)</f>
        <v>0</v>
      </c>
      <c r="AE38" s="148">
        <f>COUNTIFS('2026 Time Off Request'!$A:$A,'Oct 2026'!$D38,'2026 Time Off Request'!$L:$L,'Oct 2026'!AE$6)</f>
        <v>0</v>
      </c>
      <c r="AF38" s="148">
        <f>COUNTIFS('2026 Time Off Request'!$A:$A,'Oct 2026'!$D38,'2026 Time Off Request'!$L:$L,'Oct 2026'!AF$6)</f>
        <v>0</v>
      </c>
      <c r="AG38" s="148">
        <f>COUNTIFS('2026 Time Off Request'!$A:$A,'Oct 2026'!$D38,'2026 Time Off Request'!$L:$L,'Oct 2026'!AG$6)</f>
        <v>0</v>
      </c>
      <c r="AH38" s="148">
        <f>COUNTIFS('2026 Time Off Request'!$A:$A,'Oct 2026'!$D38,'2026 Time Off Request'!$L:$L,'Oct 2026'!AH$6)</f>
        <v>0</v>
      </c>
      <c r="AI38" s="148">
        <f>COUNTIFS('2026 Time Off Request'!$A:$A,'Oct 2026'!$D38,'2026 Time Off Request'!$L:$L,'Oct 2026'!AI$6)</f>
        <v>0</v>
      </c>
      <c r="AJ38" s="147">
        <f>COUNTIFS('2026 Time Off Request'!$A:$A,'Oct 2026'!$D38,'2026 Time Off Request'!$L:$L,'Oct 2026'!AJ$6)</f>
        <v>0</v>
      </c>
    </row>
    <row r="39" spans="1:36" ht="15.75">
      <c r="A39" s="2">
        <v>30</v>
      </c>
      <c r="B39" s="209" t="s">
        <v>45</v>
      </c>
      <c r="C39" s="210" t="s">
        <v>77</v>
      </c>
      <c r="D39" s="215" t="s">
        <v>80</v>
      </c>
      <c r="E39" s="212">
        <f t="shared" si="2"/>
        <v>0</v>
      </c>
      <c r="F39" s="223">
        <f>COUNTIFS('2026 Time Off Request'!$A:$A,'Oct 2026'!$D39,'2026 Time Off Request'!$L:$L,'Oct 2026'!F$6)</f>
        <v>0</v>
      </c>
      <c r="G39" s="148">
        <f>COUNTIFS('2026 Time Off Request'!$A:$A,'Oct 2026'!$D39,'2026 Time Off Request'!$L:$L,'Oct 2026'!G$6)</f>
        <v>0</v>
      </c>
      <c r="H39" s="147">
        <f>COUNTIFS('2026 Time Off Request'!$A:$A,'Oct 2026'!$D39,'2026 Time Off Request'!$L:$L,'Oct 2026'!H$6)</f>
        <v>0</v>
      </c>
      <c r="I39" s="147">
        <f>COUNTIFS('2026 Time Off Request'!$A:$A,'Oct 2026'!$D39,'2026 Time Off Request'!$L:$L,'Oct 2026'!I$6)</f>
        <v>0</v>
      </c>
      <c r="J39" s="148">
        <f>COUNTIFS('2026 Time Off Request'!$A:$A,'Oct 2026'!$D39,'2026 Time Off Request'!$L:$L,'Oct 2026'!J$6)</f>
        <v>0</v>
      </c>
      <c r="K39" s="148">
        <f>COUNTIFS('2026 Time Off Request'!$A:$A,'Oct 2026'!$D39,'2026 Time Off Request'!$L:$L,'Oct 2026'!K$6)</f>
        <v>0</v>
      </c>
      <c r="L39" s="148">
        <f>COUNTIFS('2026 Time Off Request'!$A:$A,'Oct 2026'!$D39,'2026 Time Off Request'!$L:$L,'Oct 2026'!L$6)</f>
        <v>0</v>
      </c>
      <c r="M39" s="148">
        <f>COUNTIFS('2026 Time Off Request'!$A:$A,'Oct 2026'!$D39,'2026 Time Off Request'!$L:$L,'Oct 2026'!M$6)</f>
        <v>0</v>
      </c>
      <c r="N39" s="148">
        <f>COUNTIFS('2026 Time Off Request'!$A:$A,'Oct 2026'!$D39,'2026 Time Off Request'!$L:$L,'Oct 2026'!N$6)</f>
        <v>0</v>
      </c>
      <c r="O39" s="147">
        <f>COUNTIFS('2026 Time Off Request'!$A:$A,'Oct 2026'!$D39,'2026 Time Off Request'!$L:$L,'Oct 2026'!O$6)</f>
        <v>0</v>
      </c>
      <c r="P39" s="147">
        <f>COUNTIFS('2026 Time Off Request'!$A:$A,'Oct 2026'!$D39,'2026 Time Off Request'!$L:$L,'Oct 2026'!P$6)</f>
        <v>0</v>
      </c>
      <c r="Q39" s="224">
        <f>COUNTIFS('2026 Time Off Request'!$A:$A,'Oct 2026'!$D39,'2026 Time Off Request'!$L:$L,'Oct 2026'!Q$6)</f>
        <v>0</v>
      </c>
      <c r="R39" s="148">
        <f>COUNTIFS('2026 Time Off Request'!$A:$A,'Oct 2026'!$D39,'2026 Time Off Request'!$L:$L,'Oct 2026'!R$6)</f>
        <v>0</v>
      </c>
      <c r="S39" s="148">
        <f>COUNTIFS('2026 Time Off Request'!$A:$A,'Oct 2026'!$D39,'2026 Time Off Request'!$L:$L,'Oct 2026'!S$6)</f>
        <v>0</v>
      </c>
      <c r="T39" s="148">
        <f>COUNTIFS('2026 Time Off Request'!$A:$A,'Oct 2026'!$D39,'2026 Time Off Request'!$L:$L,'Oct 2026'!T$6)</f>
        <v>0</v>
      </c>
      <c r="U39" s="148">
        <f>COUNTIFS('2026 Time Off Request'!$A:$A,'Oct 2026'!$D39,'2026 Time Off Request'!$L:$L,'Oct 2026'!U$6)</f>
        <v>0</v>
      </c>
      <c r="V39" s="147">
        <f>COUNTIFS('2026 Time Off Request'!$A:$A,'Oct 2026'!$D39,'2026 Time Off Request'!$L:$L,'Oct 2026'!V$6)</f>
        <v>0</v>
      </c>
      <c r="W39" s="147">
        <f>COUNTIFS('2026 Time Off Request'!$A:$A,'Oct 2026'!$D39,'2026 Time Off Request'!$L:$L,'Oct 2026'!W$6)</f>
        <v>0</v>
      </c>
      <c r="X39" s="148">
        <f>COUNTIFS('2026 Time Off Request'!$A:$A,'Oct 2026'!$D39,'2026 Time Off Request'!$L:$L,'Oct 2026'!X$6)</f>
        <v>0</v>
      </c>
      <c r="Y39" s="148">
        <f>COUNTIFS('2026 Time Off Request'!$A:$A,'Oct 2026'!$D39,'2026 Time Off Request'!$L:$L,'Oct 2026'!Y$6)</f>
        <v>0</v>
      </c>
      <c r="Z39" s="148">
        <f>COUNTIFS('2026 Time Off Request'!$A:$A,'Oct 2026'!$D39,'2026 Time Off Request'!$L:$L,'Oct 2026'!Z$6)</f>
        <v>0</v>
      </c>
      <c r="AA39" s="148">
        <f>COUNTIFS('2026 Time Off Request'!$A:$A,'Oct 2026'!$D39,'2026 Time Off Request'!$L:$L,'Oct 2026'!AA$6)</f>
        <v>0</v>
      </c>
      <c r="AB39" s="148">
        <f>COUNTIFS('2026 Time Off Request'!$A:$A,'Oct 2026'!$D39,'2026 Time Off Request'!$L:$L,'Oct 2026'!AB$6)</f>
        <v>0</v>
      </c>
      <c r="AC39" s="147">
        <f>COUNTIFS('2026 Time Off Request'!$A:$A,'Oct 2026'!$D39,'2026 Time Off Request'!$L:$L,'Oct 2026'!AC$6)</f>
        <v>0</v>
      </c>
      <c r="AD39" s="147">
        <f>COUNTIFS('2026 Time Off Request'!$A:$A,'Oct 2026'!$D39,'2026 Time Off Request'!$L:$L,'Oct 2026'!AD$6)</f>
        <v>0</v>
      </c>
      <c r="AE39" s="148">
        <f>COUNTIFS('2026 Time Off Request'!$A:$A,'Oct 2026'!$D39,'2026 Time Off Request'!$L:$L,'Oct 2026'!AE$6)</f>
        <v>0</v>
      </c>
      <c r="AF39" s="148">
        <f>COUNTIFS('2026 Time Off Request'!$A:$A,'Oct 2026'!$D39,'2026 Time Off Request'!$L:$L,'Oct 2026'!AF$6)</f>
        <v>0</v>
      </c>
      <c r="AG39" s="148">
        <f>COUNTIFS('2026 Time Off Request'!$A:$A,'Oct 2026'!$D39,'2026 Time Off Request'!$L:$L,'Oct 2026'!AG$6)</f>
        <v>0</v>
      </c>
      <c r="AH39" s="148">
        <f>COUNTIFS('2026 Time Off Request'!$A:$A,'Oct 2026'!$D39,'2026 Time Off Request'!$L:$L,'Oct 2026'!AH$6)</f>
        <v>0</v>
      </c>
      <c r="AI39" s="148">
        <f>COUNTIFS('2026 Time Off Request'!$A:$A,'Oct 2026'!$D39,'2026 Time Off Request'!$L:$L,'Oct 2026'!AI$6)</f>
        <v>0</v>
      </c>
      <c r="AJ39" s="147">
        <f>COUNTIFS('2026 Time Off Request'!$A:$A,'Oct 2026'!$D39,'2026 Time Off Request'!$L:$L,'Oct 2026'!AJ$6)</f>
        <v>0</v>
      </c>
    </row>
    <row r="40" spans="1:36" ht="15.75">
      <c r="A40" s="2">
        <v>31</v>
      </c>
      <c r="B40" s="209" t="s">
        <v>49</v>
      </c>
      <c r="C40" s="210" t="s">
        <v>81</v>
      </c>
      <c r="D40" s="215" t="s">
        <v>82</v>
      </c>
      <c r="E40" s="212">
        <f t="shared" si="2"/>
        <v>0</v>
      </c>
      <c r="F40" s="223">
        <f>COUNTIFS('2026 Time Off Request'!$A:$A,'Oct 2026'!$D40,'2026 Time Off Request'!$L:$L,'Oct 2026'!F$6)</f>
        <v>0</v>
      </c>
      <c r="G40" s="148">
        <f>COUNTIFS('2026 Time Off Request'!$A:$A,'Oct 2026'!$D40,'2026 Time Off Request'!$L:$L,'Oct 2026'!G$6)</f>
        <v>0</v>
      </c>
      <c r="H40" s="147">
        <f>COUNTIFS('2026 Time Off Request'!$A:$A,'Oct 2026'!$D40,'2026 Time Off Request'!$L:$L,'Oct 2026'!H$6)</f>
        <v>0</v>
      </c>
      <c r="I40" s="147">
        <f>COUNTIFS('2026 Time Off Request'!$A:$A,'Oct 2026'!$D40,'2026 Time Off Request'!$L:$L,'Oct 2026'!I$6)</f>
        <v>0</v>
      </c>
      <c r="J40" s="148">
        <f>COUNTIFS('2026 Time Off Request'!$A:$A,'Oct 2026'!$D40,'2026 Time Off Request'!$L:$L,'Oct 2026'!J$6)</f>
        <v>0</v>
      </c>
      <c r="K40" s="148">
        <f>COUNTIFS('2026 Time Off Request'!$A:$A,'Oct 2026'!$D40,'2026 Time Off Request'!$L:$L,'Oct 2026'!K$6)</f>
        <v>0</v>
      </c>
      <c r="L40" s="148">
        <f>COUNTIFS('2026 Time Off Request'!$A:$A,'Oct 2026'!$D40,'2026 Time Off Request'!$L:$L,'Oct 2026'!L$6)</f>
        <v>0</v>
      </c>
      <c r="M40" s="148">
        <f>COUNTIFS('2026 Time Off Request'!$A:$A,'Oct 2026'!$D40,'2026 Time Off Request'!$L:$L,'Oct 2026'!M$6)</f>
        <v>0</v>
      </c>
      <c r="N40" s="148">
        <f>COUNTIFS('2026 Time Off Request'!$A:$A,'Oct 2026'!$D40,'2026 Time Off Request'!$L:$L,'Oct 2026'!N$6)</f>
        <v>0</v>
      </c>
      <c r="O40" s="147">
        <f>COUNTIFS('2026 Time Off Request'!$A:$A,'Oct 2026'!$D40,'2026 Time Off Request'!$L:$L,'Oct 2026'!O$6)</f>
        <v>0</v>
      </c>
      <c r="P40" s="147">
        <f>COUNTIFS('2026 Time Off Request'!$A:$A,'Oct 2026'!$D40,'2026 Time Off Request'!$L:$L,'Oct 2026'!P$6)</f>
        <v>0</v>
      </c>
      <c r="Q40" s="224">
        <f>COUNTIFS('2026 Time Off Request'!$A:$A,'Oct 2026'!$D40,'2026 Time Off Request'!$L:$L,'Oct 2026'!Q$6)</f>
        <v>0</v>
      </c>
      <c r="R40" s="148">
        <f>COUNTIFS('2026 Time Off Request'!$A:$A,'Oct 2026'!$D40,'2026 Time Off Request'!$L:$L,'Oct 2026'!R$6)</f>
        <v>0</v>
      </c>
      <c r="S40" s="148">
        <f>COUNTIFS('2026 Time Off Request'!$A:$A,'Oct 2026'!$D40,'2026 Time Off Request'!$L:$L,'Oct 2026'!S$6)</f>
        <v>0</v>
      </c>
      <c r="T40" s="148">
        <f>COUNTIFS('2026 Time Off Request'!$A:$A,'Oct 2026'!$D40,'2026 Time Off Request'!$L:$L,'Oct 2026'!T$6)</f>
        <v>0</v>
      </c>
      <c r="U40" s="148">
        <f>COUNTIFS('2026 Time Off Request'!$A:$A,'Oct 2026'!$D40,'2026 Time Off Request'!$L:$L,'Oct 2026'!U$6)</f>
        <v>0</v>
      </c>
      <c r="V40" s="147">
        <f>COUNTIFS('2026 Time Off Request'!$A:$A,'Oct 2026'!$D40,'2026 Time Off Request'!$L:$L,'Oct 2026'!V$6)</f>
        <v>0</v>
      </c>
      <c r="W40" s="147">
        <f>COUNTIFS('2026 Time Off Request'!$A:$A,'Oct 2026'!$D40,'2026 Time Off Request'!$L:$L,'Oct 2026'!W$6)</f>
        <v>0</v>
      </c>
      <c r="X40" s="148">
        <f>COUNTIFS('2026 Time Off Request'!$A:$A,'Oct 2026'!$D40,'2026 Time Off Request'!$L:$L,'Oct 2026'!X$6)</f>
        <v>0</v>
      </c>
      <c r="Y40" s="148">
        <f>COUNTIFS('2026 Time Off Request'!$A:$A,'Oct 2026'!$D40,'2026 Time Off Request'!$L:$L,'Oct 2026'!Y$6)</f>
        <v>0</v>
      </c>
      <c r="Z40" s="148">
        <f>COUNTIFS('2026 Time Off Request'!$A:$A,'Oct 2026'!$D40,'2026 Time Off Request'!$L:$L,'Oct 2026'!Z$6)</f>
        <v>0</v>
      </c>
      <c r="AA40" s="148">
        <f>COUNTIFS('2026 Time Off Request'!$A:$A,'Oct 2026'!$D40,'2026 Time Off Request'!$L:$L,'Oct 2026'!AA$6)</f>
        <v>0</v>
      </c>
      <c r="AB40" s="148">
        <f>COUNTIFS('2026 Time Off Request'!$A:$A,'Oct 2026'!$D40,'2026 Time Off Request'!$L:$L,'Oct 2026'!AB$6)</f>
        <v>0</v>
      </c>
      <c r="AC40" s="147">
        <f>COUNTIFS('2026 Time Off Request'!$A:$A,'Oct 2026'!$D40,'2026 Time Off Request'!$L:$L,'Oct 2026'!AC$6)</f>
        <v>0</v>
      </c>
      <c r="AD40" s="147">
        <f>COUNTIFS('2026 Time Off Request'!$A:$A,'Oct 2026'!$D40,'2026 Time Off Request'!$L:$L,'Oct 2026'!AD$6)</f>
        <v>0</v>
      </c>
      <c r="AE40" s="148">
        <f>COUNTIFS('2026 Time Off Request'!$A:$A,'Oct 2026'!$D40,'2026 Time Off Request'!$L:$L,'Oct 2026'!AE$6)</f>
        <v>0</v>
      </c>
      <c r="AF40" s="148">
        <f>COUNTIFS('2026 Time Off Request'!$A:$A,'Oct 2026'!$D40,'2026 Time Off Request'!$L:$L,'Oct 2026'!AF$6)</f>
        <v>0</v>
      </c>
      <c r="AG40" s="148">
        <f>COUNTIFS('2026 Time Off Request'!$A:$A,'Oct 2026'!$D40,'2026 Time Off Request'!$L:$L,'Oct 2026'!AG$6)</f>
        <v>0</v>
      </c>
      <c r="AH40" s="148">
        <f>COUNTIFS('2026 Time Off Request'!$A:$A,'Oct 2026'!$D40,'2026 Time Off Request'!$L:$L,'Oct 2026'!AH$6)</f>
        <v>0</v>
      </c>
      <c r="AI40" s="148">
        <f>COUNTIFS('2026 Time Off Request'!$A:$A,'Oct 2026'!$D40,'2026 Time Off Request'!$L:$L,'Oct 2026'!AI$6)</f>
        <v>0</v>
      </c>
      <c r="AJ40" s="147">
        <f>COUNTIFS('2026 Time Off Request'!$A:$A,'Oct 2026'!$D40,'2026 Time Off Request'!$L:$L,'Oct 2026'!AJ$6)</f>
        <v>0</v>
      </c>
    </row>
    <row r="41" spans="1:36" ht="15.75">
      <c r="A41" s="2">
        <v>32</v>
      </c>
      <c r="B41" s="209" t="s">
        <v>45</v>
      </c>
      <c r="C41" s="210" t="s">
        <v>83</v>
      </c>
      <c r="D41" s="215" t="s">
        <v>84</v>
      </c>
      <c r="E41" s="212">
        <f t="shared" si="2"/>
        <v>0</v>
      </c>
      <c r="F41" s="223">
        <f>COUNTIFS('2026 Time Off Request'!$A:$A,'Oct 2026'!$D41,'2026 Time Off Request'!$L:$L,'Oct 2026'!F$6)</f>
        <v>0</v>
      </c>
      <c r="G41" s="148">
        <f>COUNTIFS('2026 Time Off Request'!$A:$A,'Oct 2026'!$D41,'2026 Time Off Request'!$L:$L,'Oct 2026'!G$6)</f>
        <v>0</v>
      </c>
      <c r="H41" s="147">
        <f>COUNTIFS('2026 Time Off Request'!$A:$A,'Oct 2026'!$D41,'2026 Time Off Request'!$L:$L,'Oct 2026'!H$6)</f>
        <v>0</v>
      </c>
      <c r="I41" s="147">
        <f>COUNTIFS('2026 Time Off Request'!$A:$A,'Oct 2026'!$D41,'2026 Time Off Request'!$L:$L,'Oct 2026'!I$6)</f>
        <v>0</v>
      </c>
      <c r="J41" s="148">
        <f>COUNTIFS('2026 Time Off Request'!$A:$A,'Oct 2026'!$D41,'2026 Time Off Request'!$L:$L,'Oct 2026'!J$6)</f>
        <v>0</v>
      </c>
      <c r="K41" s="148">
        <f>COUNTIFS('2026 Time Off Request'!$A:$A,'Oct 2026'!$D41,'2026 Time Off Request'!$L:$L,'Oct 2026'!K$6)</f>
        <v>0</v>
      </c>
      <c r="L41" s="148">
        <f>COUNTIFS('2026 Time Off Request'!$A:$A,'Oct 2026'!$D41,'2026 Time Off Request'!$L:$L,'Oct 2026'!L$6)</f>
        <v>0</v>
      </c>
      <c r="M41" s="148">
        <f>COUNTIFS('2026 Time Off Request'!$A:$A,'Oct 2026'!$D41,'2026 Time Off Request'!$L:$L,'Oct 2026'!M$6)</f>
        <v>0</v>
      </c>
      <c r="N41" s="148">
        <f>COUNTIFS('2026 Time Off Request'!$A:$A,'Oct 2026'!$D41,'2026 Time Off Request'!$L:$L,'Oct 2026'!N$6)</f>
        <v>0</v>
      </c>
      <c r="O41" s="147">
        <f>COUNTIFS('2026 Time Off Request'!$A:$A,'Oct 2026'!$D41,'2026 Time Off Request'!$L:$L,'Oct 2026'!O$6)</f>
        <v>0</v>
      </c>
      <c r="P41" s="147">
        <f>COUNTIFS('2026 Time Off Request'!$A:$A,'Oct 2026'!$D41,'2026 Time Off Request'!$L:$L,'Oct 2026'!P$6)</f>
        <v>0</v>
      </c>
      <c r="Q41" s="224">
        <f>COUNTIFS('2026 Time Off Request'!$A:$A,'Oct 2026'!$D41,'2026 Time Off Request'!$L:$L,'Oct 2026'!Q$6)</f>
        <v>0</v>
      </c>
      <c r="R41" s="148">
        <f>COUNTIFS('2026 Time Off Request'!$A:$A,'Oct 2026'!$D41,'2026 Time Off Request'!$L:$L,'Oct 2026'!R$6)</f>
        <v>0</v>
      </c>
      <c r="S41" s="148">
        <f>COUNTIFS('2026 Time Off Request'!$A:$A,'Oct 2026'!$D41,'2026 Time Off Request'!$L:$L,'Oct 2026'!S$6)</f>
        <v>0</v>
      </c>
      <c r="T41" s="148">
        <f>COUNTIFS('2026 Time Off Request'!$A:$A,'Oct 2026'!$D41,'2026 Time Off Request'!$L:$L,'Oct 2026'!T$6)</f>
        <v>0</v>
      </c>
      <c r="U41" s="148">
        <f>COUNTIFS('2026 Time Off Request'!$A:$A,'Oct 2026'!$D41,'2026 Time Off Request'!$L:$L,'Oct 2026'!U$6)</f>
        <v>0</v>
      </c>
      <c r="V41" s="147">
        <f>COUNTIFS('2026 Time Off Request'!$A:$A,'Oct 2026'!$D41,'2026 Time Off Request'!$L:$L,'Oct 2026'!V$6)</f>
        <v>0</v>
      </c>
      <c r="W41" s="147">
        <f>COUNTIFS('2026 Time Off Request'!$A:$A,'Oct 2026'!$D41,'2026 Time Off Request'!$L:$L,'Oct 2026'!W$6)</f>
        <v>0</v>
      </c>
      <c r="X41" s="148">
        <f>COUNTIFS('2026 Time Off Request'!$A:$A,'Oct 2026'!$D41,'2026 Time Off Request'!$L:$L,'Oct 2026'!X$6)</f>
        <v>0</v>
      </c>
      <c r="Y41" s="148">
        <f>COUNTIFS('2026 Time Off Request'!$A:$A,'Oct 2026'!$D41,'2026 Time Off Request'!$L:$L,'Oct 2026'!Y$6)</f>
        <v>0</v>
      </c>
      <c r="Z41" s="148">
        <f>COUNTIFS('2026 Time Off Request'!$A:$A,'Oct 2026'!$D41,'2026 Time Off Request'!$L:$L,'Oct 2026'!Z$6)</f>
        <v>0</v>
      </c>
      <c r="AA41" s="148">
        <f>COUNTIFS('2026 Time Off Request'!$A:$A,'Oct 2026'!$D41,'2026 Time Off Request'!$L:$L,'Oct 2026'!AA$6)</f>
        <v>0</v>
      </c>
      <c r="AB41" s="148">
        <f>COUNTIFS('2026 Time Off Request'!$A:$A,'Oct 2026'!$D41,'2026 Time Off Request'!$L:$L,'Oct 2026'!AB$6)</f>
        <v>0</v>
      </c>
      <c r="AC41" s="147">
        <f>COUNTIFS('2026 Time Off Request'!$A:$A,'Oct 2026'!$D41,'2026 Time Off Request'!$L:$L,'Oct 2026'!AC$6)</f>
        <v>0</v>
      </c>
      <c r="AD41" s="147">
        <f>COUNTIFS('2026 Time Off Request'!$A:$A,'Oct 2026'!$D41,'2026 Time Off Request'!$L:$L,'Oct 2026'!AD$6)</f>
        <v>0</v>
      </c>
      <c r="AE41" s="148">
        <f>COUNTIFS('2026 Time Off Request'!$A:$A,'Oct 2026'!$D41,'2026 Time Off Request'!$L:$L,'Oct 2026'!AE$6)</f>
        <v>0</v>
      </c>
      <c r="AF41" s="148">
        <f>COUNTIFS('2026 Time Off Request'!$A:$A,'Oct 2026'!$D41,'2026 Time Off Request'!$L:$L,'Oct 2026'!AF$6)</f>
        <v>0</v>
      </c>
      <c r="AG41" s="148">
        <f>COUNTIFS('2026 Time Off Request'!$A:$A,'Oct 2026'!$D41,'2026 Time Off Request'!$L:$L,'Oct 2026'!AG$6)</f>
        <v>0</v>
      </c>
      <c r="AH41" s="148">
        <f>COUNTIFS('2026 Time Off Request'!$A:$A,'Oct 2026'!$D41,'2026 Time Off Request'!$L:$L,'Oct 2026'!AH$6)</f>
        <v>0</v>
      </c>
      <c r="AI41" s="148">
        <f>COUNTIFS('2026 Time Off Request'!$A:$A,'Oct 2026'!$D41,'2026 Time Off Request'!$L:$L,'Oct 2026'!AI$6)</f>
        <v>0</v>
      </c>
      <c r="AJ41" s="147">
        <f>COUNTIFS('2026 Time Off Request'!$A:$A,'Oct 2026'!$D41,'2026 Time Off Request'!$L:$L,'Oct 2026'!AJ$6)</f>
        <v>0</v>
      </c>
    </row>
    <row r="42" spans="1:36" ht="15.75">
      <c r="A42" s="2">
        <v>33</v>
      </c>
      <c r="B42" s="209" t="s">
        <v>45</v>
      </c>
      <c r="C42" s="210" t="s">
        <v>85</v>
      </c>
      <c r="D42" s="215" t="s">
        <v>86</v>
      </c>
      <c r="E42" s="212">
        <f t="shared" si="2"/>
        <v>0</v>
      </c>
      <c r="F42" s="223">
        <f>COUNTIFS('2026 Time Off Request'!$A:$A,'Oct 2026'!$D42,'2026 Time Off Request'!$L:$L,'Oct 2026'!F$6)</f>
        <v>0</v>
      </c>
      <c r="G42" s="148">
        <f>COUNTIFS('2026 Time Off Request'!$A:$A,'Oct 2026'!$D42,'2026 Time Off Request'!$L:$L,'Oct 2026'!G$6)</f>
        <v>0</v>
      </c>
      <c r="H42" s="147">
        <f>COUNTIFS('2026 Time Off Request'!$A:$A,'Oct 2026'!$D42,'2026 Time Off Request'!$L:$L,'Oct 2026'!H$6)</f>
        <v>0</v>
      </c>
      <c r="I42" s="147">
        <f>COUNTIFS('2026 Time Off Request'!$A:$A,'Oct 2026'!$D42,'2026 Time Off Request'!$L:$L,'Oct 2026'!I$6)</f>
        <v>0</v>
      </c>
      <c r="J42" s="148">
        <f>COUNTIFS('2026 Time Off Request'!$A:$A,'Oct 2026'!$D42,'2026 Time Off Request'!$L:$L,'Oct 2026'!J$6)</f>
        <v>0</v>
      </c>
      <c r="K42" s="148">
        <f>COUNTIFS('2026 Time Off Request'!$A:$A,'Oct 2026'!$D42,'2026 Time Off Request'!$L:$L,'Oct 2026'!K$6)</f>
        <v>0</v>
      </c>
      <c r="L42" s="148">
        <f>COUNTIFS('2026 Time Off Request'!$A:$A,'Oct 2026'!$D42,'2026 Time Off Request'!$L:$L,'Oct 2026'!L$6)</f>
        <v>0</v>
      </c>
      <c r="M42" s="148">
        <f>COUNTIFS('2026 Time Off Request'!$A:$A,'Oct 2026'!$D42,'2026 Time Off Request'!$L:$L,'Oct 2026'!M$6)</f>
        <v>0</v>
      </c>
      <c r="N42" s="148">
        <f>COUNTIFS('2026 Time Off Request'!$A:$A,'Oct 2026'!$D42,'2026 Time Off Request'!$L:$L,'Oct 2026'!N$6)</f>
        <v>0</v>
      </c>
      <c r="O42" s="147">
        <f>COUNTIFS('2026 Time Off Request'!$A:$A,'Oct 2026'!$D42,'2026 Time Off Request'!$L:$L,'Oct 2026'!O$6)</f>
        <v>0</v>
      </c>
      <c r="P42" s="147">
        <f>COUNTIFS('2026 Time Off Request'!$A:$A,'Oct 2026'!$D42,'2026 Time Off Request'!$L:$L,'Oct 2026'!P$6)</f>
        <v>0</v>
      </c>
      <c r="Q42" s="224">
        <f>COUNTIFS('2026 Time Off Request'!$A:$A,'Oct 2026'!$D42,'2026 Time Off Request'!$L:$L,'Oct 2026'!Q$6)</f>
        <v>0</v>
      </c>
      <c r="R42" s="148">
        <f>COUNTIFS('2026 Time Off Request'!$A:$A,'Oct 2026'!$D42,'2026 Time Off Request'!$L:$L,'Oct 2026'!R$6)</f>
        <v>0</v>
      </c>
      <c r="S42" s="148">
        <f>COUNTIFS('2026 Time Off Request'!$A:$A,'Oct 2026'!$D42,'2026 Time Off Request'!$L:$L,'Oct 2026'!S$6)</f>
        <v>0</v>
      </c>
      <c r="T42" s="148">
        <f>COUNTIFS('2026 Time Off Request'!$A:$A,'Oct 2026'!$D42,'2026 Time Off Request'!$L:$L,'Oct 2026'!T$6)</f>
        <v>0</v>
      </c>
      <c r="U42" s="148">
        <f>COUNTIFS('2026 Time Off Request'!$A:$A,'Oct 2026'!$D42,'2026 Time Off Request'!$L:$L,'Oct 2026'!U$6)</f>
        <v>0</v>
      </c>
      <c r="V42" s="147">
        <f>COUNTIFS('2026 Time Off Request'!$A:$A,'Oct 2026'!$D42,'2026 Time Off Request'!$L:$L,'Oct 2026'!V$6)</f>
        <v>0</v>
      </c>
      <c r="W42" s="147">
        <f>COUNTIFS('2026 Time Off Request'!$A:$A,'Oct 2026'!$D42,'2026 Time Off Request'!$L:$L,'Oct 2026'!W$6)</f>
        <v>0</v>
      </c>
      <c r="X42" s="148">
        <f>COUNTIFS('2026 Time Off Request'!$A:$A,'Oct 2026'!$D42,'2026 Time Off Request'!$L:$L,'Oct 2026'!X$6)</f>
        <v>0</v>
      </c>
      <c r="Y42" s="148">
        <f>COUNTIFS('2026 Time Off Request'!$A:$A,'Oct 2026'!$D42,'2026 Time Off Request'!$L:$L,'Oct 2026'!Y$6)</f>
        <v>0</v>
      </c>
      <c r="Z42" s="148">
        <f>COUNTIFS('2026 Time Off Request'!$A:$A,'Oct 2026'!$D42,'2026 Time Off Request'!$L:$L,'Oct 2026'!Z$6)</f>
        <v>0</v>
      </c>
      <c r="AA42" s="148">
        <f>COUNTIFS('2026 Time Off Request'!$A:$A,'Oct 2026'!$D42,'2026 Time Off Request'!$L:$L,'Oct 2026'!AA$6)</f>
        <v>0</v>
      </c>
      <c r="AB42" s="148">
        <f>COUNTIFS('2026 Time Off Request'!$A:$A,'Oct 2026'!$D42,'2026 Time Off Request'!$L:$L,'Oct 2026'!AB$6)</f>
        <v>0</v>
      </c>
      <c r="AC42" s="147">
        <f>COUNTIFS('2026 Time Off Request'!$A:$A,'Oct 2026'!$D42,'2026 Time Off Request'!$L:$L,'Oct 2026'!AC$6)</f>
        <v>0</v>
      </c>
      <c r="AD42" s="147">
        <f>COUNTIFS('2026 Time Off Request'!$A:$A,'Oct 2026'!$D42,'2026 Time Off Request'!$L:$L,'Oct 2026'!AD$6)</f>
        <v>0</v>
      </c>
      <c r="AE42" s="148">
        <f>COUNTIFS('2026 Time Off Request'!$A:$A,'Oct 2026'!$D42,'2026 Time Off Request'!$L:$L,'Oct 2026'!AE$6)</f>
        <v>0</v>
      </c>
      <c r="AF42" s="148">
        <f>COUNTIFS('2026 Time Off Request'!$A:$A,'Oct 2026'!$D42,'2026 Time Off Request'!$L:$L,'Oct 2026'!AF$6)</f>
        <v>0</v>
      </c>
      <c r="AG42" s="148">
        <f>COUNTIFS('2026 Time Off Request'!$A:$A,'Oct 2026'!$D42,'2026 Time Off Request'!$L:$L,'Oct 2026'!AG$6)</f>
        <v>0</v>
      </c>
      <c r="AH42" s="148">
        <f>COUNTIFS('2026 Time Off Request'!$A:$A,'Oct 2026'!$D42,'2026 Time Off Request'!$L:$L,'Oct 2026'!AH$6)</f>
        <v>0</v>
      </c>
      <c r="AI42" s="148">
        <f>COUNTIFS('2026 Time Off Request'!$A:$A,'Oct 2026'!$D42,'2026 Time Off Request'!$L:$L,'Oct 2026'!AI$6)</f>
        <v>0</v>
      </c>
      <c r="AJ42" s="147">
        <f>COUNTIFS('2026 Time Off Request'!$A:$A,'Oct 2026'!$D42,'2026 Time Off Request'!$L:$L,'Oct 2026'!AJ$6)</f>
        <v>0</v>
      </c>
    </row>
    <row r="43" spans="1:36" ht="15.75">
      <c r="A43" s="2">
        <v>34</v>
      </c>
      <c r="B43" s="209" t="s">
        <v>45</v>
      </c>
      <c r="C43" s="210" t="s">
        <v>87</v>
      </c>
      <c r="D43" s="215" t="s">
        <v>88</v>
      </c>
      <c r="E43" s="212">
        <f t="shared" si="2"/>
        <v>0</v>
      </c>
      <c r="F43" s="223">
        <f>COUNTIFS('2026 Time Off Request'!$A:$A,'Oct 2026'!$D43,'2026 Time Off Request'!$L:$L,'Oct 2026'!F$6)</f>
        <v>0</v>
      </c>
      <c r="G43" s="148">
        <f>COUNTIFS('2026 Time Off Request'!$A:$A,'Oct 2026'!$D43,'2026 Time Off Request'!$L:$L,'Oct 2026'!G$6)</f>
        <v>0</v>
      </c>
      <c r="H43" s="147">
        <f>COUNTIFS('2026 Time Off Request'!$A:$A,'Oct 2026'!$D43,'2026 Time Off Request'!$L:$L,'Oct 2026'!H$6)</f>
        <v>0</v>
      </c>
      <c r="I43" s="147">
        <f>COUNTIFS('2026 Time Off Request'!$A:$A,'Oct 2026'!$D43,'2026 Time Off Request'!$L:$L,'Oct 2026'!I$6)</f>
        <v>0</v>
      </c>
      <c r="J43" s="148">
        <f>COUNTIFS('2026 Time Off Request'!$A:$A,'Oct 2026'!$D43,'2026 Time Off Request'!$L:$L,'Oct 2026'!J$6)</f>
        <v>0</v>
      </c>
      <c r="K43" s="148">
        <f>COUNTIFS('2026 Time Off Request'!$A:$A,'Oct 2026'!$D43,'2026 Time Off Request'!$L:$L,'Oct 2026'!K$6)</f>
        <v>0</v>
      </c>
      <c r="L43" s="148">
        <f>COUNTIFS('2026 Time Off Request'!$A:$A,'Oct 2026'!$D43,'2026 Time Off Request'!$L:$L,'Oct 2026'!L$6)</f>
        <v>0</v>
      </c>
      <c r="M43" s="148">
        <f>COUNTIFS('2026 Time Off Request'!$A:$A,'Oct 2026'!$D43,'2026 Time Off Request'!$L:$L,'Oct 2026'!M$6)</f>
        <v>0</v>
      </c>
      <c r="N43" s="148">
        <f>COUNTIFS('2026 Time Off Request'!$A:$A,'Oct 2026'!$D43,'2026 Time Off Request'!$L:$L,'Oct 2026'!N$6)</f>
        <v>0</v>
      </c>
      <c r="O43" s="147">
        <f>COUNTIFS('2026 Time Off Request'!$A:$A,'Oct 2026'!$D43,'2026 Time Off Request'!$L:$L,'Oct 2026'!O$6)</f>
        <v>0</v>
      </c>
      <c r="P43" s="147">
        <f>COUNTIFS('2026 Time Off Request'!$A:$A,'Oct 2026'!$D43,'2026 Time Off Request'!$L:$L,'Oct 2026'!P$6)</f>
        <v>0</v>
      </c>
      <c r="Q43" s="224">
        <f>COUNTIFS('2026 Time Off Request'!$A:$A,'Oct 2026'!$D43,'2026 Time Off Request'!$L:$L,'Oct 2026'!Q$6)</f>
        <v>0</v>
      </c>
      <c r="R43" s="148">
        <f>COUNTIFS('2026 Time Off Request'!$A:$A,'Oct 2026'!$D43,'2026 Time Off Request'!$L:$L,'Oct 2026'!R$6)</f>
        <v>0</v>
      </c>
      <c r="S43" s="148">
        <f>COUNTIFS('2026 Time Off Request'!$A:$A,'Oct 2026'!$D43,'2026 Time Off Request'!$L:$L,'Oct 2026'!S$6)</f>
        <v>0</v>
      </c>
      <c r="T43" s="148">
        <f>COUNTIFS('2026 Time Off Request'!$A:$A,'Oct 2026'!$D43,'2026 Time Off Request'!$L:$L,'Oct 2026'!T$6)</f>
        <v>0</v>
      </c>
      <c r="U43" s="148">
        <f>COUNTIFS('2026 Time Off Request'!$A:$A,'Oct 2026'!$D43,'2026 Time Off Request'!$L:$L,'Oct 2026'!U$6)</f>
        <v>0</v>
      </c>
      <c r="V43" s="147">
        <f>COUNTIFS('2026 Time Off Request'!$A:$A,'Oct 2026'!$D43,'2026 Time Off Request'!$L:$L,'Oct 2026'!V$6)</f>
        <v>0</v>
      </c>
      <c r="W43" s="147">
        <f>COUNTIFS('2026 Time Off Request'!$A:$A,'Oct 2026'!$D43,'2026 Time Off Request'!$L:$L,'Oct 2026'!W$6)</f>
        <v>0</v>
      </c>
      <c r="X43" s="148">
        <f>COUNTIFS('2026 Time Off Request'!$A:$A,'Oct 2026'!$D43,'2026 Time Off Request'!$L:$L,'Oct 2026'!X$6)</f>
        <v>0</v>
      </c>
      <c r="Y43" s="148">
        <f>COUNTIFS('2026 Time Off Request'!$A:$A,'Oct 2026'!$D43,'2026 Time Off Request'!$L:$L,'Oct 2026'!Y$6)</f>
        <v>0</v>
      </c>
      <c r="Z43" s="148">
        <f>COUNTIFS('2026 Time Off Request'!$A:$A,'Oct 2026'!$D43,'2026 Time Off Request'!$L:$L,'Oct 2026'!Z$6)</f>
        <v>0</v>
      </c>
      <c r="AA43" s="148">
        <f>COUNTIFS('2026 Time Off Request'!$A:$A,'Oct 2026'!$D43,'2026 Time Off Request'!$L:$L,'Oct 2026'!AA$6)</f>
        <v>0</v>
      </c>
      <c r="AB43" s="148">
        <f>COUNTIFS('2026 Time Off Request'!$A:$A,'Oct 2026'!$D43,'2026 Time Off Request'!$L:$L,'Oct 2026'!AB$6)</f>
        <v>0</v>
      </c>
      <c r="AC43" s="147">
        <f>COUNTIFS('2026 Time Off Request'!$A:$A,'Oct 2026'!$D43,'2026 Time Off Request'!$L:$L,'Oct 2026'!AC$6)</f>
        <v>0</v>
      </c>
      <c r="AD43" s="147">
        <f>COUNTIFS('2026 Time Off Request'!$A:$A,'Oct 2026'!$D43,'2026 Time Off Request'!$L:$L,'Oct 2026'!AD$6)</f>
        <v>0</v>
      </c>
      <c r="AE43" s="148">
        <f>COUNTIFS('2026 Time Off Request'!$A:$A,'Oct 2026'!$D43,'2026 Time Off Request'!$L:$L,'Oct 2026'!AE$6)</f>
        <v>0</v>
      </c>
      <c r="AF43" s="148">
        <f>COUNTIFS('2026 Time Off Request'!$A:$A,'Oct 2026'!$D43,'2026 Time Off Request'!$L:$L,'Oct 2026'!AF$6)</f>
        <v>0</v>
      </c>
      <c r="AG43" s="148">
        <f>COUNTIFS('2026 Time Off Request'!$A:$A,'Oct 2026'!$D43,'2026 Time Off Request'!$L:$L,'Oct 2026'!AG$6)</f>
        <v>0</v>
      </c>
      <c r="AH43" s="148">
        <f>COUNTIFS('2026 Time Off Request'!$A:$A,'Oct 2026'!$D43,'2026 Time Off Request'!$L:$L,'Oct 2026'!AH$6)</f>
        <v>0</v>
      </c>
      <c r="AI43" s="148">
        <f>COUNTIFS('2026 Time Off Request'!$A:$A,'Oct 2026'!$D43,'2026 Time Off Request'!$L:$L,'Oct 2026'!AI$6)</f>
        <v>0</v>
      </c>
      <c r="AJ43" s="147">
        <f>COUNTIFS('2026 Time Off Request'!$A:$A,'Oct 2026'!$D43,'2026 Time Off Request'!$L:$L,'Oct 2026'!AJ$6)</f>
        <v>0</v>
      </c>
    </row>
    <row r="44" spans="1:36" ht="15.75">
      <c r="A44" s="2">
        <v>35</v>
      </c>
      <c r="B44" s="209" t="s">
        <v>45</v>
      </c>
      <c r="C44" s="210" t="s">
        <v>89</v>
      </c>
      <c r="D44" s="215" t="s">
        <v>90</v>
      </c>
      <c r="E44" s="212">
        <f t="shared" si="2"/>
        <v>0</v>
      </c>
      <c r="F44" s="223">
        <f>COUNTIFS('2026 Time Off Request'!$A:$A,'Oct 2026'!$D44,'2026 Time Off Request'!$L:$L,'Oct 2026'!F$6)</f>
        <v>0</v>
      </c>
      <c r="G44" s="148">
        <f>COUNTIFS('2026 Time Off Request'!$A:$A,'Oct 2026'!$D44,'2026 Time Off Request'!$L:$L,'Oct 2026'!G$6)</f>
        <v>0</v>
      </c>
      <c r="H44" s="147">
        <f>COUNTIFS('2026 Time Off Request'!$A:$A,'Oct 2026'!$D44,'2026 Time Off Request'!$L:$L,'Oct 2026'!H$6)</f>
        <v>0</v>
      </c>
      <c r="I44" s="147">
        <f>COUNTIFS('2026 Time Off Request'!$A:$A,'Oct 2026'!$D44,'2026 Time Off Request'!$L:$L,'Oct 2026'!I$6)</f>
        <v>0</v>
      </c>
      <c r="J44" s="148">
        <f>COUNTIFS('2026 Time Off Request'!$A:$A,'Oct 2026'!$D44,'2026 Time Off Request'!$L:$L,'Oct 2026'!J$6)</f>
        <v>0</v>
      </c>
      <c r="K44" s="148">
        <f>COUNTIFS('2026 Time Off Request'!$A:$A,'Oct 2026'!$D44,'2026 Time Off Request'!$L:$L,'Oct 2026'!K$6)</f>
        <v>0</v>
      </c>
      <c r="L44" s="148">
        <f>COUNTIFS('2026 Time Off Request'!$A:$A,'Oct 2026'!$D44,'2026 Time Off Request'!$L:$L,'Oct 2026'!L$6)</f>
        <v>0</v>
      </c>
      <c r="M44" s="148">
        <f>COUNTIFS('2026 Time Off Request'!$A:$A,'Oct 2026'!$D44,'2026 Time Off Request'!$L:$L,'Oct 2026'!M$6)</f>
        <v>0</v>
      </c>
      <c r="N44" s="148">
        <f>COUNTIFS('2026 Time Off Request'!$A:$A,'Oct 2026'!$D44,'2026 Time Off Request'!$L:$L,'Oct 2026'!N$6)</f>
        <v>0</v>
      </c>
      <c r="O44" s="147">
        <f>COUNTIFS('2026 Time Off Request'!$A:$A,'Oct 2026'!$D44,'2026 Time Off Request'!$L:$L,'Oct 2026'!O$6)</f>
        <v>0</v>
      </c>
      <c r="P44" s="147">
        <f>COUNTIFS('2026 Time Off Request'!$A:$A,'Oct 2026'!$D44,'2026 Time Off Request'!$L:$L,'Oct 2026'!P$6)</f>
        <v>0</v>
      </c>
      <c r="Q44" s="224">
        <f>COUNTIFS('2026 Time Off Request'!$A:$A,'Oct 2026'!$D44,'2026 Time Off Request'!$L:$L,'Oct 2026'!Q$6)</f>
        <v>0</v>
      </c>
      <c r="R44" s="148">
        <f>COUNTIFS('2026 Time Off Request'!$A:$A,'Oct 2026'!$D44,'2026 Time Off Request'!$L:$L,'Oct 2026'!R$6)</f>
        <v>0</v>
      </c>
      <c r="S44" s="148">
        <f>COUNTIFS('2026 Time Off Request'!$A:$A,'Oct 2026'!$D44,'2026 Time Off Request'!$L:$L,'Oct 2026'!S$6)</f>
        <v>0</v>
      </c>
      <c r="T44" s="148">
        <f>COUNTIFS('2026 Time Off Request'!$A:$A,'Oct 2026'!$D44,'2026 Time Off Request'!$L:$L,'Oct 2026'!T$6)</f>
        <v>0</v>
      </c>
      <c r="U44" s="148">
        <f>COUNTIFS('2026 Time Off Request'!$A:$A,'Oct 2026'!$D44,'2026 Time Off Request'!$L:$L,'Oct 2026'!U$6)</f>
        <v>0</v>
      </c>
      <c r="V44" s="147">
        <f>COUNTIFS('2026 Time Off Request'!$A:$A,'Oct 2026'!$D44,'2026 Time Off Request'!$L:$L,'Oct 2026'!V$6)</f>
        <v>0</v>
      </c>
      <c r="W44" s="147">
        <f>COUNTIFS('2026 Time Off Request'!$A:$A,'Oct 2026'!$D44,'2026 Time Off Request'!$L:$L,'Oct 2026'!W$6)</f>
        <v>0</v>
      </c>
      <c r="X44" s="148">
        <f>COUNTIFS('2026 Time Off Request'!$A:$A,'Oct 2026'!$D44,'2026 Time Off Request'!$L:$L,'Oct 2026'!X$6)</f>
        <v>0</v>
      </c>
      <c r="Y44" s="148">
        <f>COUNTIFS('2026 Time Off Request'!$A:$A,'Oct 2026'!$D44,'2026 Time Off Request'!$L:$L,'Oct 2026'!Y$6)</f>
        <v>0</v>
      </c>
      <c r="Z44" s="148">
        <f>COUNTIFS('2026 Time Off Request'!$A:$A,'Oct 2026'!$D44,'2026 Time Off Request'!$L:$L,'Oct 2026'!Z$6)</f>
        <v>0</v>
      </c>
      <c r="AA44" s="148">
        <f>COUNTIFS('2026 Time Off Request'!$A:$A,'Oct 2026'!$D44,'2026 Time Off Request'!$L:$L,'Oct 2026'!AA$6)</f>
        <v>0</v>
      </c>
      <c r="AB44" s="148">
        <f>COUNTIFS('2026 Time Off Request'!$A:$A,'Oct 2026'!$D44,'2026 Time Off Request'!$L:$L,'Oct 2026'!AB$6)</f>
        <v>0</v>
      </c>
      <c r="AC44" s="147">
        <f>COUNTIFS('2026 Time Off Request'!$A:$A,'Oct 2026'!$D44,'2026 Time Off Request'!$L:$L,'Oct 2026'!AC$6)</f>
        <v>0</v>
      </c>
      <c r="AD44" s="147">
        <f>COUNTIFS('2026 Time Off Request'!$A:$A,'Oct 2026'!$D44,'2026 Time Off Request'!$L:$L,'Oct 2026'!AD$6)</f>
        <v>0</v>
      </c>
      <c r="AE44" s="148">
        <f>COUNTIFS('2026 Time Off Request'!$A:$A,'Oct 2026'!$D44,'2026 Time Off Request'!$L:$L,'Oct 2026'!AE$6)</f>
        <v>0</v>
      </c>
      <c r="AF44" s="148">
        <f>COUNTIFS('2026 Time Off Request'!$A:$A,'Oct 2026'!$D44,'2026 Time Off Request'!$L:$L,'Oct 2026'!AF$6)</f>
        <v>0</v>
      </c>
      <c r="AG44" s="148">
        <f>COUNTIFS('2026 Time Off Request'!$A:$A,'Oct 2026'!$D44,'2026 Time Off Request'!$L:$L,'Oct 2026'!AG$6)</f>
        <v>0</v>
      </c>
      <c r="AH44" s="148">
        <f>COUNTIFS('2026 Time Off Request'!$A:$A,'Oct 2026'!$D44,'2026 Time Off Request'!$L:$L,'Oct 2026'!AH$6)</f>
        <v>0</v>
      </c>
      <c r="AI44" s="148">
        <f>COUNTIFS('2026 Time Off Request'!$A:$A,'Oct 2026'!$D44,'2026 Time Off Request'!$L:$L,'Oct 2026'!AI$6)</f>
        <v>0</v>
      </c>
      <c r="AJ44" s="147">
        <f>COUNTIFS('2026 Time Off Request'!$A:$A,'Oct 2026'!$D44,'2026 Time Off Request'!$L:$L,'Oct 2026'!AJ$6)</f>
        <v>0</v>
      </c>
    </row>
    <row r="45" spans="1:36" ht="15.75">
      <c r="A45" s="2">
        <v>36</v>
      </c>
      <c r="B45" s="209" t="s">
        <v>45</v>
      </c>
      <c r="C45" s="210" t="s">
        <v>89</v>
      </c>
      <c r="D45" s="215" t="s">
        <v>91</v>
      </c>
      <c r="E45" s="212">
        <f t="shared" si="2"/>
        <v>0</v>
      </c>
      <c r="F45" s="223">
        <f>COUNTIFS('2026 Time Off Request'!$A:$A,'Oct 2026'!$D45,'2026 Time Off Request'!$L:$L,'Oct 2026'!F$6)</f>
        <v>0</v>
      </c>
      <c r="G45" s="148">
        <f>COUNTIFS('2026 Time Off Request'!$A:$A,'Oct 2026'!$D45,'2026 Time Off Request'!$L:$L,'Oct 2026'!G$6)</f>
        <v>0</v>
      </c>
      <c r="H45" s="147">
        <f>COUNTIFS('2026 Time Off Request'!$A:$A,'Oct 2026'!$D45,'2026 Time Off Request'!$L:$L,'Oct 2026'!H$6)</f>
        <v>0</v>
      </c>
      <c r="I45" s="147">
        <f>COUNTIFS('2026 Time Off Request'!$A:$A,'Oct 2026'!$D45,'2026 Time Off Request'!$L:$L,'Oct 2026'!I$6)</f>
        <v>0</v>
      </c>
      <c r="J45" s="148">
        <f>COUNTIFS('2026 Time Off Request'!$A:$A,'Oct 2026'!$D45,'2026 Time Off Request'!$L:$L,'Oct 2026'!J$6)</f>
        <v>0</v>
      </c>
      <c r="K45" s="148">
        <f>COUNTIFS('2026 Time Off Request'!$A:$A,'Oct 2026'!$D45,'2026 Time Off Request'!$L:$L,'Oct 2026'!K$6)</f>
        <v>0</v>
      </c>
      <c r="L45" s="148">
        <f>COUNTIFS('2026 Time Off Request'!$A:$A,'Oct 2026'!$D45,'2026 Time Off Request'!$L:$L,'Oct 2026'!L$6)</f>
        <v>0</v>
      </c>
      <c r="M45" s="148">
        <f>COUNTIFS('2026 Time Off Request'!$A:$A,'Oct 2026'!$D45,'2026 Time Off Request'!$L:$L,'Oct 2026'!M$6)</f>
        <v>0</v>
      </c>
      <c r="N45" s="148">
        <f>COUNTIFS('2026 Time Off Request'!$A:$A,'Oct 2026'!$D45,'2026 Time Off Request'!$L:$L,'Oct 2026'!N$6)</f>
        <v>0</v>
      </c>
      <c r="O45" s="147">
        <f>COUNTIFS('2026 Time Off Request'!$A:$A,'Oct 2026'!$D45,'2026 Time Off Request'!$L:$L,'Oct 2026'!O$6)</f>
        <v>0</v>
      </c>
      <c r="P45" s="147">
        <f>COUNTIFS('2026 Time Off Request'!$A:$A,'Oct 2026'!$D45,'2026 Time Off Request'!$L:$L,'Oct 2026'!P$6)</f>
        <v>0</v>
      </c>
      <c r="Q45" s="224">
        <f>COUNTIFS('2026 Time Off Request'!$A:$A,'Oct 2026'!$D45,'2026 Time Off Request'!$L:$L,'Oct 2026'!Q$6)</f>
        <v>0</v>
      </c>
      <c r="R45" s="148">
        <f>COUNTIFS('2026 Time Off Request'!$A:$A,'Oct 2026'!$D45,'2026 Time Off Request'!$L:$L,'Oct 2026'!R$6)</f>
        <v>0</v>
      </c>
      <c r="S45" s="148">
        <f>COUNTIFS('2026 Time Off Request'!$A:$A,'Oct 2026'!$D45,'2026 Time Off Request'!$L:$L,'Oct 2026'!S$6)</f>
        <v>0</v>
      </c>
      <c r="T45" s="148">
        <f>COUNTIFS('2026 Time Off Request'!$A:$A,'Oct 2026'!$D45,'2026 Time Off Request'!$L:$L,'Oct 2026'!T$6)</f>
        <v>0</v>
      </c>
      <c r="U45" s="148">
        <f>COUNTIFS('2026 Time Off Request'!$A:$A,'Oct 2026'!$D45,'2026 Time Off Request'!$L:$L,'Oct 2026'!U$6)</f>
        <v>0</v>
      </c>
      <c r="V45" s="147">
        <f>COUNTIFS('2026 Time Off Request'!$A:$A,'Oct 2026'!$D45,'2026 Time Off Request'!$L:$L,'Oct 2026'!V$6)</f>
        <v>0</v>
      </c>
      <c r="W45" s="147">
        <f>COUNTIFS('2026 Time Off Request'!$A:$A,'Oct 2026'!$D45,'2026 Time Off Request'!$L:$L,'Oct 2026'!W$6)</f>
        <v>0</v>
      </c>
      <c r="X45" s="148">
        <f>COUNTIFS('2026 Time Off Request'!$A:$A,'Oct 2026'!$D45,'2026 Time Off Request'!$L:$L,'Oct 2026'!X$6)</f>
        <v>0</v>
      </c>
      <c r="Y45" s="148">
        <f>COUNTIFS('2026 Time Off Request'!$A:$A,'Oct 2026'!$D45,'2026 Time Off Request'!$L:$L,'Oct 2026'!Y$6)</f>
        <v>0</v>
      </c>
      <c r="Z45" s="148">
        <f>COUNTIFS('2026 Time Off Request'!$A:$A,'Oct 2026'!$D45,'2026 Time Off Request'!$L:$L,'Oct 2026'!Z$6)</f>
        <v>0</v>
      </c>
      <c r="AA45" s="148">
        <f>COUNTIFS('2026 Time Off Request'!$A:$A,'Oct 2026'!$D45,'2026 Time Off Request'!$L:$L,'Oct 2026'!AA$6)</f>
        <v>0</v>
      </c>
      <c r="AB45" s="148">
        <f>COUNTIFS('2026 Time Off Request'!$A:$A,'Oct 2026'!$D45,'2026 Time Off Request'!$L:$L,'Oct 2026'!AB$6)</f>
        <v>0</v>
      </c>
      <c r="AC45" s="147">
        <f>COUNTIFS('2026 Time Off Request'!$A:$A,'Oct 2026'!$D45,'2026 Time Off Request'!$L:$L,'Oct 2026'!AC$6)</f>
        <v>0</v>
      </c>
      <c r="AD45" s="147">
        <f>COUNTIFS('2026 Time Off Request'!$A:$A,'Oct 2026'!$D45,'2026 Time Off Request'!$L:$L,'Oct 2026'!AD$6)</f>
        <v>0</v>
      </c>
      <c r="AE45" s="148">
        <f>COUNTIFS('2026 Time Off Request'!$A:$A,'Oct 2026'!$D45,'2026 Time Off Request'!$L:$L,'Oct 2026'!AE$6)</f>
        <v>0</v>
      </c>
      <c r="AF45" s="148">
        <f>COUNTIFS('2026 Time Off Request'!$A:$A,'Oct 2026'!$D45,'2026 Time Off Request'!$L:$L,'Oct 2026'!AF$6)</f>
        <v>0</v>
      </c>
      <c r="AG45" s="148">
        <f>COUNTIFS('2026 Time Off Request'!$A:$A,'Oct 2026'!$D45,'2026 Time Off Request'!$L:$L,'Oct 2026'!AG$6)</f>
        <v>0</v>
      </c>
      <c r="AH45" s="148">
        <f>COUNTIFS('2026 Time Off Request'!$A:$A,'Oct 2026'!$D45,'2026 Time Off Request'!$L:$L,'Oct 2026'!AH$6)</f>
        <v>0</v>
      </c>
      <c r="AI45" s="148">
        <f>COUNTIFS('2026 Time Off Request'!$A:$A,'Oct 2026'!$D45,'2026 Time Off Request'!$L:$L,'Oct 2026'!AI$6)</f>
        <v>0</v>
      </c>
      <c r="AJ45" s="147">
        <f>COUNTIFS('2026 Time Off Request'!$A:$A,'Oct 2026'!$D45,'2026 Time Off Request'!$L:$L,'Oct 2026'!AJ$6)</f>
        <v>0</v>
      </c>
    </row>
    <row r="46" spans="1:36" ht="15.75">
      <c r="A46" s="2"/>
      <c r="B46" s="29"/>
      <c r="C46" s="23"/>
      <c r="D46" s="2"/>
      <c r="E46" s="3"/>
    </row>
    <row r="47" spans="1:36" ht="15.6">
      <c r="A47" s="2"/>
      <c r="B47" s="29"/>
      <c r="C47" s="23"/>
      <c r="D47" s="2"/>
      <c r="E47" s="3"/>
    </row>
    <row r="48" spans="1:36" ht="15.6">
      <c r="A48" s="2"/>
      <c r="B48" s="29"/>
      <c r="C48" s="23"/>
      <c r="D48" s="2"/>
      <c r="E48" s="3"/>
    </row>
    <row r="49" spans="1:5" ht="15.6">
      <c r="A49" s="2"/>
      <c r="B49" s="29"/>
      <c r="C49" s="105"/>
      <c r="D49" s="2"/>
      <c r="E49" s="3"/>
    </row>
    <row r="50" spans="1:5" ht="15.6">
      <c r="A50" s="2"/>
      <c r="B50" s="29"/>
      <c r="C50" s="23"/>
      <c r="D50" s="2"/>
      <c r="E50" s="2"/>
    </row>
    <row r="51" spans="1:5" ht="15.6">
      <c r="A51" s="2"/>
      <c r="B51" s="29"/>
      <c r="C51" s="23"/>
      <c r="D51" s="2"/>
      <c r="E51" s="2"/>
    </row>
    <row r="52" spans="1:5" ht="15.6">
      <c r="A52" s="2"/>
      <c r="B52" s="29"/>
      <c r="C52" s="23"/>
      <c r="D52" s="2"/>
      <c r="E52" s="2"/>
    </row>
    <row r="53" spans="1:5" ht="15.6">
      <c r="A53" s="2"/>
      <c r="B53" s="29"/>
      <c r="C53" s="23"/>
      <c r="D53" s="2"/>
      <c r="E53" s="2"/>
    </row>
    <row r="54" spans="1:5" ht="15.6">
      <c r="A54" s="2"/>
      <c r="B54" s="29"/>
      <c r="C54" s="23"/>
      <c r="D54" s="2"/>
      <c r="E54" s="2"/>
    </row>
    <row r="55" spans="1:5" ht="15.6">
      <c r="A55" s="2"/>
      <c r="B55" s="29"/>
      <c r="C55" s="23"/>
      <c r="D55" s="2"/>
      <c r="E55" s="2"/>
    </row>
    <row r="56" spans="1:5" ht="15.6">
      <c r="A56" s="2"/>
      <c r="B56" s="29"/>
      <c r="C56" s="23"/>
      <c r="D56" s="2"/>
      <c r="E56" s="2"/>
    </row>
    <row r="57" spans="1:5" ht="15.6">
      <c r="A57" s="2"/>
      <c r="B57" s="29"/>
      <c r="C57" s="23"/>
      <c r="D57" s="2"/>
      <c r="E57" s="2"/>
    </row>
    <row r="58" spans="1:5" ht="15.6">
      <c r="A58" s="2"/>
      <c r="B58" s="29"/>
      <c r="C58" s="23"/>
      <c r="D58" s="2"/>
      <c r="E58" s="2"/>
    </row>
    <row r="59" spans="1:5" ht="15.6">
      <c r="A59" s="2"/>
      <c r="B59" s="29"/>
      <c r="C59" s="23"/>
      <c r="D59" s="2"/>
      <c r="E59" s="2"/>
    </row>
    <row r="60" spans="1:5" ht="15"/>
    <row r="61" spans="1:5" ht="15"/>
  </sheetData>
  <mergeCells count="1">
    <mergeCell ref="B6:D6"/>
  </mergeCells>
  <conditionalFormatting sqref="E8:AJ45">
    <cfRule type="cellIs" dxfId="2" priority="1" operator="greaterThan">
      <formula>0</formula>
    </cfRule>
  </conditionalFormatting>
  <dataValidations count="1">
    <dataValidation allowBlank="1" showInputMessage="1" showErrorMessage="1" sqref="A3:A59" xr:uid="{E5A88DFB-2755-45B6-83DF-EA6FCECAE7C5}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8B6D-3684-4E94-B26E-0B38CE3ED4CD}">
  <sheetPr>
    <tabColor rgb="FF00B050"/>
  </sheetPr>
  <dimension ref="A2:AL62"/>
  <sheetViews>
    <sheetView showGridLines="0" workbookViewId="0">
      <pane xSplit="4" ySplit="7" topLeftCell="AE18" activePane="bottomRight" state="frozen"/>
      <selection pane="bottomRight" activeCell="B29" sqref="B29:D29"/>
      <selection pane="bottomLeft"/>
      <selection pane="topRight"/>
    </sheetView>
  </sheetViews>
  <sheetFormatPr defaultColWidth="9.140625" defaultRowHeight="14.45"/>
  <cols>
    <col min="1" max="1" width="3.28515625" bestFit="1" customWidth="1"/>
    <col min="3" max="3" width="22.7109375" bestFit="1" customWidth="1"/>
    <col min="4" max="4" width="27.140625" customWidth="1"/>
    <col min="5" max="5" width="15" customWidth="1"/>
    <col min="6" max="6" width="17.140625" style="106" customWidth="1"/>
    <col min="7" max="11" width="17.42578125" bestFit="1" customWidth="1"/>
    <col min="12" max="13" width="17.42578125" style="48" bestFit="1" customWidth="1"/>
    <col min="14" max="14" width="17.42578125" bestFit="1" customWidth="1"/>
    <col min="15" max="18" width="18.42578125" bestFit="1" customWidth="1"/>
    <col min="19" max="20" width="18.42578125" style="48" bestFit="1" customWidth="1"/>
    <col min="21" max="25" width="18.42578125" bestFit="1" customWidth="1"/>
    <col min="26" max="27" width="18.42578125" style="48" bestFit="1" customWidth="1"/>
    <col min="28" max="32" width="18.42578125" bestFit="1" customWidth="1"/>
    <col min="33" max="34" width="18.42578125" style="48" bestFit="1" customWidth="1"/>
    <col min="35" max="35" width="18.42578125" bestFit="1" customWidth="1"/>
  </cols>
  <sheetData>
    <row r="2" spans="1:38" s="80" customFormat="1" ht="18.75" customHeight="1">
      <c r="D2" s="96" t="s">
        <v>95</v>
      </c>
      <c r="F2" s="107">
        <f>COUNTA($D$8:$D$52)</f>
        <v>38</v>
      </c>
      <c r="G2" s="80">
        <f t="shared" ref="G2:AI2" si="0">COUNTA($D$8:$D$52)</f>
        <v>38</v>
      </c>
      <c r="H2" s="80">
        <f t="shared" si="0"/>
        <v>38</v>
      </c>
      <c r="I2" s="80">
        <f t="shared" si="0"/>
        <v>38</v>
      </c>
      <c r="J2" s="80">
        <f t="shared" si="0"/>
        <v>38</v>
      </c>
      <c r="K2" s="80">
        <f t="shared" si="0"/>
        <v>38</v>
      </c>
      <c r="L2" s="46">
        <f t="shared" si="0"/>
        <v>38</v>
      </c>
      <c r="M2" s="46">
        <f t="shared" si="0"/>
        <v>38</v>
      </c>
      <c r="N2" s="80">
        <f t="shared" si="0"/>
        <v>38</v>
      </c>
      <c r="O2" s="80">
        <f t="shared" si="0"/>
        <v>38</v>
      </c>
      <c r="P2" s="80">
        <f t="shared" si="0"/>
        <v>38</v>
      </c>
      <c r="Q2" s="80">
        <f t="shared" si="0"/>
        <v>38</v>
      </c>
      <c r="R2" s="80">
        <f t="shared" si="0"/>
        <v>38</v>
      </c>
      <c r="S2" s="46">
        <f t="shared" si="0"/>
        <v>38</v>
      </c>
      <c r="T2" s="46">
        <f t="shared" si="0"/>
        <v>38</v>
      </c>
      <c r="U2" s="80">
        <f t="shared" si="0"/>
        <v>38</v>
      </c>
      <c r="V2" s="80">
        <f t="shared" si="0"/>
        <v>38</v>
      </c>
      <c r="W2" s="80">
        <f t="shared" si="0"/>
        <v>38</v>
      </c>
      <c r="X2" s="80">
        <f t="shared" si="0"/>
        <v>38</v>
      </c>
      <c r="Y2" s="80">
        <f t="shared" si="0"/>
        <v>38</v>
      </c>
      <c r="Z2" s="46">
        <f t="shared" si="0"/>
        <v>38</v>
      </c>
      <c r="AA2" s="46">
        <f t="shared" si="0"/>
        <v>38</v>
      </c>
      <c r="AB2" s="80">
        <f t="shared" si="0"/>
        <v>38</v>
      </c>
      <c r="AC2" s="80">
        <f t="shared" si="0"/>
        <v>38</v>
      </c>
      <c r="AD2" s="80">
        <f t="shared" si="0"/>
        <v>38</v>
      </c>
      <c r="AE2" s="80">
        <f t="shared" si="0"/>
        <v>38</v>
      </c>
      <c r="AF2" s="80">
        <f t="shared" si="0"/>
        <v>38</v>
      </c>
      <c r="AG2" s="46">
        <f t="shared" si="0"/>
        <v>38</v>
      </c>
      <c r="AH2" s="46">
        <f t="shared" si="0"/>
        <v>38</v>
      </c>
      <c r="AI2" s="80">
        <f t="shared" si="0"/>
        <v>38</v>
      </c>
    </row>
    <row r="3" spans="1:38" s="80" customFormat="1" ht="12">
      <c r="A3" s="96"/>
      <c r="C3" s="96"/>
      <c r="D3" s="96" t="s">
        <v>96</v>
      </c>
      <c r="E3" s="96"/>
      <c r="F3" s="107">
        <f>SUM(F8:F49)</f>
        <v>0</v>
      </c>
      <c r="G3" s="80">
        <f t="shared" ref="G3:AI3" si="1">SUM(G8:G49)</f>
        <v>0</v>
      </c>
      <c r="H3" s="80">
        <f t="shared" si="1"/>
        <v>0</v>
      </c>
      <c r="I3" s="80">
        <f t="shared" si="1"/>
        <v>0</v>
      </c>
      <c r="J3" s="80">
        <f t="shared" si="1"/>
        <v>0</v>
      </c>
      <c r="K3" s="80">
        <f t="shared" si="1"/>
        <v>0</v>
      </c>
      <c r="L3" s="46">
        <f t="shared" si="1"/>
        <v>0</v>
      </c>
      <c r="M3" s="46">
        <f>SUM(M8:M49)</f>
        <v>0</v>
      </c>
      <c r="N3" s="80">
        <f t="shared" si="1"/>
        <v>0</v>
      </c>
      <c r="O3" s="80">
        <f t="shared" si="1"/>
        <v>0</v>
      </c>
      <c r="P3" s="80">
        <f t="shared" si="1"/>
        <v>0</v>
      </c>
      <c r="Q3" s="80">
        <f t="shared" si="1"/>
        <v>0</v>
      </c>
      <c r="R3" s="80">
        <f>SUM(R8:R49)</f>
        <v>0</v>
      </c>
      <c r="S3" s="46">
        <f t="shared" si="1"/>
        <v>0</v>
      </c>
      <c r="T3" s="46">
        <f t="shared" si="1"/>
        <v>0</v>
      </c>
      <c r="U3" s="80">
        <f t="shared" si="1"/>
        <v>0</v>
      </c>
      <c r="V3" s="80">
        <f t="shared" si="1"/>
        <v>0</v>
      </c>
      <c r="W3" s="80">
        <f>SUM(W8:W49)</f>
        <v>0</v>
      </c>
      <c r="X3" s="80">
        <f t="shared" si="1"/>
        <v>0</v>
      </c>
      <c r="Y3" s="80">
        <f t="shared" si="1"/>
        <v>0</v>
      </c>
      <c r="Z3" s="46">
        <f t="shared" si="1"/>
        <v>0</v>
      </c>
      <c r="AA3" s="46">
        <f t="shared" si="1"/>
        <v>0</v>
      </c>
      <c r="AB3" s="80">
        <f t="shared" si="1"/>
        <v>0</v>
      </c>
      <c r="AC3" s="80">
        <f t="shared" si="1"/>
        <v>0</v>
      </c>
      <c r="AD3" s="80">
        <f>SUM(AD8:AD49)</f>
        <v>0</v>
      </c>
      <c r="AE3" s="80">
        <f t="shared" si="1"/>
        <v>0</v>
      </c>
      <c r="AF3" s="80">
        <f>SUM(AF8:AF49)</f>
        <v>0</v>
      </c>
      <c r="AG3" s="46">
        <f t="shared" si="1"/>
        <v>0</v>
      </c>
      <c r="AH3" s="46">
        <f t="shared" si="1"/>
        <v>0</v>
      </c>
      <c r="AI3" s="80">
        <f t="shared" si="1"/>
        <v>0</v>
      </c>
    </row>
    <row r="4" spans="1:38" s="80" customFormat="1" ht="12">
      <c r="A4" s="96"/>
      <c r="B4" s="97"/>
      <c r="C4" s="96"/>
      <c r="D4" s="96" t="s">
        <v>97</v>
      </c>
      <c r="E4" s="96"/>
      <c r="F4" s="108">
        <f>(COUNTA($D$8:$D$49)-F$3)/(COUNTA($D$8:$D$49))</f>
        <v>1</v>
      </c>
      <c r="G4" s="81">
        <f>(COUNTA($D$8:$D$49)-G$3)/(COUNTA($D$8:$D$49))</f>
        <v>1</v>
      </c>
      <c r="H4" s="81">
        <f>(COUNTA($D$8:$D$49)-H$3)/(COUNTA($D$8:$D$49))</f>
        <v>1</v>
      </c>
      <c r="I4" s="81">
        <f>(COUNTA($D$8:$D$49)-I$3)/(COUNTA($D$8:$D$49))</f>
        <v>1</v>
      </c>
      <c r="J4" s="81">
        <f>(COUNTA($D$8:$D$49)-J$3)/(COUNTA($D$8:$D$49))</f>
        <v>1</v>
      </c>
      <c r="K4" s="81">
        <f>(COUNTA($D$8:$D$49)-K$3)/(COUNTA($D$8:$D$49))</f>
        <v>1</v>
      </c>
      <c r="L4" s="47">
        <f>(COUNTA($D$8:$D$49)-L$3)/(COUNTA($D$8:$D$49))</f>
        <v>1</v>
      </c>
      <c r="M4" s="47">
        <f>(COUNTA($D$8:$D$49)-M$3)/(COUNTA($D$8:$D$49))</f>
        <v>1</v>
      </c>
      <c r="N4" s="81">
        <f>(COUNTA($D$8:$D$49)-N$3)/(COUNTA($D$8:$D$49))</f>
        <v>1</v>
      </c>
      <c r="O4" s="81">
        <f>(COUNTA($D$8:$D$49)-O$3)/(COUNTA($D$8:$D$49))</f>
        <v>1</v>
      </c>
      <c r="P4" s="81">
        <f>(COUNTA($D$8:$D$49)-P$3)/(COUNTA($D$8:$D$49))</f>
        <v>1</v>
      </c>
      <c r="Q4" s="81">
        <f>(COUNTA($D$8:$D$49)-Q$3)/(COUNTA($D$8:$D$49))</f>
        <v>1</v>
      </c>
      <c r="R4" s="81">
        <f>(COUNTA($D$8:$D$49)-R$3)/(COUNTA($D$8:$D$49))</f>
        <v>1</v>
      </c>
      <c r="S4" s="47">
        <f>(COUNTA($D$8:$D$49)-S$3)/(COUNTA($D$8:$D$49))</f>
        <v>1</v>
      </c>
      <c r="T4" s="47">
        <f>(COUNTA($D$8:$D$49)-T$3)/(COUNTA($D$8:$D$49))</f>
        <v>1</v>
      </c>
      <c r="U4" s="81">
        <f>(COUNTA($D$8:$D$49)-U$3)/(COUNTA($D$8:$D$49))</f>
        <v>1</v>
      </c>
      <c r="V4" s="81">
        <f>(COUNTA($D$8:$D$49)-V$3)/(COUNTA($D$8:$D$49))</f>
        <v>1</v>
      </c>
      <c r="W4" s="81">
        <f>(COUNTA($D$8:$D$49)-W$3)/(COUNTA($D$8:$D$49))</f>
        <v>1</v>
      </c>
      <c r="X4" s="81">
        <f>(COUNTA($D$8:$D$49)-X$3)/(COUNTA($D$8:$D$49))</f>
        <v>1</v>
      </c>
      <c r="Y4" s="81">
        <f>(COUNTA($D$8:$D$49)-Y$3)/(COUNTA($D$8:$D$49))</f>
        <v>1</v>
      </c>
      <c r="Z4" s="47">
        <f>(COUNTA($D$8:$D$49)-Z$3)/(COUNTA($D$8:$D$49))</f>
        <v>1</v>
      </c>
      <c r="AA4" s="47">
        <f>(COUNTA($D$8:$D$49)-AA$3)/(COUNTA($D$8:$D$49))</f>
        <v>1</v>
      </c>
      <c r="AB4" s="81">
        <f>(COUNTA($D$8:$D$49)-AB$3)/(COUNTA($D$8:$D$49))</f>
        <v>1</v>
      </c>
      <c r="AC4" s="81">
        <f>(COUNTA($D$8:$D$49)-AC$3)/(COUNTA($D$8:$D$49))</f>
        <v>1</v>
      </c>
      <c r="AD4" s="81">
        <f>(COUNTA($D$8:$D$49)-AD$3)/(COUNTA($D$8:$D$49))</f>
        <v>1</v>
      </c>
      <c r="AE4" s="81">
        <f>(COUNTA($D$8:$D$49)-AE$3)/(COUNTA($D$8:$D$49))</f>
        <v>1</v>
      </c>
      <c r="AF4" s="81">
        <f>(COUNTA($D$8:$D$49)-AF$3)/(COUNTA($D$8:$D$49))</f>
        <v>1</v>
      </c>
      <c r="AG4" s="47">
        <f>(COUNTA($D$8:$D$49)-AG$3)/(COUNTA($D$8:$D$49))</f>
        <v>1</v>
      </c>
      <c r="AH4" s="47">
        <f>(COUNTA($D$8:$D$49)-AH$3)/(COUNTA($D$8:$D$49))</f>
        <v>1</v>
      </c>
      <c r="AI4" s="81">
        <f>(COUNTA($D$8:$D$49)-AI$3)/(COUNTA($D$8:$D$49))</f>
        <v>1</v>
      </c>
    </row>
    <row r="5" spans="1:38" s="80" customFormat="1" ht="8.25" customHeight="1">
      <c r="A5" s="96"/>
      <c r="B5" s="97"/>
      <c r="C5" s="96"/>
      <c r="D5" s="96"/>
      <c r="E5" s="96"/>
      <c r="F5" s="108"/>
      <c r="G5" s="81"/>
      <c r="H5" s="81"/>
      <c r="I5" s="81"/>
      <c r="J5" s="81"/>
      <c r="K5" s="81"/>
      <c r="L5" s="47"/>
      <c r="M5" s="47"/>
      <c r="N5" s="81"/>
      <c r="O5" s="81"/>
      <c r="P5" s="81"/>
      <c r="Q5" s="81"/>
      <c r="R5" s="81"/>
      <c r="S5" s="47"/>
      <c r="T5" s="47"/>
      <c r="U5" s="81"/>
      <c r="V5" s="81"/>
      <c r="W5" s="81"/>
      <c r="X5" s="81"/>
      <c r="Y5" s="81"/>
      <c r="Z5" s="47"/>
      <c r="AA5" s="47"/>
      <c r="AB5" s="81"/>
      <c r="AC5" s="81"/>
      <c r="AD5" s="81"/>
      <c r="AE5" s="81"/>
      <c r="AF5" s="81"/>
      <c r="AG5" s="47"/>
      <c r="AH5" s="47"/>
      <c r="AI5" s="81"/>
    </row>
    <row r="6" spans="1:38" s="100" customFormat="1" ht="34.5" customHeight="1">
      <c r="A6" s="98"/>
      <c r="B6" s="246" t="s">
        <v>0</v>
      </c>
      <c r="C6" s="247"/>
      <c r="D6" s="247"/>
      <c r="E6" s="16" t="s">
        <v>98</v>
      </c>
      <c r="F6" s="109">
        <v>46327</v>
      </c>
      <c r="G6" s="95">
        <v>46328</v>
      </c>
      <c r="H6" s="95">
        <v>46329</v>
      </c>
      <c r="I6" s="95">
        <v>46330</v>
      </c>
      <c r="J6" s="95">
        <v>46331</v>
      </c>
      <c r="K6" s="95">
        <v>46332</v>
      </c>
      <c r="L6" s="109">
        <v>46333</v>
      </c>
      <c r="M6" s="109">
        <v>46334</v>
      </c>
      <c r="N6" s="95">
        <v>46335</v>
      </c>
      <c r="O6" s="95">
        <v>46336</v>
      </c>
      <c r="P6" s="95">
        <v>46337</v>
      </c>
      <c r="Q6" s="95">
        <v>46338</v>
      </c>
      <c r="R6" s="95">
        <v>46339</v>
      </c>
      <c r="S6" s="109">
        <v>46340</v>
      </c>
      <c r="T6" s="109">
        <v>46341</v>
      </c>
      <c r="U6" s="95">
        <v>46342</v>
      </c>
      <c r="V6" s="95">
        <v>46343</v>
      </c>
      <c r="W6" s="95">
        <v>46344</v>
      </c>
      <c r="X6" s="95">
        <v>46345</v>
      </c>
      <c r="Y6" s="95">
        <v>46346</v>
      </c>
      <c r="Z6" s="109">
        <v>46347</v>
      </c>
      <c r="AA6" s="109">
        <v>46348</v>
      </c>
      <c r="AB6" s="95">
        <v>46349</v>
      </c>
      <c r="AC6" s="95">
        <v>46350</v>
      </c>
      <c r="AD6" s="95">
        <v>46351</v>
      </c>
      <c r="AE6" s="95">
        <v>46352</v>
      </c>
      <c r="AF6" s="95">
        <v>46353</v>
      </c>
      <c r="AG6" s="109">
        <v>46354</v>
      </c>
      <c r="AH6" s="109">
        <v>46355</v>
      </c>
      <c r="AI6" s="117">
        <v>46356</v>
      </c>
      <c r="AJ6" s="99"/>
      <c r="AK6" s="99"/>
      <c r="AL6" s="99"/>
    </row>
    <row r="7" spans="1:38" ht="15.75">
      <c r="A7" s="1"/>
      <c r="B7" s="28" t="s">
        <v>3</v>
      </c>
      <c r="C7" s="24" t="s">
        <v>4</v>
      </c>
      <c r="D7" s="1" t="s">
        <v>5</v>
      </c>
      <c r="E7" s="5" t="s">
        <v>99</v>
      </c>
      <c r="F7" s="216" t="s">
        <v>106</v>
      </c>
      <c r="G7" s="218" t="s">
        <v>100</v>
      </c>
      <c r="H7" s="218" t="s">
        <v>101</v>
      </c>
      <c r="I7" s="218" t="s">
        <v>102</v>
      </c>
      <c r="J7" s="218" t="s">
        <v>103</v>
      </c>
      <c r="K7" s="218" t="s">
        <v>104</v>
      </c>
      <c r="L7" s="216" t="s">
        <v>105</v>
      </c>
      <c r="M7" s="216" t="s">
        <v>106</v>
      </c>
      <c r="N7" s="218" t="s">
        <v>100</v>
      </c>
      <c r="O7" s="218" t="s">
        <v>101</v>
      </c>
      <c r="P7" s="218" t="s">
        <v>102</v>
      </c>
      <c r="Q7" s="218" t="s">
        <v>103</v>
      </c>
      <c r="R7" s="218" t="s">
        <v>104</v>
      </c>
      <c r="S7" s="216" t="s">
        <v>105</v>
      </c>
      <c r="T7" s="216" t="s">
        <v>106</v>
      </c>
      <c r="U7" s="218" t="s">
        <v>100</v>
      </c>
      <c r="V7" s="218" t="s">
        <v>101</v>
      </c>
      <c r="W7" s="218" t="s">
        <v>102</v>
      </c>
      <c r="X7" s="218" t="s">
        <v>103</v>
      </c>
      <c r="Y7" s="218" t="s">
        <v>104</v>
      </c>
      <c r="Z7" s="216" t="s">
        <v>105</v>
      </c>
      <c r="AA7" s="216" t="s">
        <v>106</v>
      </c>
      <c r="AB7" s="218" t="s">
        <v>100</v>
      </c>
      <c r="AC7" s="218" t="s">
        <v>101</v>
      </c>
      <c r="AD7" s="218" t="s">
        <v>102</v>
      </c>
      <c r="AE7" s="218" t="s">
        <v>103</v>
      </c>
      <c r="AF7" s="218" t="s">
        <v>104</v>
      </c>
      <c r="AG7" s="216" t="s">
        <v>105</v>
      </c>
      <c r="AH7" s="216" t="s">
        <v>106</v>
      </c>
      <c r="AI7" s="222" t="s">
        <v>100</v>
      </c>
    </row>
    <row r="8" spans="1:38" ht="15.75">
      <c r="A8" s="2">
        <v>1</v>
      </c>
      <c r="B8" s="209" t="s">
        <v>25</v>
      </c>
      <c r="C8" s="210" t="s">
        <v>26</v>
      </c>
      <c r="D8" s="211" t="s">
        <v>27</v>
      </c>
      <c r="E8" s="212">
        <f t="shared" ref="E8:E45" si="2">SUM(F8:AI8)</f>
        <v>0</v>
      </c>
      <c r="F8" s="213">
        <f>COUNTIFS('2026 Time Off Request'!$A:$A,'Nov 2026'!$D8,'2026 Time Off Request'!$L:$L,'Nov 2026'!F$6)</f>
        <v>0</v>
      </c>
      <c r="G8" s="148">
        <f>COUNTIFS('2026 Time Off Request'!$A:$A,'Nov 2026'!$D8,'2026 Time Off Request'!$L:$L,'Nov 2026'!G$6)</f>
        <v>0</v>
      </c>
      <c r="H8" s="148">
        <f>COUNTIFS('2026 Time Off Request'!$A:$A,'Nov 2026'!$D8,'2026 Time Off Request'!$L:$L,'Nov 2026'!H$6)</f>
        <v>0</v>
      </c>
      <c r="I8" s="148">
        <f>COUNTIFS('2026 Time Off Request'!$A:$A,'Nov 2026'!$D8,'2026 Time Off Request'!$L:$L,'Nov 2026'!I$6)</f>
        <v>0</v>
      </c>
      <c r="J8" s="148">
        <f>COUNTIFS('2026 Time Off Request'!$A:$A,'Nov 2026'!$D8,'2026 Time Off Request'!$L:$L,'Nov 2026'!J$6)</f>
        <v>0</v>
      </c>
      <c r="K8" s="148">
        <f>COUNTIFS('2026 Time Off Request'!$A:$A,'Nov 2026'!$D8,'2026 Time Off Request'!$L:$L,'Nov 2026'!K$6)</f>
        <v>0</v>
      </c>
      <c r="L8" s="147">
        <f>COUNTIFS('2026 Time Off Request'!$A:$A,'Nov 2026'!$D8,'2026 Time Off Request'!$L:$L,'Nov 2026'!L$6)</f>
        <v>0</v>
      </c>
      <c r="M8" s="147">
        <f>COUNTIFS('2026 Time Off Request'!$A:$A,'Nov 2026'!$D8,'2026 Time Off Request'!$L:$L,'Nov 2026'!M$6)</f>
        <v>0</v>
      </c>
      <c r="N8" s="148">
        <f>COUNTIFS('2026 Time Off Request'!$A:$A,'Nov 2026'!$D8,'2026 Time Off Request'!$L:$L,'Nov 2026'!N$6)</f>
        <v>0</v>
      </c>
      <c r="O8" s="148">
        <f>COUNTIFS('2026 Time Off Request'!$A:$A,'Nov 2026'!$D8,'2026 Time Off Request'!$L:$L,'Nov 2026'!O$6)</f>
        <v>0</v>
      </c>
      <c r="P8" s="148">
        <f>COUNTIFS('2026 Time Off Request'!$A:$A,'Nov 2026'!$D8,'2026 Time Off Request'!$L:$L,'Nov 2026'!P$6)</f>
        <v>0</v>
      </c>
      <c r="Q8" s="148">
        <f>COUNTIFS('2026 Time Off Request'!$A:$A,'Nov 2026'!$D8,'2026 Time Off Request'!$L:$L,'Nov 2026'!Q$6)</f>
        <v>0</v>
      </c>
      <c r="R8" s="148">
        <f>COUNTIFS('2026 Time Off Request'!$A:$A,'Nov 2026'!$D8,'2026 Time Off Request'!$L:$L,'Nov 2026'!R$6)</f>
        <v>0</v>
      </c>
      <c r="S8" s="147">
        <f>COUNTIFS('2026 Time Off Request'!$A:$A,'Nov 2026'!$D8,'2026 Time Off Request'!$L:$L,'Nov 2026'!S$6)</f>
        <v>0</v>
      </c>
      <c r="T8" s="147">
        <f>COUNTIFS('2026 Time Off Request'!$A:$A,'Nov 2026'!$D8,'2026 Time Off Request'!$L:$L,'Nov 2026'!T$6)</f>
        <v>0</v>
      </c>
      <c r="U8" s="148">
        <f>COUNTIFS('2026 Time Off Request'!$A:$A,'Nov 2026'!$D8,'2026 Time Off Request'!$L:$L,'Nov 2026'!U$6)</f>
        <v>0</v>
      </c>
      <c r="V8" s="148">
        <f>COUNTIFS('2026 Time Off Request'!$A:$A,'Nov 2026'!$D8,'2026 Time Off Request'!$L:$L,'Nov 2026'!V$6)</f>
        <v>0</v>
      </c>
      <c r="W8" s="148">
        <f>COUNTIFS('2026 Time Off Request'!$A:$A,'Nov 2026'!$D8,'2026 Time Off Request'!$L:$L,'Nov 2026'!W$6)</f>
        <v>0</v>
      </c>
      <c r="X8" s="148">
        <f>COUNTIFS('2026 Time Off Request'!$A:$A,'Nov 2026'!$D8,'2026 Time Off Request'!$L:$L,'Nov 2026'!X$6)</f>
        <v>0</v>
      </c>
      <c r="Y8" s="148">
        <f>COUNTIFS('2026 Time Off Request'!$A:$A,'Nov 2026'!$D8,'2026 Time Off Request'!$L:$L,'Nov 2026'!Y$6)</f>
        <v>0</v>
      </c>
      <c r="Z8" s="147">
        <f>COUNTIFS('2026 Time Off Request'!$A:$A,'Nov 2026'!$D8,'2026 Time Off Request'!$L:$L,'Nov 2026'!Z$6)</f>
        <v>0</v>
      </c>
      <c r="AA8" s="147">
        <f>COUNTIFS('2026 Time Off Request'!$A:$A,'Nov 2026'!$D8,'2026 Time Off Request'!$L:$L,'Nov 2026'!AA$6)</f>
        <v>0</v>
      </c>
      <c r="AB8" s="148">
        <f>COUNTIFS('2026 Time Off Request'!$A:$A,'Nov 2026'!$D8,'2026 Time Off Request'!$L:$L,'Nov 2026'!AB$6)</f>
        <v>0</v>
      </c>
      <c r="AC8" s="148">
        <f>COUNTIFS('2026 Time Off Request'!$A:$A,'Nov 2026'!$D8,'2026 Time Off Request'!$L:$L,'Nov 2026'!AC$6)</f>
        <v>0</v>
      </c>
      <c r="AD8" s="148">
        <f>COUNTIFS('2026 Time Off Request'!$A:$A,'Nov 2026'!$D8,'2026 Time Off Request'!$L:$L,'Nov 2026'!AD$6)</f>
        <v>0</v>
      </c>
      <c r="AE8" s="148">
        <f>COUNTIFS('2026 Time Off Request'!$A:$A,'Nov 2026'!$D8,'2026 Time Off Request'!$L:$L,'Nov 2026'!AE$6)</f>
        <v>0</v>
      </c>
      <c r="AF8" s="148">
        <f>COUNTIFS('2026 Time Off Request'!$A:$A,'Nov 2026'!$D8,'2026 Time Off Request'!$L:$L,'Nov 2026'!AF$6)</f>
        <v>0</v>
      </c>
      <c r="AG8" s="147">
        <f>COUNTIFS('2026 Time Off Request'!$A:$A,'Nov 2026'!$D8,'2026 Time Off Request'!$L:$L,'Nov 2026'!AG$6)</f>
        <v>0</v>
      </c>
      <c r="AH8" s="147">
        <f>COUNTIFS('2026 Time Off Request'!$A:$A,'Nov 2026'!$D8,'2026 Time Off Request'!$L:$L,'Nov 2026'!AH$6)</f>
        <v>0</v>
      </c>
      <c r="AI8" s="148">
        <f>COUNTIFS('2026 Time Off Request'!$A:$A,'Nov 2026'!$D8,'2026 Time Off Request'!$L:$L,'Nov 2026'!AI$6)</f>
        <v>0</v>
      </c>
    </row>
    <row r="9" spans="1:38" ht="15.75">
      <c r="A9" s="2">
        <v>2</v>
      </c>
      <c r="B9" s="209" t="s">
        <v>25</v>
      </c>
      <c r="C9" s="210" t="s">
        <v>28</v>
      </c>
      <c r="D9" s="215" t="s">
        <v>29</v>
      </c>
      <c r="E9" s="212">
        <f t="shared" si="2"/>
        <v>0</v>
      </c>
      <c r="F9" s="213">
        <f>COUNTIFS('2026 Time Off Request'!$A:$A,'Nov 2026'!$D9,'2026 Time Off Request'!$L:$L,'Nov 2026'!F$6)</f>
        <v>0</v>
      </c>
      <c r="G9" s="148">
        <f>COUNTIFS('2026 Time Off Request'!$A:$A,'Nov 2026'!$D9,'2026 Time Off Request'!$L:$L,'Nov 2026'!G$6)</f>
        <v>0</v>
      </c>
      <c r="H9" s="148">
        <f>COUNTIFS('2026 Time Off Request'!$A:$A,'Nov 2026'!$D9,'2026 Time Off Request'!$L:$L,'Nov 2026'!H$6)</f>
        <v>0</v>
      </c>
      <c r="I9" s="148">
        <f>COUNTIFS('2026 Time Off Request'!$A:$A,'Nov 2026'!$D9,'2026 Time Off Request'!$L:$L,'Nov 2026'!I$6)</f>
        <v>0</v>
      </c>
      <c r="J9" s="148">
        <f>COUNTIFS('2026 Time Off Request'!$A:$A,'Nov 2026'!$D9,'2026 Time Off Request'!$L:$L,'Nov 2026'!J$6)</f>
        <v>0</v>
      </c>
      <c r="K9" s="148">
        <f>COUNTIFS('2026 Time Off Request'!$A:$A,'Nov 2026'!$D9,'2026 Time Off Request'!$L:$L,'Nov 2026'!K$6)</f>
        <v>0</v>
      </c>
      <c r="L9" s="147">
        <f>COUNTIFS('2026 Time Off Request'!$A:$A,'Nov 2026'!$D9,'2026 Time Off Request'!$L:$L,'Nov 2026'!L$6)</f>
        <v>0</v>
      </c>
      <c r="M9" s="147">
        <f>COUNTIFS('2026 Time Off Request'!$A:$A,'Nov 2026'!$D9,'2026 Time Off Request'!$L:$L,'Nov 2026'!M$6)</f>
        <v>0</v>
      </c>
      <c r="N9" s="148">
        <f>COUNTIFS('2026 Time Off Request'!$A:$A,'Nov 2026'!$D9,'2026 Time Off Request'!$L:$L,'Nov 2026'!N$6)</f>
        <v>0</v>
      </c>
      <c r="O9" s="148">
        <f>COUNTIFS('2026 Time Off Request'!$A:$A,'Nov 2026'!$D9,'2026 Time Off Request'!$L:$L,'Nov 2026'!O$6)</f>
        <v>0</v>
      </c>
      <c r="P9" s="148">
        <f>COUNTIFS('2026 Time Off Request'!$A:$A,'Nov 2026'!$D9,'2026 Time Off Request'!$L:$L,'Nov 2026'!P$6)</f>
        <v>0</v>
      </c>
      <c r="Q9" s="148">
        <f>COUNTIFS('2026 Time Off Request'!$A:$A,'Nov 2026'!$D9,'2026 Time Off Request'!$L:$L,'Nov 2026'!Q$6)</f>
        <v>0</v>
      </c>
      <c r="R9" s="148">
        <f>COUNTIFS('2026 Time Off Request'!$A:$A,'Nov 2026'!$D9,'2026 Time Off Request'!$L:$L,'Nov 2026'!R$6)</f>
        <v>0</v>
      </c>
      <c r="S9" s="147">
        <f>COUNTIFS('2026 Time Off Request'!$A:$A,'Nov 2026'!$D9,'2026 Time Off Request'!$L:$L,'Nov 2026'!S$6)</f>
        <v>0</v>
      </c>
      <c r="T9" s="147">
        <f>COUNTIFS('2026 Time Off Request'!$A:$A,'Nov 2026'!$D9,'2026 Time Off Request'!$L:$L,'Nov 2026'!T$6)</f>
        <v>0</v>
      </c>
      <c r="U9" s="148">
        <f>COUNTIFS('2026 Time Off Request'!$A:$A,'Nov 2026'!$D9,'2026 Time Off Request'!$L:$L,'Nov 2026'!U$6)</f>
        <v>0</v>
      </c>
      <c r="V9" s="148">
        <f>COUNTIFS('2026 Time Off Request'!$A:$A,'Nov 2026'!$D9,'2026 Time Off Request'!$L:$L,'Nov 2026'!V$6)</f>
        <v>0</v>
      </c>
      <c r="W9" s="148">
        <f>COUNTIFS('2026 Time Off Request'!$A:$A,'Nov 2026'!$D9,'2026 Time Off Request'!$L:$L,'Nov 2026'!W$6)</f>
        <v>0</v>
      </c>
      <c r="X9" s="148">
        <f>COUNTIFS('2026 Time Off Request'!$A:$A,'Nov 2026'!$D9,'2026 Time Off Request'!$L:$L,'Nov 2026'!X$6)</f>
        <v>0</v>
      </c>
      <c r="Y9" s="148">
        <f>COUNTIFS('2026 Time Off Request'!$A:$A,'Nov 2026'!$D9,'2026 Time Off Request'!$L:$L,'Nov 2026'!Y$6)</f>
        <v>0</v>
      </c>
      <c r="Z9" s="147">
        <f>COUNTIFS('2026 Time Off Request'!$A:$A,'Nov 2026'!$D9,'2026 Time Off Request'!$L:$L,'Nov 2026'!Z$6)</f>
        <v>0</v>
      </c>
      <c r="AA9" s="147">
        <f>COUNTIFS('2026 Time Off Request'!$A:$A,'Nov 2026'!$D9,'2026 Time Off Request'!$L:$L,'Nov 2026'!AA$6)</f>
        <v>0</v>
      </c>
      <c r="AB9" s="148">
        <f>COUNTIFS('2026 Time Off Request'!$A:$A,'Nov 2026'!$D9,'2026 Time Off Request'!$L:$L,'Nov 2026'!AB$6)</f>
        <v>0</v>
      </c>
      <c r="AC9" s="148">
        <f>COUNTIFS('2026 Time Off Request'!$A:$A,'Nov 2026'!$D9,'2026 Time Off Request'!$L:$L,'Nov 2026'!AC$6)</f>
        <v>0</v>
      </c>
      <c r="AD9" s="148">
        <f>COUNTIFS('2026 Time Off Request'!$A:$A,'Nov 2026'!$D9,'2026 Time Off Request'!$L:$L,'Nov 2026'!AD$6)</f>
        <v>0</v>
      </c>
      <c r="AE9" s="148">
        <f>COUNTIFS('2026 Time Off Request'!$A:$A,'Nov 2026'!$D9,'2026 Time Off Request'!$L:$L,'Nov 2026'!AE$6)</f>
        <v>0</v>
      </c>
      <c r="AF9" s="148">
        <f>COUNTIFS('2026 Time Off Request'!$A:$A,'Nov 2026'!$D9,'2026 Time Off Request'!$L:$L,'Nov 2026'!AF$6)</f>
        <v>0</v>
      </c>
      <c r="AG9" s="147">
        <f>COUNTIFS('2026 Time Off Request'!$A:$A,'Nov 2026'!$D9,'2026 Time Off Request'!$L:$L,'Nov 2026'!AG$6)</f>
        <v>0</v>
      </c>
      <c r="AH9" s="147">
        <f>COUNTIFS('2026 Time Off Request'!$A:$A,'Nov 2026'!$D9,'2026 Time Off Request'!$L:$L,'Nov 2026'!AH$6)</f>
        <v>0</v>
      </c>
      <c r="AI9" s="148">
        <f>COUNTIFS('2026 Time Off Request'!$A:$A,'Nov 2026'!$D9,'2026 Time Off Request'!$L:$L,'Nov 2026'!AI$6)</f>
        <v>0</v>
      </c>
    </row>
    <row r="10" spans="1:38" ht="15.75">
      <c r="A10" s="2">
        <v>3</v>
      </c>
      <c r="B10" s="209" t="s">
        <v>25</v>
      </c>
      <c r="C10" s="210" t="s">
        <v>30</v>
      </c>
      <c r="D10" s="215" t="s">
        <v>31</v>
      </c>
      <c r="E10" s="212">
        <f t="shared" si="2"/>
        <v>0</v>
      </c>
      <c r="F10" s="213">
        <f>COUNTIFS('2026 Time Off Request'!$A:$A,'Nov 2026'!$D10,'2026 Time Off Request'!$L:$L,'Nov 2026'!F$6)</f>
        <v>0</v>
      </c>
      <c r="G10" s="148">
        <f>COUNTIFS('2026 Time Off Request'!$A:$A,'Nov 2026'!$D10,'2026 Time Off Request'!$L:$L,'Nov 2026'!G$6)</f>
        <v>0</v>
      </c>
      <c r="H10" s="148">
        <f>COUNTIFS('2026 Time Off Request'!$A:$A,'Nov 2026'!$D10,'2026 Time Off Request'!$L:$L,'Nov 2026'!H$6)</f>
        <v>0</v>
      </c>
      <c r="I10" s="148">
        <f>COUNTIFS('2026 Time Off Request'!$A:$A,'Nov 2026'!$D10,'2026 Time Off Request'!$L:$L,'Nov 2026'!I$6)</f>
        <v>0</v>
      </c>
      <c r="J10" s="148">
        <f>COUNTIFS('2026 Time Off Request'!$A:$A,'Nov 2026'!$D10,'2026 Time Off Request'!$L:$L,'Nov 2026'!J$6)</f>
        <v>0</v>
      </c>
      <c r="K10" s="148">
        <f>COUNTIFS('2026 Time Off Request'!$A:$A,'Nov 2026'!$D10,'2026 Time Off Request'!$L:$L,'Nov 2026'!K$6)</f>
        <v>0</v>
      </c>
      <c r="L10" s="147">
        <f>COUNTIFS('2026 Time Off Request'!$A:$A,'Nov 2026'!$D10,'2026 Time Off Request'!$L:$L,'Nov 2026'!L$6)</f>
        <v>0</v>
      </c>
      <c r="M10" s="147">
        <f>COUNTIFS('2026 Time Off Request'!$A:$A,'Nov 2026'!$D10,'2026 Time Off Request'!$L:$L,'Nov 2026'!M$6)</f>
        <v>0</v>
      </c>
      <c r="N10" s="148">
        <f>COUNTIFS('2026 Time Off Request'!$A:$A,'Nov 2026'!$D10,'2026 Time Off Request'!$L:$L,'Nov 2026'!N$6)</f>
        <v>0</v>
      </c>
      <c r="O10" s="148">
        <f>COUNTIFS('2026 Time Off Request'!$A:$A,'Nov 2026'!$D10,'2026 Time Off Request'!$L:$L,'Nov 2026'!O$6)</f>
        <v>0</v>
      </c>
      <c r="P10" s="148">
        <f>COUNTIFS('2026 Time Off Request'!$A:$A,'Nov 2026'!$D10,'2026 Time Off Request'!$L:$L,'Nov 2026'!P$6)</f>
        <v>0</v>
      </c>
      <c r="Q10" s="148">
        <f>COUNTIFS('2026 Time Off Request'!$A:$A,'Nov 2026'!$D10,'2026 Time Off Request'!$L:$L,'Nov 2026'!Q$6)</f>
        <v>0</v>
      </c>
      <c r="R10" s="148">
        <f>COUNTIFS('2026 Time Off Request'!$A:$A,'Nov 2026'!$D10,'2026 Time Off Request'!$L:$L,'Nov 2026'!R$6)</f>
        <v>0</v>
      </c>
      <c r="S10" s="147">
        <f>COUNTIFS('2026 Time Off Request'!$A:$A,'Nov 2026'!$D10,'2026 Time Off Request'!$L:$L,'Nov 2026'!S$6)</f>
        <v>0</v>
      </c>
      <c r="T10" s="147">
        <f>COUNTIFS('2026 Time Off Request'!$A:$A,'Nov 2026'!$D10,'2026 Time Off Request'!$L:$L,'Nov 2026'!T$6)</f>
        <v>0</v>
      </c>
      <c r="U10" s="148">
        <f>COUNTIFS('2026 Time Off Request'!$A:$A,'Nov 2026'!$D10,'2026 Time Off Request'!$L:$L,'Nov 2026'!U$6)</f>
        <v>0</v>
      </c>
      <c r="V10" s="148">
        <f>COUNTIFS('2026 Time Off Request'!$A:$A,'Nov 2026'!$D10,'2026 Time Off Request'!$L:$L,'Nov 2026'!V$6)</f>
        <v>0</v>
      </c>
      <c r="W10" s="148">
        <f>COUNTIFS('2026 Time Off Request'!$A:$A,'Nov 2026'!$D10,'2026 Time Off Request'!$L:$L,'Nov 2026'!W$6)</f>
        <v>0</v>
      </c>
      <c r="X10" s="148">
        <f>COUNTIFS('2026 Time Off Request'!$A:$A,'Nov 2026'!$D10,'2026 Time Off Request'!$L:$L,'Nov 2026'!X$6)</f>
        <v>0</v>
      </c>
      <c r="Y10" s="148">
        <f>COUNTIFS('2026 Time Off Request'!$A:$A,'Nov 2026'!$D10,'2026 Time Off Request'!$L:$L,'Nov 2026'!Y$6)</f>
        <v>0</v>
      </c>
      <c r="Z10" s="147">
        <f>COUNTIFS('2026 Time Off Request'!$A:$A,'Nov 2026'!$D10,'2026 Time Off Request'!$L:$L,'Nov 2026'!Z$6)</f>
        <v>0</v>
      </c>
      <c r="AA10" s="147">
        <f>COUNTIFS('2026 Time Off Request'!$A:$A,'Nov 2026'!$D10,'2026 Time Off Request'!$L:$L,'Nov 2026'!AA$6)</f>
        <v>0</v>
      </c>
      <c r="AB10" s="148">
        <f>COUNTIFS('2026 Time Off Request'!$A:$A,'Nov 2026'!$D10,'2026 Time Off Request'!$L:$L,'Nov 2026'!AB$6)</f>
        <v>0</v>
      </c>
      <c r="AC10" s="148">
        <f>COUNTIFS('2026 Time Off Request'!$A:$A,'Nov 2026'!$D10,'2026 Time Off Request'!$L:$L,'Nov 2026'!AC$6)</f>
        <v>0</v>
      </c>
      <c r="AD10" s="148">
        <f>COUNTIFS('2026 Time Off Request'!$A:$A,'Nov 2026'!$D10,'2026 Time Off Request'!$L:$L,'Nov 2026'!AD$6)</f>
        <v>0</v>
      </c>
      <c r="AE10" s="148">
        <f>COUNTIFS('2026 Time Off Request'!$A:$A,'Nov 2026'!$D10,'2026 Time Off Request'!$L:$L,'Nov 2026'!AE$6)</f>
        <v>0</v>
      </c>
      <c r="AF10" s="148">
        <f>COUNTIFS('2026 Time Off Request'!$A:$A,'Nov 2026'!$D10,'2026 Time Off Request'!$L:$L,'Nov 2026'!AF$6)</f>
        <v>0</v>
      </c>
      <c r="AG10" s="147">
        <f>COUNTIFS('2026 Time Off Request'!$A:$A,'Nov 2026'!$D10,'2026 Time Off Request'!$L:$L,'Nov 2026'!AG$6)</f>
        <v>0</v>
      </c>
      <c r="AH10" s="147">
        <f>COUNTIFS('2026 Time Off Request'!$A:$A,'Nov 2026'!$D10,'2026 Time Off Request'!$L:$L,'Nov 2026'!AH$6)</f>
        <v>0</v>
      </c>
      <c r="AI10" s="148">
        <f>COUNTIFS('2026 Time Off Request'!$A:$A,'Nov 2026'!$D10,'2026 Time Off Request'!$L:$L,'Nov 2026'!AI$6)</f>
        <v>0</v>
      </c>
    </row>
    <row r="11" spans="1:38" ht="15.75">
      <c r="A11" s="2">
        <v>4</v>
      </c>
      <c r="B11" s="209" t="s">
        <v>25</v>
      </c>
      <c r="C11" s="210" t="s">
        <v>32</v>
      </c>
      <c r="D11" s="215" t="s">
        <v>33</v>
      </c>
      <c r="E11" s="212">
        <f t="shared" si="2"/>
        <v>0</v>
      </c>
      <c r="F11" s="213">
        <f>COUNTIFS('2026 Time Off Request'!$A:$A,'Nov 2026'!$D11,'2026 Time Off Request'!$L:$L,'Nov 2026'!F$6)</f>
        <v>0</v>
      </c>
      <c r="G11" s="148">
        <f>COUNTIFS('2026 Time Off Request'!$A:$A,'Nov 2026'!$D11,'2026 Time Off Request'!$L:$L,'Nov 2026'!G$6)</f>
        <v>0</v>
      </c>
      <c r="H11" s="148">
        <f>COUNTIFS('2026 Time Off Request'!$A:$A,'Nov 2026'!$D11,'2026 Time Off Request'!$L:$L,'Nov 2026'!H$6)</f>
        <v>0</v>
      </c>
      <c r="I11" s="148">
        <f>COUNTIFS('2026 Time Off Request'!$A:$A,'Nov 2026'!$D11,'2026 Time Off Request'!$L:$L,'Nov 2026'!I$6)</f>
        <v>0</v>
      </c>
      <c r="J11" s="148">
        <f>COUNTIFS('2026 Time Off Request'!$A:$A,'Nov 2026'!$D11,'2026 Time Off Request'!$L:$L,'Nov 2026'!J$6)</f>
        <v>0</v>
      </c>
      <c r="K11" s="148">
        <f>COUNTIFS('2026 Time Off Request'!$A:$A,'Nov 2026'!$D11,'2026 Time Off Request'!$L:$L,'Nov 2026'!K$6)</f>
        <v>0</v>
      </c>
      <c r="L11" s="147">
        <f>COUNTIFS('2026 Time Off Request'!$A:$A,'Nov 2026'!$D11,'2026 Time Off Request'!$L:$L,'Nov 2026'!L$6)</f>
        <v>0</v>
      </c>
      <c r="M11" s="147">
        <f>COUNTIFS('2026 Time Off Request'!$A:$A,'Nov 2026'!$D11,'2026 Time Off Request'!$L:$L,'Nov 2026'!M$6)</f>
        <v>0</v>
      </c>
      <c r="N11" s="148">
        <f>COUNTIFS('2026 Time Off Request'!$A:$A,'Nov 2026'!$D11,'2026 Time Off Request'!$L:$L,'Nov 2026'!N$6)</f>
        <v>0</v>
      </c>
      <c r="O11" s="148">
        <f>COUNTIFS('2026 Time Off Request'!$A:$A,'Nov 2026'!$D11,'2026 Time Off Request'!$L:$L,'Nov 2026'!O$6)</f>
        <v>0</v>
      </c>
      <c r="P11" s="148">
        <f>COUNTIFS('2026 Time Off Request'!$A:$A,'Nov 2026'!$D11,'2026 Time Off Request'!$L:$L,'Nov 2026'!P$6)</f>
        <v>0</v>
      </c>
      <c r="Q11" s="148">
        <f>COUNTIFS('2026 Time Off Request'!$A:$A,'Nov 2026'!$D11,'2026 Time Off Request'!$L:$L,'Nov 2026'!Q$6)</f>
        <v>0</v>
      </c>
      <c r="R11" s="148">
        <f>COUNTIFS('2026 Time Off Request'!$A:$A,'Nov 2026'!$D11,'2026 Time Off Request'!$L:$L,'Nov 2026'!R$6)</f>
        <v>0</v>
      </c>
      <c r="S11" s="147">
        <f>COUNTIFS('2026 Time Off Request'!$A:$A,'Nov 2026'!$D11,'2026 Time Off Request'!$L:$L,'Nov 2026'!S$6)</f>
        <v>0</v>
      </c>
      <c r="T11" s="147">
        <f>COUNTIFS('2026 Time Off Request'!$A:$A,'Nov 2026'!$D11,'2026 Time Off Request'!$L:$L,'Nov 2026'!T$6)</f>
        <v>0</v>
      </c>
      <c r="U11" s="148">
        <f>COUNTIFS('2026 Time Off Request'!$A:$A,'Nov 2026'!$D11,'2026 Time Off Request'!$L:$L,'Nov 2026'!U$6)</f>
        <v>0</v>
      </c>
      <c r="V11" s="148">
        <f>COUNTIFS('2026 Time Off Request'!$A:$A,'Nov 2026'!$D11,'2026 Time Off Request'!$L:$L,'Nov 2026'!V$6)</f>
        <v>0</v>
      </c>
      <c r="W11" s="148">
        <f>COUNTIFS('2026 Time Off Request'!$A:$A,'Nov 2026'!$D11,'2026 Time Off Request'!$L:$L,'Nov 2026'!W$6)</f>
        <v>0</v>
      </c>
      <c r="X11" s="148">
        <f>COUNTIFS('2026 Time Off Request'!$A:$A,'Nov 2026'!$D11,'2026 Time Off Request'!$L:$L,'Nov 2026'!X$6)</f>
        <v>0</v>
      </c>
      <c r="Y11" s="148">
        <f>COUNTIFS('2026 Time Off Request'!$A:$A,'Nov 2026'!$D11,'2026 Time Off Request'!$L:$L,'Nov 2026'!Y$6)</f>
        <v>0</v>
      </c>
      <c r="Z11" s="147">
        <f>COUNTIFS('2026 Time Off Request'!$A:$A,'Nov 2026'!$D11,'2026 Time Off Request'!$L:$L,'Nov 2026'!Z$6)</f>
        <v>0</v>
      </c>
      <c r="AA11" s="147">
        <f>COUNTIFS('2026 Time Off Request'!$A:$A,'Nov 2026'!$D11,'2026 Time Off Request'!$L:$L,'Nov 2026'!AA$6)</f>
        <v>0</v>
      </c>
      <c r="AB11" s="148">
        <f>COUNTIFS('2026 Time Off Request'!$A:$A,'Nov 2026'!$D11,'2026 Time Off Request'!$L:$L,'Nov 2026'!AB$6)</f>
        <v>0</v>
      </c>
      <c r="AC11" s="148">
        <f>COUNTIFS('2026 Time Off Request'!$A:$A,'Nov 2026'!$D11,'2026 Time Off Request'!$L:$L,'Nov 2026'!AC$6)</f>
        <v>0</v>
      </c>
      <c r="AD11" s="148">
        <f>COUNTIFS('2026 Time Off Request'!$A:$A,'Nov 2026'!$D11,'2026 Time Off Request'!$L:$L,'Nov 2026'!AD$6)</f>
        <v>0</v>
      </c>
      <c r="AE11" s="148">
        <f>COUNTIFS('2026 Time Off Request'!$A:$A,'Nov 2026'!$D11,'2026 Time Off Request'!$L:$L,'Nov 2026'!AE$6)</f>
        <v>0</v>
      </c>
      <c r="AF11" s="148">
        <f>COUNTIFS('2026 Time Off Request'!$A:$A,'Nov 2026'!$D11,'2026 Time Off Request'!$L:$L,'Nov 2026'!AF$6)</f>
        <v>0</v>
      </c>
      <c r="AG11" s="147">
        <f>COUNTIFS('2026 Time Off Request'!$A:$A,'Nov 2026'!$D11,'2026 Time Off Request'!$L:$L,'Nov 2026'!AG$6)</f>
        <v>0</v>
      </c>
      <c r="AH11" s="147">
        <f>COUNTIFS('2026 Time Off Request'!$A:$A,'Nov 2026'!$D11,'2026 Time Off Request'!$L:$L,'Nov 2026'!AH$6)</f>
        <v>0</v>
      </c>
      <c r="AI11" s="148">
        <f>COUNTIFS('2026 Time Off Request'!$A:$A,'Nov 2026'!$D11,'2026 Time Off Request'!$L:$L,'Nov 2026'!AI$6)</f>
        <v>0</v>
      </c>
    </row>
    <row r="12" spans="1:38" ht="15.75">
      <c r="A12" s="2">
        <v>5</v>
      </c>
      <c r="B12" s="209" t="s">
        <v>25</v>
      </c>
      <c r="C12" s="210" t="s">
        <v>34</v>
      </c>
      <c r="D12" s="215" t="s">
        <v>35</v>
      </c>
      <c r="E12" s="212">
        <f t="shared" si="2"/>
        <v>0</v>
      </c>
      <c r="F12" s="213">
        <f>COUNTIFS('2026 Time Off Request'!$A:$A,'Nov 2026'!$D12,'2026 Time Off Request'!$L:$L,'Nov 2026'!F$6)</f>
        <v>0</v>
      </c>
      <c r="G12" s="148">
        <f>COUNTIFS('2026 Time Off Request'!$A:$A,'Nov 2026'!$D12,'2026 Time Off Request'!$L:$L,'Nov 2026'!G$6)</f>
        <v>0</v>
      </c>
      <c r="H12" s="148">
        <f>COUNTIFS('2026 Time Off Request'!$A:$A,'Nov 2026'!$D12,'2026 Time Off Request'!$L:$L,'Nov 2026'!H$6)</f>
        <v>0</v>
      </c>
      <c r="I12" s="148">
        <f>COUNTIFS('2026 Time Off Request'!$A:$A,'Nov 2026'!$D12,'2026 Time Off Request'!$L:$L,'Nov 2026'!I$6)</f>
        <v>0</v>
      </c>
      <c r="J12" s="148">
        <f>COUNTIFS('2026 Time Off Request'!$A:$A,'Nov 2026'!$D12,'2026 Time Off Request'!$L:$L,'Nov 2026'!J$6)</f>
        <v>0</v>
      </c>
      <c r="K12" s="148">
        <f>COUNTIFS('2026 Time Off Request'!$A:$A,'Nov 2026'!$D12,'2026 Time Off Request'!$L:$L,'Nov 2026'!K$6)</f>
        <v>0</v>
      </c>
      <c r="L12" s="147">
        <f>COUNTIFS('2026 Time Off Request'!$A:$A,'Nov 2026'!$D12,'2026 Time Off Request'!$L:$L,'Nov 2026'!L$6)</f>
        <v>0</v>
      </c>
      <c r="M12" s="147">
        <f>COUNTIFS('2026 Time Off Request'!$A:$A,'Nov 2026'!$D12,'2026 Time Off Request'!$L:$L,'Nov 2026'!M$6)</f>
        <v>0</v>
      </c>
      <c r="N12" s="148">
        <f>COUNTIFS('2026 Time Off Request'!$A:$A,'Nov 2026'!$D12,'2026 Time Off Request'!$L:$L,'Nov 2026'!N$6)</f>
        <v>0</v>
      </c>
      <c r="O12" s="148">
        <f>COUNTIFS('2026 Time Off Request'!$A:$A,'Nov 2026'!$D12,'2026 Time Off Request'!$L:$L,'Nov 2026'!O$6)</f>
        <v>0</v>
      </c>
      <c r="P12" s="148">
        <f>COUNTIFS('2026 Time Off Request'!$A:$A,'Nov 2026'!$D12,'2026 Time Off Request'!$L:$L,'Nov 2026'!P$6)</f>
        <v>0</v>
      </c>
      <c r="Q12" s="148">
        <f>COUNTIFS('2026 Time Off Request'!$A:$A,'Nov 2026'!$D12,'2026 Time Off Request'!$L:$L,'Nov 2026'!Q$6)</f>
        <v>0</v>
      </c>
      <c r="R12" s="148">
        <f>COUNTIFS('2026 Time Off Request'!$A:$A,'Nov 2026'!$D12,'2026 Time Off Request'!$L:$L,'Nov 2026'!R$6)</f>
        <v>0</v>
      </c>
      <c r="S12" s="147">
        <f>COUNTIFS('2026 Time Off Request'!$A:$A,'Nov 2026'!$D12,'2026 Time Off Request'!$L:$L,'Nov 2026'!S$6)</f>
        <v>0</v>
      </c>
      <c r="T12" s="147">
        <f>COUNTIFS('2026 Time Off Request'!$A:$A,'Nov 2026'!$D12,'2026 Time Off Request'!$L:$L,'Nov 2026'!T$6)</f>
        <v>0</v>
      </c>
      <c r="U12" s="148">
        <f>COUNTIFS('2026 Time Off Request'!$A:$A,'Nov 2026'!$D12,'2026 Time Off Request'!$L:$L,'Nov 2026'!U$6)</f>
        <v>0</v>
      </c>
      <c r="V12" s="148">
        <f>COUNTIFS('2026 Time Off Request'!$A:$A,'Nov 2026'!$D12,'2026 Time Off Request'!$L:$L,'Nov 2026'!V$6)</f>
        <v>0</v>
      </c>
      <c r="W12" s="148">
        <f>COUNTIFS('2026 Time Off Request'!$A:$A,'Nov 2026'!$D12,'2026 Time Off Request'!$L:$L,'Nov 2026'!W$6)</f>
        <v>0</v>
      </c>
      <c r="X12" s="148">
        <f>COUNTIFS('2026 Time Off Request'!$A:$A,'Nov 2026'!$D12,'2026 Time Off Request'!$L:$L,'Nov 2026'!X$6)</f>
        <v>0</v>
      </c>
      <c r="Y12" s="148">
        <f>COUNTIFS('2026 Time Off Request'!$A:$A,'Nov 2026'!$D12,'2026 Time Off Request'!$L:$L,'Nov 2026'!Y$6)</f>
        <v>0</v>
      </c>
      <c r="Z12" s="147">
        <f>COUNTIFS('2026 Time Off Request'!$A:$A,'Nov 2026'!$D12,'2026 Time Off Request'!$L:$L,'Nov 2026'!Z$6)</f>
        <v>0</v>
      </c>
      <c r="AA12" s="147">
        <f>COUNTIFS('2026 Time Off Request'!$A:$A,'Nov 2026'!$D12,'2026 Time Off Request'!$L:$L,'Nov 2026'!AA$6)</f>
        <v>0</v>
      </c>
      <c r="AB12" s="148">
        <f>COUNTIFS('2026 Time Off Request'!$A:$A,'Nov 2026'!$D12,'2026 Time Off Request'!$L:$L,'Nov 2026'!AB$6)</f>
        <v>0</v>
      </c>
      <c r="AC12" s="148">
        <f>COUNTIFS('2026 Time Off Request'!$A:$A,'Nov 2026'!$D12,'2026 Time Off Request'!$L:$L,'Nov 2026'!AC$6)</f>
        <v>0</v>
      </c>
      <c r="AD12" s="148">
        <f>COUNTIFS('2026 Time Off Request'!$A:$A,'Nov 2026'!$D12,'2026 Time Off Request'!$L:$L,'Nov 2026'!AD$6)</f>
        <v>0</v>
      </c>
      <c r="AE12" s="148">
        <f>COUNTIFS('2026 Time Off Request'!$A:$A,'Nov 2026'!$D12,'2026 Time Off Request'!$L:$L,'Nov 2026'!AE$6)</f>
        <v>0</v>
      </c>
      <c r="AF12" s="148">
        <f>COUNTIFS('2026 Time Off Request'!$A:$A,'Nov 2026'!$D12,'2026 Time Off Request'!$L:$L,'Nov 2026'!AF$6)</f>
        <v>0</v>
      </c>
      <c r="AG12" s="147">
        <f>COUNTIFS('2026 Time Off Request'!$A:$A,'Nov 2026'!$D12,'2026 Time Off Request'!$L:$L,'Nov 2026'!AG$6)</f>
        <v>0</v>
      </c>
      <c r="AH12" s="147">
        <f>COUNTIFS('2026 Time Off Request'!$A:$A,'Nov 2026'!$D12,'2026 Time Off Request'!$L:$L,'Nov 2026'!AH$6)</f>
        <v>0</v>
      </c>
      <c r="AI12" s="148">
        <f>COUNTIFS('2026 Time Off Request'!$A:$A,'Nov 2026'!$D12,'2026 Time Off Request'!$L:$L,'Nov 2026'!AI$6)</f>
        <v>0</v>
      </c>
    </row>
    <row r="13" spans="1:38" ht="15.75">
      <c r="A13" s="2">
        <v>7</v>
      </c>
      <c r="B13" s="209" t="s">
        <v>36</v>
      </c>
      <c r="C13" s="210" t="s">
        <v>37</v>
      </c>
      <c r="D13" s="215" t="s">
        <v>38</v>
      </c>
      <c r="E13" s="212">
        <f t="shared" si="2"/>
        <v>0</v>
      </c>
      <c r="F13" s="213">
        <f>COUNTIFS('2026 Time Off Request'!$A:$A,'Nov 2026'!$D13,'2026 Time Off Request'!$L:$L,'Nov 2026'!F$6)</f>
        <v>0</v>
      </c>
      <c r="G13" s="148">
        <f>COUNTIFS('2026 Time Off Request'!$A:$A,'Nov 2026'!$D13,'2026 Time Off Request'!$L:$L,'Nov 2026'!G$6)</f>
        <v>0</v>
      </c>
      <c r="H13" s="148">
        <f>COUNTIFS('2026 Time Off Request'!$A:$A,'Nov 2026'!$D13,'2026 Time Off Request'!$L:$L,'Nov 2026'!H$6)</f>
        <v>0</v>
      </c>
      <c r="I13" s="148">
        <f>COUNTIFS('2026 Time Off Request'!$A:$A,'Nov 2026'!$D13,'2026 Time Off Request'!$L:$L,'Nov 2026'!I$6)</f>
        <v>0</v>
      </c>
      <c r="J13" s="148">
        <f>COUNTIFS('2026 Time Off Request'!$A:$A,'Nov 2026'!$D13,'2026 Time Off Request'!$L:$L,'Nov 2026'!J$6)</f>
        <v>0</v>
      </c>
      <c r="K13" s="148">
        <f>COUNTIFS('2026 Time Off Request'!$A:$A,'Nov 2026'!$D13,'2026 Time Off Request'!$L:$L,'Nov 2026'!K$6)</f>
        <v>0</v>
      </c>
      <c r="L13" s="147">
        <f>COUNTIFS('2026 Time Off Request'!$A:$A,'Nov 2026'!$D13,'2026 Time Off Request'!$L:$L,'Nov 2026'!L$6)</f>
        <v>0</v>
      </c>
      <c r="M13" s="147">
        <f>COUNTIFS('2026 Time Off Request'!$A:$A,'Nov 2026'!$D13,'2026 Time Off Request'!$L:$L,'Nov 2026'!M$6)</f>
        <v>0</v>
      </c>
      <c r="N13" s="148">
        <f>COUNTIFS('2026 Time Off Request'!$A:$A,'Nov 2026'!$D13,'2026 Time Off Request'!$L:$L,'Nov 2026'!N$6)</f>
        <v>0</v>
      </c>
      <c r="O13" s="148">
        <f>COUNTIFS('2026 Time Off Request'!$A:$A,'Nov 2026'!$D13,'2026 Time Off Request'!$L:$L,'Nov 2026'!O$6)</f>
        <v>0</v>
      </c>
      <c r="P13" s="148">
        <f>COUNTIFS('2026 Time Off Request'!$A:$A,'Nov 2026'!$D13,'2026 Time Off Request'!$L:$L,'Nov 2026'!P$6)</f>
        <v>0</v>
      </c>
      <c r="Q13" s="148">
        <f>COUNTIFS('2026 Time Off Request'!$A:$A,'Nov 2026'!$D13,'2026 Time Off Request'!$L:$L,'Nov 2026'!Q$6)</f>
        <v>0</v>
      </c>
      <c r="R13" s="148">
        <f>COUNTIFS('2026 Time Off Request'!$A:$A,'Nov 2026'!$D13,'2026 Time Off Request'!$L:$L,'Nov 2026'!R$6)</f>
        <v>0</v>
      </c>
      <c r="S13" s="147">
        <f>COUNTIFS('2026 Time Off Request'!$A:$A,'Nov 2026'!$D13,'2026 Time Off Request'!$L:$L,'Nov 2026'!S$6)</f>
        <v>0</v>
      </c>
      <c r="T13" s="147">
        <f>COUNTIFS('2026 Time Off Request'!$A:$A,'Nov 2026'!$D13,'2026 Time Off Request'!$L:$L,'Nov 2026'!T$6)</f>
        <v>0</v>
      </c>
      <c r="U13" s="148">
        <f>COUNTIFS('2026 Time Off Request'!$A:$A,'Nov 2026'!$D13,'2026 Time Off Request'!$L:$L,'Nov 2026'!U$6)</f>
        <v>0</v>
      </c>
      <c r="V13" s="148">
        <f>COUNTIFS('2026 Time Off Request'!$A:$A,'Nov 2026'!$D13,'2026 Time Off Request'!$L:$L,'Nov 2026'!V$6)</f>
        <v>0</v>
      </c>
      <c r="W13" s="148">
        <f>COUNTIFS('2026 Time Off Request'!$A:$A,'Nov 2026'!$D13,'2026 Time Off Request'!$L:$L,'Nov 2026'!W$6)</f>
        <v>0</v>
      </c>
      <c r="X13" s="148">
        <f>COUNTIFS('2026 Time Off Request'!$A:$A,'Nov 2026'!$D13,'2026 Time Off Request'!$L:$L,'Nov 2026'!X$6)</f>
        <v>0</v>
      </c>
      <c r="Y13" s="148">
        <f>COUNTIFS('2026 Time Off Request'!$A:$A,'Nov 2026'!$D13,'2026 Time Off Request'!$L:$L,'Nov 2026'!Y$6)</f>
        <v>0</v>
      </c>
      <c r="Z13" s="147">
        <f>COUNTIFS('2026 Time Off Request'!$A:$A,'Nov 2026'!$D13,'2026 Time Off Request'!$L:$L,'Nov 2026'!Z$6)</f>
        <v>0</v>
      </c>
      <c r="AA13" s="147">
        <f>COUNTIFS('2026 Time Off Request'!$A:$A,'Nov 2026'!$D13,'2026 Time Off Request'!$L:$L,'Nov 2026'!AA$6)</f>
        <v>0</v>
      </c>
      <c r="AB13" s="148">
        <f>COUNTIFS('2026 Time Off Request'!$A:$A,'Nov 2026'!$D13,'2026 Time Off Request'!$L:$L,'Nov 2026'!AB$6)</f>
        <v>0</v>
      </c>
      <c r="AC13" s="148">
        <f>COUNTIFS('2026 Time Off Request'!$A:$A,'Nov 2026'!$D13,'2026 Time Off Request'!$L:$L,'Nov 2026'!AC$6)</f>
        <v>0</v>
      </c>
      <c r="AD13" s="148">
        <f>COUNTIFS('2026 Time Off Request'!$A:$A,'Nov 2026'!$D13,'2026 Time Off Request'!$L:$L,'Nov 2026'!AD$6)</f>
        <v>0</v>
      </c>
      <c r="AE13" s="148">
        <f>COUNTIFS('2026 Time Off Request'!$A:$A,'Nov 2026'!$D13,'2026 Time Off Request'!$L:$L,'Nov 2026'!AE$6)</f>
        <v>0</v>
      </c>
      <c r="AF13" s="148">
        <f>COUNTIFS('2026 Time Off Request'!$A:$A,'Nov 2026'!$D13,'2026 Time Off Request'!$L:$L,'Nov 2026'!AF$6)</f>
        <v>0</v>
      </c>
      <c r="AG13" s="147">
        <f>COUNTIFS('2026 Time Off Request'!$A:$A,'Nov 2026'!$D13,'2026 Time Off Request'!$L:$L,'Nov 2026'!AG$6)</f>
        <v>0</v>
      </c>
      <c r="AH13" s="147">
        <f>COUNTIFS('2026 Time Off Request'!$A:$A,'Nov 2026'!$D13,'2026 Time Off Request'!$L:$L,'Nov 2026'!AH$6)</f>
        <v>0</v>
      </c>
      <c r="AI13" s="148">
        <f>COUNTIFS('2026 Time Off Request'!$A:$A,'Nov 2026'!$D13,'2026 Time Off Request'!$L:$L,'Nov 2026'!AI$6)</f>
        <v>0</v>
      </c>
    </row>
    <row r="14" spans="1:38" ht="15.75">
      <c r="A14" s="2">
        <v>8</v>
      </c>
      <c r="B14" s="209" t="s">
        <v>36</v>
      </c>
      <c r="C14" s="210" t="s">
        <v>37</v>
      </c>
      <c r="D14" s="215" t="s">
        <v>39</v>
      </c>
      <c r="E14" s="212">
        <f t="shared" si="2"/>
        <v>0</v>
      </c>
      <c r="F14" s="213">
        <f>COUNTIFS('2026 Time Off Request'!$A:$A,'Nov 2026'!$D14,'2026 Time Off Request'!$L:$L,'Nov 2026'!F$6)</f>
        <v>0</v>
      </c>
      <c r="G14" s="148">
        <f>COUNTIFS('2026 Time Off Request'!$A:$A,'Nov 2026'!$D14,'2026 Time Off Request'!$L:$L,'Nov 2026'!G$6)</f>
        <v>0</v>
      </c>
      <c r="H14" s="148">
        <f>COUNTIFS('2026 Time Off Request'!$A:$A,'Nov 2026'!$D14,'2026 Time Off Request'!$L:$L,'Nov 2026'!H$6)</f>
        <v>0</v>
      </c>
      <c r="I14" s="148">
        <f>COUNTIFS('2026 Time Off Request'!$A:$A,'Nov 2026'!$D14,'2026 Time Off Request'!$L:$L,'Nov 2026'!I$6)</f>
        <v>0</v>
      </c>
      <c r="J14" s="148">
        <f>COUNTIFS('2026 Time Off Request'!$A:$A,'Nov 2026'!$D14,'2026 Time Off Request'!$L:$L,'Nov 2026'!J$6)</f>
        <v>0</v>
      </c>
      <c r="K14" s="148">
        <f>COUNTIFS('2026 Time Off Request'!$A:$A,'Nov 2026'!$D14,'2026 Time Off Request'!$L:$L,'Nov 2026'!K$6)</f>
        <v>0</v>
      </c>
      <c r="L14" s="147">
        <f>COUNTIFS('2026 Time Off Request'!$A:$A,'Nov 2026'!$D14,'2026 Time Off Request'!$L:$L,'Nov 2026'!L$6)</f>
        <v>0</v>
      </c>
      <c r="M14" s="147">
        <f>COUNTIFS('2026 Time Off Request'!$A:$A,'Nov 2026'!$D14,'2026 Time Off Request'!$L:$L,'Nov 2026'!M$6)</f>
        <v>0</v>
      </c>
      <c r="N14" s="148">
        <f>COUNTIFS('2026 Time Off Request'!$A:$A,'Nov 2026'!$D14,'2026 Time Off Request'!$L:$L,'Nov 2026'!N$6)</f>
        <v>0</v>
      </c>
      <c r="O14" s="148">
        <f>COUNTIFS('2026 Time Off Request'!$A:$A,'Nov 2026'!$D14,'2026 Time Off Request'!$L:$L,'Nov 2026'!O$6)</f>
        <v>0</v>
      </c>
      <c r="P14" s="148">
        <f>COUNTIFS('2026 Time Off Request'!$A:$A,'Nov 2026'!$D14,'2026 Time Off Request'!$L:$L,'Nov 2026'!P$6)</f>
        <v>0</v>
      </c>
      <c r="Q14" s="148">
        <f>COUNTIFS('2026 Time Off Request'!$A:$A,'Nov 2026'!$D14,'2026 Time Off Request'!$L:$L,'Nov 2026'!Q$6)</f>
        <v>0</v>
      </c>
      <c r="R14" s="148">
        <f>COUNTIFS('2026 Time Off Request'!$A:$A,'Nov 2026'!$D14,'2026 Time Off Request'!$L:$L,'Nov 2026'!R$6)</f>
        <v>0</v>
      </c>
      <c r="S14" s="147">
        <f>COUNTIFS('2026 Time Off Request'!$A:$A,'Nov 2026'!$D14,'2026 Time Off Request'!$L:$L,'Nov 2026'!S$6)</f>
        <v>0</v>
      </c>
      <c r="T14" s="147">
        <f>COUNTIFS('2026 Time Off Request'!$A:$A,'Nov 2026'!$D14,'2026 Time Off Request'!$L:$L,'Nov 2026'!T$6)</f>
        <v>0</v>
      </c>
      <c r="U14" s="148">
        <f>COUNTIFS('2026 Time Off Request'!$A:$A,'Nov 2026'!$D14,'2026 Time Off Request'!$L:$L,'Nov 2026'!U$6)</f>
        <v>0</v>
      </c>
      <c r="V14" s="148">
        <f>COUNTIFS('2026 Time Off Request'!$A:$A,'Nov 2026'!$D14,'2026 Time Off Request'!$L:$L,'Nov 2026'!V$6)</f>
        <v>0</v>
      </c>
      <c r="W14" s="148">
        <f>COUNTIFS('2026 Time Off Request'!$A:$A,'Nov 2026'!$D14,'2026 Time Off Request'!$L:$L,'Nov 2026'!W$6)</f>
        <v>0</v>
      </c>
      <c r="X14" s="148">
        <f>COUNTIFS('2026 Time Off Request'!$A:$A,'Nov 2026'!$D14,'2026 Time Off Request'!$L:$L,'Nov 2026'!X$6)</f>
        <v>0</v>
      </c>
      <c r="Y14" s="148">
        <f>COUNTIFS('2026 Time Off Request'!$A:$A,'Nov 2026'!$D14,'2026 Time Off Request'!$L:$L,'Nov 2026'!Y$6)</f>
        <v>0</v>
      </c>
      <c r="Z14" s="147">
        <f>COUNTIFS('2026 Time Off Request'!$A:$A,'Nov 2026'!$D14,'2026 Time Off Request'!$L:$L,'Nov 2026'!Z$6)</f>
        <v>0</v>
      </c>
      <c r="AA14" s="147">
        <f>COUNTIFS('2026 Time Off Request'!$A:$A,'Nov 2026'!$D14,'2026 Time Off Request'!$L:$L,'Nov 2026'!AA$6)</f>
        <v>0</v>
      </c>
      <c r="AB14" s="148">
        <f>COUNTIFS('2026 Time Off Request'!$A:$A,'Nov 2026'!$D14,'2026 Time Off Request'!$L:$L,'Nov 2026'!AB$6)</f>
        <v>0</v>
      </c>
      <c r="AC14" s="148">
        <f>COUNTIFS('2026 Time Off Request'!$A:$A,'Nov 2026'!$D14,'2026 Time Off Request'!$L:$L,'Nov 2026'!AC$6)</f>
        <v>0</v>
      </c>
      <c r="AD14" s="148">
        <f>COUNTIFS('2026 Time Off Request'!$A:$A,'Nov 2026'!$D14,'2026 Time Off Request'!$L:$L,'Nov 2026'!AD$6)</f>
        <v>0</v>
      </c>
      <c r="AE14" s="148">
        <f>COUNTIFS('2026 Time Off Request'!$A:$A,'Nov 2026'!$D14,'2026 Time Off Request'!$L:$L,'Nov 2026'!AE$6)</f>
        <v>0</v>
      </c>
      <c r="AF14" s="148">
        <f>COUNTIFS('2026 Time Off Request'!$A:$A,'Nov 2026'!$D14,'2026 Time Off Request'!$L:$L,'Nov 2026'!AF$6)</f>
        <v>0</v>
      </c>
      <c r="AG14" s="147">
        <f>COUNTIFS('2026 Time Off Request'!$A:$A,'Nov 2026'!$D14,'2026 Time Off Request'!$L:$L,'Nov 2026'!AG$6)</f>
        <v>0</v>
      </c>
      <c r="AH14" s="147">
        <f>COUNTIFS('2026 Time Off Request'!$A:$A,'Nov 2026'!$D14,'2026 Time Off Request'!$L:$L,'Nov 2026'!AH$6)</f>
        <v>0</v>
      </c>
      <c r="AI14" s="148">
        <f>COUNTIFS('2026 Time Off Request'!$A:$A,'Nov 2026'!$D14,'2026 Time Off Request'!$L:$L,'Nov 2026'!AI$6)</f>
        <v>0</v>
      </c>
    </row>
    <row r="15" spans="1:38" ht="15.75">
      <c r="A15" s="2">
        <v>9</v>
      </c>
      <c r="B15" s="209" t="s">
        <v>36</v>
      </c>
      <c r="C15" s="210" t="s">
        <v>37</v>
      </c>
      <c r="D15" s="215" t="s">
        <v>40</v>
      </c>
      <c r="E15" s="212">
        <f t="shared" si="2"/>
        <v>0</v>
      </c>
      <c r="F15" s="213">
        <f>COUNTIFS('2026 Time Off Request'!$A:$A,'Nov 2026'!$D15,'2026 Time Off Request'!$L:$L,'Nov 2026'!F$6)</f>
        <v>0</v>
      </c>
      <c r="G15" s="148">
        <f>COUNTIFS('2026 Time Off Request'!$A:$A,'Nov 2026'!$D15,'2026 Time Off Request'!$L:$L,'Nov 2026'!G$6)</f>
        <v>0</v>
      </c>
      <c r="H15" s="148">
        <f>COUNTIFS('2026 Time Off Request'!$A:$A,'Nov 2026'!$D15,'2026 Time Off Request'!$L:$L,'Nov 2026'!H$6)</f>
        <v>0</v>
      </c>
      <c r="I15" s="148">
        <f>COUNTIFS('2026 Time Off Request'!$A:$A,'Nov 2026'!$D15,'2026 Time Off Request'!$L:$L,'Nov 2026'!I$6)</f>
        <v>0</v>
      </c>
      <c r="J15" s="148">
        <f>COUNTIFS('2026 Time Off Request'!$A:$A,'Nov 2026'!$D15,'2026 Time Off Request'!$L:$L,'Nov 2026'!J$6)</f>
        <v>0</v>
      </c>
      <c r="K15" s="148">
        <f>COUNTIFS('2026 Time Off Request'!$A:$A,'Nov 2026'!$D15,'2026 Time Off Request'!$L:$L,'Nov 2026'!K$6)</f>
        <v>0</v>
      </c>
      <c r="L15" s="147">
        <f>COUNTIFS('2026 Time Off Request'!$A:$A,'Nov 2026'!$D15,'2026 Time Off Request'!$L:$L,'Nov 2026'!L$6)</f>
        <v>0</v>
      </c>
      <c r="M15" s="147">
        <f>COUNTIFS('2026 Time Off Request'!$A:$A,'Nov 2026'!$D15,'2026 Time Off Request'!$L:$L,'Nov 2026'!M$6)</f>
        <v>0</v>
      </c>
      <c r="N15" s="148">
        <f>COUNTIFS('2026 Time Off Request'!$A:$A,'Nov 2026'!$D15,'2026 Time Off Request'!$L:$L,'Nov 2026'!N$6)</f>
        <v>0</v>
      </c>
      <c r="O15" s="148">
        <f>COUNTIFS('2026 Time Off Request'!$A:$A,'Nov 2026'!$D15,'2026 Time Off Request'!$L:$L,'Nov 2026'!O$6)</f>
        <v>0</v>
      </c>
      <c r="P15" s="148">
        <f>COUNTIFS('2026 Time Off Request'!$A:$A,'Nov 2026'!$D15,'2026 Time Off Request'!$L:$L,'Nov 2026'!P$6)</f>
        <v>0</v>
      </c>
      <c r="Q15" s="148">
        <f>COUNTIFS('2026 Time Off Request'!$A:$A,'Nov 2026'!$D15,'2026 Time Off Request'!$L:$L,'Nov 2026'!Q$6)</f>
        <v>0</v>
      </c>
      <c r="R15" s="148">
        <f>COUNTIFS('2026 Time Off Request'!$A:$A,'Nov 2026'!$D15,'2026 Time Off Request'!$L:$L,'Nov 2026'!R$6)</f>
        <v>0</v>
      </c>
      <c r="S15" s="147">
        <f>COUNTIFS('2026 Time Off Request'!$A:$A,'Nov 2026'!$D15,'2026 Time Off Request'!$L:$L,'Nov 2026'!S$6)</f>
        <v>0</v>
      </c>
      <c r="T15" s="147">
        <f>COUNTIFS('2026 Time Off Request'!$A:$A,'Nov 2026'!$D15,'2026 Time Off Request'!$L:$L,'Nov 2026'!T$6)</f>
        <v>0</v>
      </c>
      <c r="U15" s="148">
        <f>COUNTIFS('2026 Time Off Request'!$A:$A,'Nov 2026'!$D15,'2026 Time Off Request'!$L:$L,'Nov 2026'!U$6)</f>
        <v>0</v>
      </c>
      <c r="V15" s="148">
        <f>COUNTIFS('2026 Time Off Request'!$A:$A,'Nov 2026'!$D15,'2026 Time Off Request'!$L:$L,'Nov 2026'!V$6)</f>
        <v>0</v>
      </c>
      <c r="W15" s="148">
        <f>COUNTIFS('2026 Time Off Request'!$A:$A,'Nov 2026'!$D15,'2026 Time Off Request'!$L:$L,'Nov 2026'!W$6)</f>
        <v>0</v>
      </c>
      <c r="X15" s="148">
        <f>COUNTIFS('2026 Time Off Request'!$A:$A,'Nov 2026'!$D15,'2026 Time Off Request'!$L:$L,'Nov 2026'!X$6)</f>
        <v>0</v>
      </c>
      <c r="Y15" s="148">
        <f>COUNTIFS('2026 Time Off Request'!$A:$A,'Nov 2026'!$D15,'2026 Time Off Request'!$L:$L,'Nov 2026'!Y$6)</f>
        <v>0</v>
      </c>
      <c r="Z15" s="147">
        <f>COUNTIFS('2026 Time Off Request'!$A:$A,'Nov 2026'!$D15,'2026 Time Off Request'!$L:$L,'Nov 2026'!Z$6)</f>
        <v>0</v>
      </c>
      <c r="AA15" s="147">
        <f>COUNTIFS('2026 Time Off Request'!$A:$A,'Nov 2026'!$D15,'2026 Time Off Request'!$L:$L,'Nov 2026'!AA$6)</f>
        <v>0</v>
      </c>
      <c r="AB15" s="148">
        <f>COUNTIFS('2026 Time Off Request'!$A:$A,'Nov 2026'!$D15,'2026 Time Off Request'!$L:$L,'Nov 2026'!AB$6)</f>
        <v>0</v>
      </c>
      <c r="AC15" s="148">
        <f>COUNTIFS('2026 Time Off Request'!$A:$A,'Nov 2026'!$D15,'2026 Time Off Request'!$L:$L,'Nov 2026'!AC$6)</f>
        <v>0</v>
      </c>
      <c r="AD15" s="148">
        <f>COUNTIFS('2026 Time Off Request'!$A:$A,'Nov 2026'!$D15,'2026 Time Off Request'!$L:$L,'Nov 2026'!AD$6)</f>
        <v>0</v>
      </c>
      <c r="AE15" s="148">
        <f>COUNTIFS('2026 Time Off Request'!$A:$A,'Nov 2026'!$D15,'2026 Time Off Request'!$L:$L,'Nov 2026'!AE$6)</f>
        <v>0</v>
      </c>
      <c r="AF15" s="148">
        <f>COUNTIFS('2026 Time Off Request'!$A:$A,'Nov 2026'!$D15,'2026 Time Off Request'!$L:$L,'Nov 2026'!AF$6)</f>
        <v>0</v>
      </c>
      <c r="AG15" s="147">
        <f>COUNTIFS('2026 Time Off Request'!$A:$A,'Nov 2026'!$D15,'2026 Time Off Request'!$L:$L,'Nov 2026'!AG$6)</f>
        <v>0</v>
      </c>
      <c r="AH15" s="147">
        <f>COUNTIFS('2026 Time Off Request'!$A:$A,'Nov 2026'!$D15,'2026 Time Off Request'!$L:$L,'Nov 2026'!AH$6)</f>
        <v>0</v>
      </c>
      <c r="AI15" s="148">
        <f>COUNTIFS('2026 Time Off Request'!$A:$A,'Nov 2026'!$D15,'2026 Time Off Request'!$L:$L,'Nov 2026'!AI$6)</f>
        <v>0</v>
      </c>
    </row>
    <row r="16" spans="1:38" ht="15.75">
      <c r="A16" s="2">
        <v>10</v>
      </c>
      <c r="B16" s="209" t="s">
        <v>36</v>
      </c>
      <c r="C16" s="210" t="s">
        <v>37</v>
      </c>
      <c r="D16" s="215" t="s">
        <v>41</v>
      </c>
      <c r="E16" s="212">
        <f t="shared" si="2"/>
        <v>0</v>
      </c>
      <c r="F16" s="213">
        <f>COUNTIFS('2026 Time Off Request'!$A:$A,'Nov 2026'!$D16,'2026 Time Off Request'!$L:$L,'Nov 2026'!F$6)</f>
        <v>0</v>
      </c>
      <c r="G16" s="148">
        <f>COUNTIFS('2026 Time Off Request'!$A:$A,'Nov 2026'!$D16,'2026 Time Off Request'!$L:$L,'Nov 2026'!G$6)</f>
        <v>0</v>
      </c>
      <c r="H16" s="148">
        <f>COUNTIFS('2026 Time Off Request'!$A:$A,'Nov 2026'!$D16,'2026 Time Off Request'!$L:$L,'Nov 2026'!H$6)</f>
        <v>0</v>
      </c>
      <c r="I16" s="148">
        <f>COUNTIFS('2026 Time Off Request'!$A:$A,'Nov 2026'!$D16,'2026 Time Off Request'!$L:$L,'Nov 2026'!I$6)</f>
        <v>0</v>
      </c>
      <c r="J16" s="148">
        <f>COUNTIFS('2026 Time Off Request'!$A:$A,'Nov 2026'!$D16,'2026 Time Off Request'!$L:$L,'Nov 2026'!J$6)</f>
        <v>0</v>
      </c>
      <c r="K16" s="148">
        <f>COUNTIFS('2026 Time Off Request'!$A:$A,'Nov 2026'!$D16,'2026 Time Off Request'!$L:$L,'Nov 2026'!K$6)</f>
        <v>0</v>
      </c>
      <c r="L16" s="147">
        <f>COUNTIFS('2026 Time Off Request'!$A:$A,'Nov 2026'!$D16,'2026 Time Off Request'!$L:$L,'Nov 2026'!L$6)</f>
        <v>0</v>
      </c>
      <c r="M16" s="147">
        <f>COUNTIFS('2026 Time Off Request'!$A:$A,'Nov 2026'!$D16,'2026 Time Off Request'!$L:$L,'Nov 2026'!M$6)</f>
        <v>0</v>
      </c>
      <c r="N16" s="148">
        <f>COUNTIFS('2026 Time Off Request'!$A:$A,'Nov 2026'!$D16,'2026 Time Off Request'!$L:$L,'Nov 2026'!N$6)</f>
        <v>0</v>
      </c>
      <c r="O16" s="148">
        <f>COUNTIFS('2026 Time Off Request'!$A:$A,'Nov 2026'!$D16,'2026 Time Off Request'!$L:$L,'Nov 2026'!O$6)</f>
        <v>0</v>
      </c>
      <c r="P16" s="148">
        <f>COUNTIFS('2026 Time Off Request'!$A:$A,'Nov 2026'!$D16,'2026 Time Off Request'!$L:$L,'Nov 2026'!P$6)</f>
        <v>0</v>
      </c>
      <c r="Q16" s="148">
        <f>COUNTIFS('2026 Time Off Request'!$A:$A,'Nov 2026'!$D16,'2026 Time Off Request'!$L:$L,'Nov 2026'!Q$6)</f>
        <v>0</v>
      </c>
      <c r="R16" s="148">
        <f>COUNTIFS('2026 Time Off Request'!$A:$A,'Nov 2026'!$D16,'2026 Time Off Request'!$L:$L,'Nov 2026'!R$6)</f>
        <v>0</v>
      </c>
      <c r="S16" s="147">
        <f>COUNTIFS('2026 Time Off Request'!$A:$A,'Nov 2026'!$D16,'2026 Time Off Request'!$L:$L,'Nov 2026'!S$6)</f>
        <v>0</v>
      </c>
      <c r="T16" s="147">
        <f>COUNTIFS('2026 Time Off Request'!$A:$A,'Nov 2026'!$D16,'2026 Time Off Request'!$L:$L,'Nov 2026'!T$6)</f>
        <v>0</v>
      </c>
      <c r="U16" s="148">
        <f>COUNTIFS('2026 Time Off Request'!$A:$A,'Nov 2026'!$D16,'2026 Time Off Request'!$L:$L,'Nov 2026'!U$6)</f>
        <v>0</v>
      </c>
      <c r="V16" s="148">
        <f>COUNTIFS('2026 Time Off Request'!$A:$A,'Nov 2026'!$D16,'2026 Time Off Request'!$L:$L,'Nov 2026'!V$6)</f>
        <v>0</v>
      </c>
      <c r="W16" s="148">
        <f>COUNTIFS('2026 Time Off Request'!$A:$A,'Nov 2026'!$D16,'2026 Time Off Request'!$L:$L,'Nov 2026'!W$6)</f>
        <v>0</v>
      </c>
      <c r="X16" s="148">
        <f>COUNTIFS('2026 Time Off Request'!$A:$A,'Nov 2026'!$D16,'2026 Time Off Request'!$L:$L,'Nov 2026'!X$6)</f>
        <v>0</v>
      </c>
      <c r="Y16" s="148">
        <f>COUNTIFS('2026 Time Off Request'!$A:$A,'Nov 2026'!$D16,'2026 Time Off Request'!$L:$L,'Nov 2026'!Y$6)</f>
        <v>0</v>
      </c>
      <c r="Z16" s="147">
        <f>COUNTIFS('2026 Time Off Request'!$A:$A,'Nov 2026'!$D16,'2026 Time Off Request'!$L:$L,'Nov 2026'!Z$6)</f>
        <v>0</v>
      </c>
      <c r="AA16" s="147">
        <f>COUNTIFS('2026 Time Off Request'!$A:$A,'Nov 2026'!$D16,'2026 Time Off Request'!$L:$L,'Nov 2026'!AA$6)</f>
        <v>0</v>
      </c>
      <c r="AB16" s="148">
        <f>COUNTIFS('2026 Time Off Request'!$A:$A,'Nov 2026'!$D16,'2026 Time Off Request'!$L:$L,'Nov 2026'!AB$6)</f>
        <v>0</v>
      </c>
      <c r="AC16" s="148">
        <f>COUNTIFS('2026 Time Off Request'!$A:$A,'Nov 2026'!$D16,'2026 Time Off Request'!$L:$L,'Nov 2026'!AC$6)</f>
        <v>0</v>
      </c>
      <c r="AD16" s="148">
        <f>COUNTIFS('2026 Time Off Request'!$A:$A,'Nov 2026'!$D16,'2026 Time Off Request'!$L:$L,'Nov 2026'!AD$6)</f>
        <v>0</v>
      </c>
      <c r="AE16" s="148">
        <f>COUNTIFS('2026 Time Off Request'!$A:$A,'Nov 2026'!$D16,'2026 Time Off Request'!$L:$L,'Nov 2026'!AE$6)</f>
        <v>0</v>
      </c>
      <c r="AF16" s="148">
        <f>COUNTIFS('2026 Time Off Request'!$A:$A,'Nov 2026'!$D16,'2026 Time Off Request'!$L:$L,'Nov 2026'!AF$6)</f>
        <v>0</v>
      </c>
      <c r="AG16" s="147">
        <f>COUNTIFS('2026 Time Off Request'!$A:$A,'Nov 2026'!$D16,'2026 Time Off Request'!$L:$L,'Nov 2026'!AG$6)</f>
        <v>0</v>
      </c>
      <c r="AH16" s="147">
        <f>COUNTIFS('2026 Time Off Request'!$A:$A,'Nov 2026'!$D16,'2026 Time Off Request'!$L:$L,'Nov 2026'!AH$6)</f>
        <v>0</v>
      </c>
      <c r="AI16" s="148">
        <f>COUNTIFS('2026 Time Off Request'!$A:$A,'Nov 2026'!$D16,'2026 Time Off Request'!$L:$L,'Nov 2026'!AI$6)</f>
        <v>0</v>
      </c>
    </row>
    <row r="17" spans="1:35" ht="15.75">
      <c r="A17" s="2">
        <v>11</v>
      </c>
      <c r="B17" s="209" t="s">
        <v>36</v>
      </c>
      <c r="C17" s="210" t="s">
        <v>37</v>
      </c>
      <c r="D17" s="215" t="s">
        <v>42</v>
      </c>
      <c r="E17" s="212">
        <f t="shared" si="2"/>
        <v>0</v>
      </c>
      <c r="F17" s="213">
        <f>COUNTIFS('2026 Time Off Request'!$A:$A,'Nov 2026'!$D17,'2026 Time Off Request'!$L:$L,'Nov 2026'!F$6)</f>
        <v>0</v>
      </c>
      <c r="G17" s="148">
        <f>COUNTIFS('2026 Time Off Request'!$A:$A,'Nov 2026'!$D17,'2026 Time Off Request'!$L:$L,'Nov 2026'!G$6)</f>
        <v>0</v>
      </c>
      <c r="H17" s="148">
        <f>COUNTIFS('2026 Time Off Request'!$A:$A,'Nov 2026'!$D17,'2026 Time Off Request'!$L:$L,'Nov 2026'!H$6)</f>
        <v>0</v>
      </c>
      <c r="I17" s="148">
        <f>COUNTIFS('2026 Time Off Request'!$A:$A,'Nov 2026'!$D17,'2026 Time Off Request'!$L:$L,'Nov 2026'!I$6)</f>
        <v>0</v>
      </c>
      <c r="J17" s="148">
        <f>COUNTIFS('2026 Time Off Request'!$A:$A,'Nov 2026'!$D17,'2026 Time Off Request'!$L:$L,'Nov 2026'!J$6)</f>
        <v>0</v>
      </c>
      <c r="K17" s="148">
        <f>COUNTIFS('2026 Time Off Request'!$A:$A,'Nov 2026'!$D17,'2026 Time Off Request'!$L:$L,'Nov 2026'!K$6)</f>
        <v>0</v>
      </c>
      <c r="L17" s="147">
        <f>COUNTIFS('2026 Time Off Request'!$A:$A,'Nov 2026'!$D17,'2026 Time Off Request'!$L:$L,'Nov 2026'!L$6)</f>
        <v>0</v>
      </c>
      <c r="M17" s="147">
        <f>COUNTIFS('2026 Time Off Request'!$A:$A,'Nov 2026'!$D17,'2026 Time Off Request'!$L:$L,'Nov 2026'!M$6)</f>
        <v>0</v>
      </c>
      <c r="N17" s="148">
        <f>COUNTIFS('2026 Time Off Request'!$A:$A,'Nov 2026'!$D17,'2026 Time Off Request'!$L:$L,'Nov 2026'!N$6)</f>
        <v>0</v>
      </c>
      <c r="O17" s="148">
        <f>COUNTIFS('2026 Time Off Request'!$A:$A,'Nov 2026'!$D17,'2026 Time Off Request'!$L:$L,'Nov 2026'!O$6)</f>
        <v>0</v>
      </c>
      <c r="P17" s="148">
        <f>COUNTIFS('2026 Time Off Request'!$A:$A,'Nov 2026'!$D17,'2026 Time Off Request'!$L:$L,'Nov 2026'!P$6)</f>
        <v>0</v>
      </c>
      <c r="Q17" s="148">
        <f>COUNTIFS('2026 Time Off Request'!$A:$A,'Nov 2026'!$D17,'2026 Time Off Request'!$L:$L,'Nov 2026'!Q$6)</f>
        <v>0</v>
      </c>
      <c r="R17" s="148">
        <f>COUNTIFS('2026 Time Off Request'!$A:$A,'Nov 2026'!$D17,'2026 Time Off Request'!$L:$L,'Nov 2026'!R$6)</f>
        <v>0</v>
      </c>
      <c r="S17" s="147">
        <f>COUNTIFS('2026 Time Off Request'!$A:$A,'Nov 2026'!$D17,'2026 Time Off Request'!$L:$L,'Nov 2026'!S$6)</f>
        <v>0</v>
      </c>
      <c r="T17" s="147">
        <f>COUNTIFS('2026 Time Off Request'!$A:$A,'Nov 2026'!$D17,'2026 Time Off Request'!$L:$L,'Nov 2026'!T$6)</f>
        <v>0</v>
      </c>
      <c r="U17" s="148">
        <f>COUNTIFS('2026 Time Off Request'!$A:$A,'Nov 2026'!$D17,'2026 Time Off Request'!$L:$L,'Nov 2026'!U$6)</f>
        <v>0</v>
      </c>
      <c r="V17" s="148">
        <f>COUNTIFS('2026 Time Off Request'!$A:$A,'Nov 2026'!$D17,'2026 Time Off Request'!$L:$L,'Nov 2026'!V$6)</f>
        <v>0</v>
      </c>
      <c r="W17" s="148">
        <f>COUNTIFS('2026 Time Off Request'!$A:$A,'Nov 2026'!$D17,'2026 Time Off Request'!$L:$L,'Nov 2026'!W$6)</f>
        <v>0</v>
      </c>
      <c r="X17" s="148">
        <f>COUNTIFS('2026 Time Off Request'!$A:$A,'Nov 2026'!$D17,'2026 Time Off Request'!$L:$L,'Nov 2026'!X$6)</f>
        <v>0</v>
      </c>
      <c r="Y17" s="148">
        <f>COUNTIFS('2026 Time Off Request'!$A:$A,'Nov 2026'!$D17,'2026 Time Off Request'!$L:$L,'Nov 2026'!Y$6)</f>
        <v>0</v>
      </c>
      <c r="Z17" s="147">
        <f>COUNTIFS('2026 Time Off Request'!$A:$A,'Nov 2026'!$D17,'2026 Time Off Request'!$L:$L,'Nov 2026'!Z$6)</f>
        <v>0</v>
      </c>
      <c r="AA17" s="147">
        <f>COUNTIFS('2026 Time Off Request'!$A:$A,'Nov 2026'!$D17,'2026 Time Off Request'!$L:$L,'Nov 2026'!AA$6)</f>
        <v>0</v>
      </c>
      <c r="AB17" s="148">
        <f>COUNTIFS('2026 Time Off Request'!$A:$A,'Nov 2026'!$D17,'2026 Time Off Request'!$L:$L,'Nov 2026'!AB$6)</f>
        <v>0</v>
      </c>
      <c r="AC17" s="148">
        <f>COUNTIFS('2026 Time Off Request'!$A:$A,'Nov 2026'!$D17,'2026 Time Off Request'!$L:$L,'Nov 2026'!AC$6)</f>
        <v>0</v>
      </c>
      <c r="AD17" s="148">
        <f>COUNTIFS('2026 Time Off Request'!$A:$A,'Nov 2026'!$D17,'2026 Time Off Request'!$L:$L,'Nov 2026'!AD$6)</f>
        <v>0</v>
      </c>
      <c r="AE17" s="148">
        <f>COUNTIFS('2026 Time Off Request'!$A:$A,'Nov 2026'!$D17,'2026 Time Off Request'!$L:$L,'Nov 2026'!AE$6)</f>
        <v>0</v>
      </c>
      <c r="AF17" s="148">
        <f>COUNTIFS('2026 Time Off Request'!$A:$A,'Nov 2026'!$D17,'2026 Time Off Request'!$L:$L,'Nov 2026'!AF$6)</f>
        <v>0</v>
      </c>
      <c r="AG17" s="147">
        <f>COUNTIFS('2026 Time Off Request'!$A:$A,'Nov 2026'!$D17,'2026 Time Off Request'!$L:$L,'Nov 2026'!AG$6)</f>
        <v>0</v>
      </c>
      <c r="AH17" s="147">
        <f>COUNTIFS('2026 Time Off Request'!$A:$A,'Nov 2026'!$D17,'2026 Time Off Request'!$L:$L,'Nov 2026'!AH$6)</f>
        <v>0</v>
      </c>
      <c r="AI17" s="148">
        <f>COUNTIFS('2026 Time Off Request'!$A:$A,'Nov 2026'!$D17,'2026 Time Off Request'!$L:$L,'Nov 2026'!AI$6)</f>
        <v>0</v>
      </c>
    </row>
    <row r="18" spans="1:35" ht="15.75">
      <c r="A18" s="2">
        <v>12</v>
      </c>
      <c r="B18" s="209" t="s">
        <v>36</v>
      </c>
      <c r="C18" s="210" t="s">
        <v>37</v>
      </c>
      <c r="D18" s="215" t="s">
        <v>43</v>
      </c>
      <c r="E18" s="212">
        <f t="shared" si="2"/>
        <v>0</v>
      </c>
      <c r="F18" s="213">
        <f>COUNTIFS('2026 Time Off Request'!$A:$A,'Nov 2026'!$D18,'2026 Time Off Request'!$L:$L,'Nov 2026'!F$6)</f>
        <v>0</v>
      </c>
      <c r="G18" s="148">
        <f>COUNTIFS('2026 Time Off Request'!$A:$A,'Nov 2026'!$D18,'2026 Time Off Request'!$L:$L,'Nov 2026'!G$6)</f>
        <v>0</v>
      </c>
      <c r="H18" s="148">
        <f>COUNTIFS('2026 Time Off Request'!$A:$A,'Nov 2026'!$D18,'2026 Time Off Request'!$L:$L,'Nov 2026'!H$6)</f>
        <v>0</v>
      </c>
      <c r="I18" s="148">
        <f>COUNTIFS('2026 Time Off Request'!$A:$A,'Nov 2026'!$D18,'2026 Time Off Request'!$L:$L,'Nov 2026'!I$6)</f>
        <v>0</v>
      </c>
      <c r="J18" s="148">
        <f>COUNTIFS('2026 Time Off Request'!$A:$A,'Nov 2026'!$D18,'2026 Time Off Request'!$L:$L,'Nov 2026'!J$6)</f>
        <v>0</v>
      </c>
      <c r="K18" s="148">
        <f>COUNTIFS('2026 Time Off Request'!$A:$A,'Nov 2026'!$D18,'2026 Time Off Request'!$L:$L,'Nov 2026'!K$6)</f>
        <v>0</v>
      </c>
      <c r="L18" s="147">
        <f>COUNTIFS('2026 Time Off Request'!$A:$A,'Nov 2026'!$D18,'2026 Time Off Request'!$L:$L,'Nov 2026'!L$6)</f>
        <v>0</v>
      </c>
      <c r="M18" s="147">
        <f>COUNTIFS('2026 Time Off Request'!$A:$A,'Nov 2026'!$D18,'2026 Time Off Request'!$L:$L,'Nov 2026'!M$6)</f>
        <v>0</v>
      </c>
      <c r="N18" s="148">
        <f>COUNTIFS('2026 Time Off Request'!$A:$A,'Nov 2026'!$D18,'2026 Time Off Request'!$L:$L,'Nov 2026'!N$6)</f>
        <v>0</v>
      </c>
      <c r="O18" s="148">
        <f>COUNTIFS('2026 Time Off Request'!$A:$A,'Nov 2026'!$D18,'2026 Time Off Request'!$L:$L,'Nov 2026'!O$6)</f>
        <v>0</v>
      </c>
      <c r="P18" s="148">
        <f>COUNTIFS('2026 Time Off Request'!$A:$A,'Nov 2026'!$D18,'2026 Time Off Request'!$L:$L,'Nov 2026'!P$6)</f>
        <v>0</v>
      </c>
      <c r="Q18" s="148">
        <f>COUNTIFS('2026 Time Off Request'!$A:$A,'Nov 2026'!$D18,'2026 Time Off Request'!$L:$L,'Nov 2026'!Q$6)</f>
        <v>0</v>
      </c>
      <c r="R18" s="148">
        <f>COUNTIFS('2026 Time Off Request'!$A:$A,'Nov 2026'!$D18,'2026 Time Off Request'!$L:$L,'Nov 2026'!R$6)</f>
        <v>0</v>
      </c>
      <c r="S18" s="147">
        <f>COUNTIFS('2026 Time Off Request'!$A:$A,'Nov 2026'!$D18,'2026 Time Off Request'!$L:$L,'Nov 2026'!S$6)</f>
        <v>0</v>
      </c>
      <c r="T18" s="147">
        <f>COUNTIFS('2026 Time Off Request'!$A:$A,'Nov 2026'!$D18,'2026 Time Off Request'!$L:$L,'Nov 2026'!T$6)</f>
        <v>0</v>
      </c>
      <c r="U18" s="148">
        <f>COUNTIFS('2026 Time Off Request'!$A:$A,'Nov 2026'!$D18,'2026 Time Off Request'!$L:$L,'Nov 2026'!U$6)</f>
        <v>0</v>
      </c>
      <c r="V18" s="148">
        <f>COUNTIFS('2026 Time Off Request'!$A:$A,'Nov 2026'!$D18,'2026 Time Off Request'!$L:$L,'Nov 2026'!V$6)</f>
        <v>0</v>
      </c>
      <c r="W18" s="148">
        <f>COUNTIFS('2026 Time Off Request'!$A:$A,'Nov 2026'!$D18,'2026 Time Off Request'!$L:$L,'Nov 2026'!W$6)</f>
        <v>0</v>
      </c>
      <c r="X18" s="148">
        <f>COUNTIFS('2026 Time Off Request'!$A:$A,'Nov 2026'!$D18,'2026 Time Off Request'!$L:$L,'Nov 2026'!X$6)</f>
        <v>0</v>
      </c>
      <c r="Y18" s="148">
        <f>COUNTIFS('2026 Time Off Request'!$A:$A,'Nov 2026'!$D18,'2026 Time Off Request'!$L:$L,'Nov 2026'!Y$6)</f>
        <v>0</v>
      </c>
      <c r="Z18" s="147">
        <f>COUNTIFS('2026 Time Off Request'!$A:$A,'Nov 2026'!$D18,'2026 Time Off Request'!$L:$L,'Nov 2026'!Z$6)</f>
        <v>0</v>
      </c>
      <c r="AA18" s="147">
        <f>COUNTIFS('2026 Time Off Request'!$A:$A,'Nov 2026'!$D18,'2026 Time Off Request'!$L:$L,'Nov 2026'!AA$6)</f>
        <v>0</v>
      </c>
      <c r="AB18" s="148">
        <f>COUNTIFS('2026 Time Off Request'!$A:$A,'Nov 2026'!$D18,'2026 Time Off Request'!$L:$L,'Nov 2026'!AB$6)</f>
        <v>0</v>
      </c>
      <c r="AC18" s="148">
        <f>COUNTIFS('2026 Time Off Request'!$A:$A,'Nov 2026'!$D18,'2026 Time Off Request'!$L:$L,'Nov 2026'!AC$6)</f>
        <v>0</v>
      </c>
      <c r="AD18" s="148">
        <f>COUNTIFS('2026 Time Off Request'!$A:$A,'Nov 2026'!$D18,'2026 Time Off Request'!$L:$L,'Nov 2026'!AD$6)</f>
        <v>0</v>
      </c>
      <c r="AE18" s="148">
        <f>COUNTIFS('2026 Time Off Request'!$A:$A,'Nov 2026'!$D18,'2026 Time Off Request'!$L:$L,'Nov 2026'!AE$6)</f>
        <v>0</v>
      </c>
      <c r="AF18" s="148">
        <f>COUNTIFS('2026 Time Off Request'!$A:$A,'Nov 2026'!$D18,'2026 Time Off Request'!$L:$L,'Nov 2026'!AF$6)</f>
        <v>0</v>
      </c>
      <c r="AG18" s="147">
        <f>COUNTIFS('2026 Time Off Request'!$A:$A,'Nov 2026'!$D18,'2026 Time Off Request'!$L:$L,'Nov 2026'!AG$6)</f>
        <v>0</v>
      </c>
      <c r="AH18" s="147">
        <f>COUNTIFS('2026 Time Off Request'!$A:$A,'Nov 2026'!$D18,'2026 Time Off Request'!$L:$L,'Nov 2026'!AH$6)</f>
        <v>0</v>
      </c>
      <c r="AI18" s="148">
        <f>COUNTIFS('2026 Time Off Request'!$A:$A,'Nov 2026'!$D18,'2026 Time Off Request'!$L:$L,'Nov 2026'!AI$6)</f>
        <v>0</v>
      </c>
    </row>
    <row r="19" spans="1:35" ht="15.75">
      <c r="A19" s="2">
        <v>13</v>
      </c>
      <c r="B19" s="209" t="s">
        <v>36</v>
      </c>
      <c r="C19" s="210" t="s">
        <v>37</v>
      </c>
      <c r="D19" s="215" t="s">
        <v>44</v>
      </c>
      <c r="E19" s="212">
        <f t="shared" si="2"/>
        <v>0</v>
      </c>
      <c r="F19" s="213">
        <f>COUNTIFS('2026 Time Off Request'!$A:$A,'Nov 2026'!$D19,'2026 Time Off Request'!$L:$L,'Nov 2026'!F$6)</f>
        <v>0</v>
      </c>
      <c r="G19" s="148">
        <f>COUNTIFS('2026 Time Off Request'!$A:$A,'Nov 2026'!$D19,'2026 Time Off Request'!$L:$L,'Nov 2026'!G$6)</f>
        <v>0</v>
      </c>
      <c r="H19" s="148">
        <f>COUNTIFS('2026 Time Off Request'!$A:$A,'Nov 2026'!$D19,'2026 Time Off Request'!$L:$L,'Nov 2026'!H$6)</f>
        <v>0</v>
      </c>
      <c r="I19" s="148">
        <f>COUNTIFS('2026 Time Off Request'!$A:$A,'Nov 2026'!$D19,'2026 Time Off Request'!$L:$L,'Nov 2026'!I$6)</f>
        <v>0</v>
      </c>
      <c r="J19" s="148">
        <f>COUNTIFS('2026 Time Off Request'!$A:$A,'Nov 2026'!$D19,'2026 Time Off Request'!$L:$L,'Nov 2026'!J$6)</f>
        <v>0</v>
      </c>
      <c r="K19" s="148">
        <f>COUNTIFS('2026 Time Off Request'!$A:$A,'Nov 2026'!$D19,'2026 Time Off Request'!$L:$L,'Nov 2026'!K$6)</f>
        <v>0</v>
      </c>
      <c r="L19" s="147">
        <f>COUNTIFS('2026 Time Off Request'!$A:$A,'Nov 2026'!$D19,'2026 Time Off Request'!$L:$L,'Nov 2026'!L$6)</f>
        <v>0</v>
      </c>
      <c r="M19" s="147">
        <f>COUNTIFS('2026 Time Off Request'!$A:$A,'Nov 2026'!$D19,'2026 Time Off Request'!$L:$L,'Nov 2026'!M$6)</f>
        <v>0</v>
      </c>
      <c r="N19" s="148">
        <f>COUNTIFS('2026 Time Off Request'!$A:$A,'Nov 2026'!$D19,'2026 Time Off Request'!$L:$L,'Nov 2026'!N$6)</f>
        <v>0</v>
      </c>
      <c r="O19" s="148">
        <f>COUNTIFS('2026 Time Off Request'!$A:$A,'Nov 2026'!$D19,'2026 Time Off Request'!$L:$L,'Nov 2026'!O$6)</f>
        <v>0</v>
      </c>
      <c r="P19" s="148">
        <f>COUNTIFS('2026 Time Off Request'!$A:$A,'Nov 2026'!$D19,'2026 Time Off Request'!$L:$L,'Nov 2026'!P$6)</f>
        <v>0</v>
      </c>
      <c r="Q19" s="148">
        <f>COUNTIFS('2026 Time Off Request'!$A:$A,'Nov 2026'!$D19,'2026 Time Off Request'!$L:$L,'Nov 2026'!Q$6)</f>
        <v>0</v>
      </c>
      <c r="R19" s="148">
        <f>COUNTIFS('2026 Time Off Request'!$A:$A,'Nov 2026'!$D19,'2026 Time Off Request'!$L:$L,'Nov 2026'!R$6)</f>
        <v>0</v>
      </c>
      <c r="S19" s="147">
        <f>COUNTIFS('2026 Time Off Request'!$A:$A,'Nov 2026'!$D19,'2026 Time Off Request'!$L:$L,'Nov 2026'!S$6)</f>
        <v>0</v>
      </c>
      <c r="T19" s="147">
        <f>COUNTIFS('2026 Time Off Request'!$A:$A,'Nov 2026'!$D19,'2026 Time Off Request'!$L:$L,'Nov 2026'!T$6)</f>
        <v>0</v>
      </c>
      <c r="U19" s="148">
        <f>COUNTIFS('2026 Time Off Request'!$A:$A,'Nov 2026'!$D19,'2026 Time Off Request'!$L:$L,'Nov 2026'!U$6)</f>
        <v>0</v>
      </c>
      <c r="V19" s="148">
        <f>COUNTIFS('2026 Time Off Request'!$A:$A,'Nov 2026'!$D19,'2026 Time Off Request'!$L:$L,'Nov 2026'!V$6)</f>
        <v>0</v>
      </c>
      <c r="W19" s="148">
        <f>COUNTIFS('2026 Time Off Request'!$A:$A,'Nov 2026'!$D19,'2026 Time Off Request'!$L:$L,'Nov 2026'!W$6)</f>
        <v>0</v>
      </c>
      <c r="X19" s="148">
        <f>COUNTIFS('2026 Time Off Request'!$A:$A,'Nov 2026'!$D19,'2026 Time Off Request'!$L:$L,'Nov 2026'!X$6)</f>
        <v>0</v>
      </c>
      <c r="Y19" s="148">
        <f>COUNTIFS('2026 Time Off Request'!$A:$A,'Nov 2026'!$D19,'2026 Time Off Request'!$L:$L,'Nov 2026'!Y$6)</f>
        <v>0</v>
      </c>
      <c r="Z19" s="147">
        <f>COUNTIFS('2026 Time Off Request'!$A:$A,'Nov 2026'!$D19,'2026 Time Off Request'!$L:$L,'Nov 2026'!Z$6)</f>
        <v>0</v>
      </c>
      <c r="AA19" s="147">
        <f>COUNTIFS('2026 Time Off Request'!$A:$A,'Nov 2026'!$D19,'2026 Time Off Request'!$L:$L,'Nov 2026'!AA$6)</f>
        <v>0</v>
      </c>
      <c r="AB19" s="148">
        <f>COUNTIFS('2026 Time Off Request'!$A:$A,'Nov 2026'!$D19,'2026 Time Off Request'!$L:$L,'Nov 2026'!AB$6)</f>
        <v>0</v>
      </c>
      <c r="AC19" s="148">
        <f>COUNTIFS('2026 Time Off Request'!$A:$A,'Nov 2026'!$D19,'2026 Time Off Request'!$L:$L,'Nov 2026'!AC$6)</f>
        <v>0</v>
      </c>
      <c r="AD19" s="148">
        <f>COUNTIFS('2026 Time Off Request'!$A:$A,'Nov 2026'!$D19,'2026 Time Off Request'!$L:$L,'Nov 2026'!AD$6)</f>
        <v>0</v>
      </c>
      <c r="AE19" s="148">
        <f>COUNTIFS('2026 Time Off Request'!$A:$A,'Nov 2026'!$D19,'2026 Time Off Request'!$L:$L,'Nov 2026'!AE$6)</f>
        <v>0</v>
      </c>
      <c r="AF19" s="148">
        <f>COUNTIFS('2026 Time Off Request'!$A:$A,'Nov 2026'!$D19,'2026 Time Off Request'!$L:$L,'Nov 2026'!AF$6)</f>
        <v>0</v>
      </c>
      <c r="AG19" s="147">
        <f>COUNTIFS('2026 Time Off Request'!$A:$A,'Nov 2026'!$D19,'2026 Time Off Request'!$L:$L,'Nov 2026'!AG$6)</f>
        <v>0</v>
      </c>
      <c r="AH19" s="147">
        <f>COUNTIFS('2026 Time Off Request'!$A:$A,'Nov 2026'!$D19,'2026 Time Off Request'!$L:$L,'Nov 2026'!AH$6)</f>
        <v>0</v>
      </c>
      <c r="AI19" s="148">
        <f>COUNTIFS('2026 Time Off Request'!$A:$A,'Nov 2026'!$D19,'2026 Time Off Request'!$L:$L,'Nov 2026'!AI$6)</f>
        <v>0</v>
      </c>
    </row>
    <row r="20" spans="1:35" ht="15.75">
      <c r="A20" s="2">
        <v>14</v>
      </c>
      <c r="B20" s="209" t="s">
        <v>45</v>
      </c>
      <c r="C20" s="210" t="s">
        <v>37</v>
      </c>
      <c r="D20" s="215" t="s">
        <v>46</v>
      </c>
      <c r="E20" s="212">
        <f t="shared" si="2"/>
        <v>0</v>
      </c>
      <c r="F20" s="213">
        <f>COUNTIFS('2026 Time Off Request'!$A:$A,'Nov 2026'!$D20,'2026 Time Off Request'!$L:$L,'Nov 2026'!F$6)</f>
        <v>0</v>
      </c>
      <c r="G20" s="148">
        <f>COUNTIFS('2026 Time Off Request'!$A:$A,'Nov 2026'!$D20,'2026 Time Off Request'!$L:$L,'Nov 2026'!G$6)</f>
        <v>0</v>
      </c>
      <c r="H20" s="148">
        <f>COUNTIFS('2026 Time Off Request'!$A:$A,'Nov 2026'!$D20,'2026 Time Off Request'!$L:$L,'Nov 2026'!H$6)</f>
        <v>0</v>
      </c>
      <c r="I20" s="148">
        <f>COUNTIFS('2026 Time Off Request'!$A:$A,'Nov 2026'!$D20,'2026 Time Off Request'!$L:$L,'Nov 2026'!I$6)</f>
        <v>0</v>
      </c>
      <c r="J20" s="148">
        <f>COUNTIFS('2026 Time Off Request'!$A:$A,'Nov 2026'!$D20,'2026 Time Off Request'!$L:$L,'Nov 2026'!J$6)</f>
        <v>0</v>
      </c>
      <c r="K20" s="148">
        <f>COUNTIFS('2026 Time Off Request'!$A:$A,'Nov 2026'!$D20,'2026 Time Off Request'!$L:$L,'Nov 2026'!K$6)</f>
        <v>0</v>
      </c>
      <c r="L20" s="147">
        <f>COUNTIFS('2026 Time Off Request'!$A:$A,'Nov 2026'!$D20,'2026 Time Off Request'!$L:$L,'Nov 2026'!L$6)</f>
        <v>0</v>
      </c>
      <c r="M20" s="147">
        <f>COUNTIFS('2026 Time Off Request'!$A:$A,'Nov 2026'!$D20,'2026 Time Off Request'!$L:$L,'Nov 2026'!M$6)</f>
        <v>0</v>
      </c>
      <c r="N20" s="148">
        <f>COUNTIFS('2026 Time Off Request'!$A:$A,'Nov 2026'!$D20,'2026 Time Off Request'!$L:$L,'Nov 2026'!N$6)</f>
        <v>0</v>
      </c>
      <c r="O20" s="148">
        <f>COUNTIFS('2026 Time Off Request'!$A:$A,'Nov 2026'!$D20,'2026 Time Off Request'!$L:$L,'Nov 2026'!O$6)</f>
        <v>0</v>
      </c>
      <c r="P20" s="148">
        <f>COUNTIFS('2026 Time Off Request'!$A:$A,'Nov 2026'!$D20,'2026 Time Off Request'!$L:$L,'Nov 2026'!P$6)</f>
        <v>0</v>
      </c>
      <c r="Q20" s="148">
        <f>COUNTIFS('2026 Time Off Request'!$A:$A,'Nov 2026'!$D20,'2026 Time Off Request'!$L:$L,'Nov 2026'!Q$6)</f>
        <v>0</v>
      </c>
      <c r="R20" s="148">
        <f>COUNTIFS('2026 Time Off Request'!$A:$A,'Nov 2026'!$D20,'2026 Time Off Request'!$L:$L,'Nov 2026'!R$6)</f>
        <v>0</v>
      </c>
      <c r="S20" s="147">
        <f>COUNTIFS('2026 Time Off Request'!$A:$A,'Nov 2026'!$D20,'2026 Time Off Request'!$L:$L,'Nov 2026'!S$6)</f>
        <v>0</v>
      </c>
      <c r="T20" s="147">
        <f>COUNTIFS('2026 Time Off Request'!$A:$A,'Nov 2026'!$D20,'2026 Time Off Request'!$L:$L,'Nov 2026'!T$6)</f>
        <v>0</v>
      </c>
      <c r="U20" s="148">
        <f>COUNTIFS('2026 Time Off Request'!$A:$A,'Nov 2026'!$D20,'2026 Time Off Request'!$L:$L,'Nov 2026'!U$6)</f>
        <v>0</v>
      </c>
      <c r="V20" s="148">
        <f>COUNTIFS('2026 Time Off Request'!$A:$A,'Nov 2026'!$D20,'2026 Time Off Request'!$L:$L,'Nov 2026'!V$6)</f>
        <v>0</v>
      </c>
      <c r="W20" s="148">
        <f>COUNTIFS('2026 Time Off Request'!$A:$A,'Nov 2026'!$D20,'2026 Time Off Request'!$L:$L,'Nov 2026'!W$6)</f>
        <v>0</v>
      </c>
      <c r="X20" s="148">
        <f>COUNTIFS('2026 Time Off Request'!$A:$A,'Nov 2026'!$D20,'2026 Time Off Request'!$L:$L,'Nov 2026'!X$6)</f>
        <v>0</v>
      </c>
      <c r="Y20" s="148">
        <f>COUNTIFS('2026 Time Off Request'!$A:$A,'Nov 2026'!$D20,'2026 Time Off Request'!$L:$L,'Nov 2026'!Y$6)</f>
        <v>0</v>
      </c>
      <c r="Z20" s="147">
        <f>COUNTIFS('2026 Time Off Request'!$A:$A,'Nov 2026'!$D20,'2026 Time Off Request'!$L:$L,'Nov 2026'!Z$6)</f>
        <v>0</v>
      </c>
      <c r="AA20" s="147">
        <f>COUNTIFS('2026 Time Off Request'!$A:$A,'Nov 2026'!$D20,'2026 Time Off Request'!$L:$L,'Nov 2026'!AA$6)</f>
        <v>0</v>
      </c>
      <c r="AB20" s="148">
        <f>COUNTIFS('2026 Time Off Request'!$A:$A,'Nov 2026'!$D20,'2026 Time Off Request'!$L:$L,'Nov 2026'!AB$6)</f>
        <v>0</v>
      </c>
      <c r="AC20" s="148">
        <f>COUNTIFS('2026 Time Off Request'!$A:$A,'Nov 2026'!$D20,'2026 Time Off Request'!$L:$L,'Nov 2026'!AC$6)</f>
        <v>0</v>
      </c>
      <c r="AD20" s="148">
        <f>COUNTIFS('2026 Time Off Request'!$A:$A,'Nov 2026'!$D20,'2026 Time Off Request'!$L:$L,'Nov 2026'!AD$6)</f>
        <v>0</v>
      </c>
      <c r="AE20" s="148">
        <f>COUNTIFS('2026 Time Off Request'!$A:$A,'Nov 2026'!$D20,'2026 Time Off Request'!$L:$L,'Nov 2026'!AE$6)</f>
        <v>0</v>
      </c>
      <c r="AF20" s="148">
        <f>COUNTIFS('2026 Time Off Request'!$A:$A,'Nov 2026'!$D20,'2026 Time Off Request'!$L:$L,'Nov 2026'!AF$6)</f>
        <v>0</v>
      </c>
      <c r="AG20" s="147">
        <f>COUNTIFS('2026 Time Off Request'!$A:$A,'Nov 2026'!$D20,'2026 Time Off Request'!$L:$L,'Nov 2026'!AG$6)</f>
        <v>0</v>
      </c>
      <c r="AH20" s="147">
        <f>COUNTIFS('2026 Time Off Request'!$A:$A,'Nov 2026'!$D20,'2026 Time Off Request'!$L:$L,'Nov 2026'!AH$6)</f>
        <v>0</v>
      </c>
      <c r="AI20" s="148">
        <f>COUNTIFS('2026 Time Off Request'!$A:$A,'Nov 2026'!$D20,'2026 Time Off Request'!$L:$L,'Nov 2026'!AI$6)</f>
        <v>0</v>
      </c>
    </row>
    <row r="21" spans="1:35" ht="15.75">
      <c r="A21" s="2">
        <v>15</v>
      </c>
      <c r="B21" s="209" t="s">
        <v>45</v>
      </c>
      <c r="C21" s="210" t="s">
        <v>47</v>
      </c>
      <c r="D21" s="215" t="s">
        <v>48</v>
      </c>
      <c r="E21" s="212">
        <f t="shared" si="2"/>
        <v>0</v>
      </c>
      <c r="F21" s="213">
        <f>COUNTIFS('2026 Time Off Request'!$A:$A,'Nov 2026'!$D21,'2026 Time Off Request'!$L:$L,'Nov 2026'!F$6)</f>
        <v>0</v>
      </c>
      <c r="G21" s="148">
        <f>COUNTIFS('2026 Time Off Request'!$A:$A,'Nov 2026'!$D21,'2026 Time Off Request'!$L:$L,'Nov 2026'!G$6)</f>
        <v>0</v>
      </c>
      <c r="H21" s="148">
        <f>COUNTIFS('2026 Time Off Request'!$A:$A,'Nov 2026'!$D21,'2026 Time Off Request'!$L:$L,'Nov 2026'!H$6)</f>
        <v>0</v>
      </c>
      <c r="I21" s="148">
        <f>COUNTIFS('2026 Time Off Request'!$A:$A,'Nov 2026'!$D21,'2026 Time Off Request'!$L:$L,'Nov 2026'!I$6)</f>
        <v>0</v>
      </c>
      <c r="J21" s="148">
        <f>COUNTIFS('2026 Time Off Request'!$A:$A,'Nov 2026'!$D21,'2026 Time Off Request'!$L:$L,'Nov 2026'!J$6)</f>
        <v>0</v>
      </c>
      <c r="K21" s="148">
        <f>COUNTIFS('2026 Time Off Request'!$A:$A,'Nov 2026'!$D21,'2026 Time Off Request'!$L:$L,'Nov 2026'!K$6)</f>
        <v>0</v>
      </c>
      <c r="L21" s="147">
        <f>COUNTIFS('2026 Time Off Request'!$A:$A,'Nov 2026'!$D21,'2026 Time Off Request'!$L:$L,'Nov 2026'!L$6)</f>
        <v>0</v>
      </c>
      <c r="M21" s="147">
        <f>COUNTIFS('2026 Time Off Request'!$A:$A,'Nov 2026'!$D21,'2026 Time Off Request'!$L:$L,'Nov 2026'!M$6)</f>
        <v>0</v>
      </c>
      <c r="N21" s="148">
        <f>COUNTIFS('2026 Time Off Request'!$A:$A,'Nov 2026'!$D21,'2026 Time Off Request'!$L:$L,'Nov 2026'!N$6)</f>
        <v>0</v>
      </c>
      <c r="O21" s="148">
        <f>COUNTIFS('2026 Time Off Request'!$A:$A,'Nov 2026'!$D21,'2026 Time Off Request'!$L:$L,'Nov 2026'!O$6)</f>
        <v>0</v>
      </c>
      <c r="P21" s="148">
        <f>COUNTIFS('2026 Time Off Request'!$A:$A,'Nov 2026'!$D21,'2026 Time Off Request'!$L:$L,'Nov 2026'!P$6)</f>
        <v>0</v>
      </c>
      <c r="Q21" s="148">
        <f>COUNTIFS('2026 Time Off Request'!$A:$A,'Nov 2026'!$D21,'2026 Time Off Request'!$L:$L,'Nov 2026'!Q$6)</f>
        <v>0</v>
      </c>
      <c r="R21" s="148">
        <f>COUNTIFS('2026 Time Off Request'!$A:$A,'Nov 2026'!$D21,'2026 Time Off Request'!$L:$L,'Nov 2026'!R$6)</f>
        <v>0</v>
      </c>
      <c r="S21" s="147">
        <f>COUNTIFS('2026 Time Off Request'!$A:$A,'Nov 2026'!$D21,'2026 Time Off Request'!$L:$L,'Nov 2026'!S$6)</f>
        <v>0</v>
      </c>
      <c r="T21" s="147">
        <f>COUNTIFS('2026 Time Off Request'!$A:$A,'Nov 2026'!$D21,'2026 Time Off Request'!$L:$L,'Nov 2026'!T$6)</f>
        <v>0</v>
      </c>
      <c r="U21" s="148">
        <f>COUNTIFS('2026 Time Off Request'!$A:$A,'Nov 2026'!$D21,'2026 Time Off Request'!$L:$L,'Nov 2026'!U$6)</f>
        <v>0</v>
      </c>
      <c r="V21" s="148">
        <f>COUNTIFS('2026 Time Off Request'!$A:$A,'Nov 2026'!$D21,'2026 Time Off Request'!$L:$L,'Nov 2026'!V$6)</f>
        <v>0</v>
      </c>
      <c r="W21" s="148">
        <f>COUNTIFS('2026 Time Off Request'!$A:$A,'Nov 2026'!$D21,'2026 Time Off Request'!$L:$L,'Nov 2026'!W$6)</f>
        <v>0</v>
      </c>
      <c r="X21" s="148">
        <f>COUNTIFS('2026 Time Off Request'!$A:$A,'Nov 2026'!$D21,'2026 Time Off Request'!$L:$L,'Nov 2026'!X$6)</f>
        <v>0</v>
      </c>
      <c r="Y21" s="148">
        <f>COUNTIFS('2026 Time Off Request'!$A:$A,'Nov 2026'!$D21,'2026 Time Off Request'!$L:$L,'Nov 2026'!Y$6)</f>
        <v>0</v>
      </c>
      <c r="Z21" s="147">
        <f>COUNTIFS('2026 Time Off Request'!$A:$A,'Nov 2026'!$D21,'2026 Time Off Request'!$L:$L,'Nov 2026'!Z$6)</f>
        <v>0</v>
      </c>
      <c r="AA21" s="147">
        <f>COUNTIFS('2026 Time Off Request'!$A:$A,'Nov 2026'!$D21,'2026 Time Off Request'!$L:$L,'Nov 2026'!AA$6)</f>
        <v>0</v>
      </c>
      <c r="AB21" s="148">
        <f>COUNTIFS('2026 Time Off Request'!$A:$A,'Nov 2026'!$D21,'2026 Time Off Request'!$L:$L,'Nov 2026'!AB$6)</f>
        <v>0</v>
      </c>
      <c r="AC21" s="148">
        <f>COUNTIFS('2026 Time Off Request'!$A:$A,'Nov 2026'!$D21,'2026 Time Off Request'!$L:$L,'Nov 2026'!AC$6)</f>
        <v>0</v>
      </c>
      <c r="AD21" s="148">
        <f>COUNTIFS('2026 Time Off Request'!$A:$A,'Nov 2026'!$D21,'2026 Time Off Request'!$L:$L,'Nov 2026'!AD$6)</f>
        <v>0</v>
      </c>
      <c r="AE21" s="148">
        <f>COUNTIFS('2026 Time Off Request'!$A:$A,'Nov 2026'!$D21,'2026 Time Off Request'!$L:$L,'Nov 2026'!AE$6)</f>
        <v>0</v>
      </c>
      <c r="AF21" s="148">
        <f>COUNTIFS('2026 Time Off Request'!$A:$A,'Nov 2026'!$D21,'2026 Time Off Request'!$L:$L,'Nov 2026'!AF$6)</f>
        <v>0</v>
      </c>
      <c r="AG21" s="147">
        <f>COUNTIFS('2026 Time Off Request'!$A:$A,'Nov 2026'!$D21,'2026 Time Off Request'!$L:$L,'Nov 2026'!AG$6)</f>
        <v>0</v>
      </c>
      <c r="AH21" s="147">
        <f>COUNTIFS('2026 Time Off Request'!$A:$A,'Nov 2026'!$D21,'2026 Time Off Request'!$L:$L,'Nov 2026'!AH$6)</f>
        <v>0</v>
      </c>
      <c r="AI21" s="148">
        <f>COUNTIFS('2026 Time Off Request'!$A:$A,'Nov 2026'!$D21,'2026 Time Off Request'!$L:$L,'Nov 2026'!AI$6)</f>
        <v>0</v>
      </c>
    </row>
    <row r="22" spans="1:35" ht="15.75">
      <c r="A22" s="2">
        <v>16</v>
      </c>
      <c r="B22" s="209" t="s">
        <v>49</v>
      </c>
      <c r="C22" s="210" t="s">
        <v>50</v>
      </c>
      <c r="D22" s="215" t="s">
        <v>51</v>
      </c>
      <c r="E22" s="212">
        <f t="shared" si="2"/>
        <v>0</v>
      </c>
      <c r="F22" s="213">
        <f>COUNTIFS('2026 Time Off Request'!$A:$A,'Nov 2026'!$D22,'2026 Time Off Request'!$L:$L,'Nov 2026'!F$6)</f>
        <v>0</v>
      </c>
      <c r="G22" s="148">
        <f>COUNTIFS('2026 Time Off Request'!$A:$A,'Nov 2026'!$D22,'2026 Time Off Request'!$L:$L,'Nov 2026'!G$6)</f>
        <v>0</v>
      </c>
      <c r="H22" s="148">
        <f>COUNTIFS('2026 Time Off Request'!$A:$A,'Nov 2026'!$D22,'2026 Time Off Request'!$L:$L,'Nov 2026'!H$6)</f>
        <v>0</v>
      </c>
      <c r="I22" s="148">
        <f>COUNTIFS('2026 Time Off Request'!$A:$A,'Nov 2026'!$D22,'2026 Time Off Request'!$L:$L,'Nov 2026'!I$6)</f>
        <v>0</v>
      </c>
      <c r="J22" s="148">
        <f>COUNTIFS('2026 Time Off Request'!$A:$A,'Nov 2026'!$D22,'2026 Time Off Request'!$L:$L,'Nov 2026'!J$6)</f>
        <v>0</v>
      </c>
      <c r="K22" s="148">
        <f>COUNTIFS('2026 Time Off Request'!$A:$A,'Nov 2026'!$D22,'2026 Time Off Request'!$L:$L,'Nov 2026'!K$6)</f>
        <v>0</v>
      </c>
      <c r="L22" s="147">
        <f>COUNTIFS('2026 Time Off Request'!$A:$A,'Nov 2026'!$D22,'2026 Time Off Request'!$L:$L,'Nov 2026'!L$6)</f>
        <v>0</v>
      </c>
      <c r="M22" s="147">
        <f>COUNTIFS('2026 Time Off Request'!$A:$A,'Nov 2026'!$D22,'2026 Time Off Request'!$L:$L,'Nov 2026'!M$6)</f>
        <v>0</v>
      </c>
      <c r="N22" s="148">
        <f>COUNTIFS('2026 Time Off Request'!$A:$A,'Nov 2026'!$D22,'2026 Time Off Request'!$L:$L,'Nov 2026'!N$6)</f>
        <v>0</v>
      </c>
      <c r="O22" s="148">
        <f>COUNTIFS('2026 Time Off Request'!$A:$A,'Nov 2026'!$D22,'2026 Time Off Request'!$L:$L,'Nov 2026'!O$6)</f>
        <v>0</v>
      </c>
      <c r="P22" s="148">
        <f>COUNTIFS('2026 Time Off Request'!$A:$A,'Nov 2026'!$D22,'2026 Time Off Request'!$L:$L,'Nov 2026'!P$6)</f>
        <v>0</v>
      </c>
      <c r="Q22" s="148">
        <f>COUNTIFS('2026 Time Off Request'!$A:$A,'Nov 2026'!$D22,'2026 Time Off Request'!$L:$L,'Nov 2026'!Q$6)</f>
        <v>0</v>
      </c>
      <c r="R22" s="148">
        <f>COUNTIFS('2026 Time Off Request'!$A:$A,'Nov 2026'!$D22,'2026 Time Off Request'!$L:$L,'Nov 2026'!R$6)</f>
        <v>0</v>
      </c>
      <c r="S22" s="147">
        <f>COUNTIFS('2026 Time Off Request'!$A:$A,'Nov 2026'!$D22,'2026 Time Off Request'!$L:$L,'Nov 2026'!S$6)</f>
        <v>0</v>
      </c>
      <c r="T22" s="147">
        <f>COUNTIFS('2026 Time Off Request'!$A:$A,'Nov 2026'!$D22,'2026 Time Off Request'!$L:$L,'Nov 2026'!T$6)</f>
        <v>0</v>
      </c>
      <c r="U22" s="148">
        <f>COUNTIFS('2026 Time Off Request'!$A:$A,'Nov 2026'!$D22,'2026 Time Off Request'!$L:$L,'Nov 2026'!U$6)</f>
        <v>0</v>
      </c>
      <c r="V22" s="148">
        <f>COUNTIFS('2026 Time Off Request'!$A:$A,'Nov 2026'!$D22,'2026 Time Off Request'!$L:$L,'Nov 2026'!V$6)</f>
        <v>0</v>
      </c>
      <c r="W22" s="148">
        <f>COUNTIFS('2026 Time Off Request'!$A:$A,'Nov 2026'!$D22,'2026 Time Off Request'!$L:$L,'Nov 2026'!W$6)</f>
        <v>0</v>
      </c>
      <c r="X22" s="148">
        <f>COUNTIFS('2026 Time Off Request'!$A:$A,'Nov 2026'!$D22,'2026 Time Off Request'!$L:$L,'Nov 2026'!X$6)</f>
        <v>0</v>
      </c>
      <c r="Y22" s="148">
        <f>COUNTIFS('2026 Time Off Request'!$A:$A,'Nov 2026'!$D22,'2026 Time Off Request'!$L:$L,'Nov 2026'!Y$6)</f>
        <v>0</v>
      </c>
      <c r="Z22" s="147">
        <f>COUNTIFS('2026 Time Off Request'!$A:$A,'Nov 2026'!$D22,'2026 Time Off Request'!$L:$L,'Nov 2026'!Z$6)</f>
        <v>0</v>
      </c>
      <c r="AA22" s="147">
        <f>COUNTIFS('2026 Time Off Request'!$A:$A,'Nov 2026'!$D22,'2026 Time Off Request'!$L:$L,'Nov 2026'!AA$6)</f>
        <v>0</v>
      </c>
      <c r="AB22" s="148">
        <f>COUNTIFS('2026 Time Off Request'!$A:$A,'Nov 2026'!$D22,'2026 Time Off Request'!$L:$L,'Nov 2026'!AB$6)</f>
        <v>0</v>
      </c>
      <c r="AC22" s="148">
        <f>COUNTIFS('2026 Time Off Request'!$A:$A,'Nov 2026'!$D22,'2026 Time Off Request'!$L:$L,'Nov 2026'!AC$6)</f>
        <v>0</v>
      </c>
      <c r="AD22" s="148">
        <f>COUNTIFS('2026 Time Off Request'!$A:$A,'Nov 2026'!$D22,'2026 Time Off Request'!$L:$L,'Nov 2026'!AD$6)</f>
        <v>0</v>
      </c>
      <c r="AE22" s="148">
        <f>COUNTIFS('2026 Time Off Request'!$A:$A,'Nov 2026'!$D22,'2026 Time Off Request'!$L:$L,'Nov 2026'!AE$6)</f>
        <v>0</v>
      </c>
      <c r="AF22" s="148">
        <f>COUNTIFS('2026 Time Off Request'!$A:$A,'Nov 2026'!$D22,'2026 Time Off Request'!$L:$L,'Nov 2026'!AF$6)</f>
        <v>0</v>
      </c>
      <c r="AG22" s="147">
        <f>COUNTIFS('2026 Time Off Request'!$A:$A,'Nov 2026'!$D22,'2026 Time Off Request'!$L:$L,'Nov 2026'!AG$6)</f>
        <v>0</v>
      </c>
      <c r="AH22" s="147">
        <f>COUNTIFS('2026 Time Off Request'!$A:$A,'Nov 2026'!$D22,'2026 Time Off Request'!$L:$L,'Nov 2026'!AH$6)</f>
        <v>0</v>
      </c>
      <c r="AI22" s="148">
        <f>COUNTIFS('2026 Time Off Request'!$A:$A,'Nov 2026'!$D22,'2026 Time Off Request'!$L:$L,'Nov 2026'!AI$6)</f>
        <v>0</v>
      </c>
    </row>
    <row r="23" spans="1:35" ht="15.75">
      <c r="A23" s="2">
        <v>17</v>
      </c>
      <c r="B23" s="209" t="s">
        <v>45</v>
      </c>
      <c r="C23" s="210" t="s">
        <v>52</v>
      </c>
      <c r="D23" s="215" t="s">
        <v>53</v>
      </c>
      <c r="E23" s="212">
        <f t="shared" si="2"/>
        <v>0</v>
      </c>
      <c r="F23" s="213">
        <f>COUNTIFS('2026 Time Off Request'!$A:$A,'Nov 2026'!$D23,'2026 Time Off Request'!$L:$L,'Nov 2026'!F$6)</f>
        <v>0</v>
      </c>
      <c r="G23" s="148">
        <f>COUNTIFS('2026 Time Off Request'!$A:$A,'Nov 2026'!$D23,'2026 Time Off Request'!$L:$L,'Nov 2026'!G$6)</f>
        <v>0</v>
      </c>
      <c r="H23" s="148">
        <f>COUNTIFS('2026 Time Off Request'!$A:$A,'Nov 2026'!$D23,'2026 Time Off Request'!$L:$L,'Nov 2026'!H$6)</f>
        <v>0</v>
      </c>
      <c r="I23" s="148">
        <f>COUNTIFS('2026 Time Off Request'!$A:$A,'Nov 2026'!$D23,'2026 Time Off Request'!$L:$L,'Nov 2026'!I$6)</f>
        <v>0</v>
      </c>
      <c r="J23" s="148">
        <f>COUNTIFS('2026 Time Off Request'!$A:$A,'Nov 2026'!$D23,'2026 Time Off Request'!$L:$L,'Nov 2026'!J$6)</f>
        <v>0</v>
      </c>
      <c r="K23" s="148">
        <f>COUNTIFS('2026 Time Off Request'!$A:$A,'Nov 2026'!$D23,'2026 Time Off Request'!$L:$L,'Nov 2026'!K$6)</f>
        <v>0</v>
      </c>
      <c r="L23" s="147">
        <f>COUNTIFS('2026 Time Off Request'!$A:$A,'Nov 2026'!$D23,'2026 Time Off Request'!$L:$L,'Nov 2026'!L$6)</f>
        <v>0</v>
      </c>
      <c r="M23" s="147">
        <f>COUNTIFS('2026 Time Off Request'!$A:$A,'Nov 2026'!$D23,'2026 Time Off Request'!$L:$L,'Nov 2026'!M$6)</f>
        <v>0</v>
      </c>
      <c r="N23" s="148">
        <f>COUNTIFS('2026 Time Off Request'!$A:$A,'Nov 2026'!$D23,'2026 Time Off Request'!$L:$L,'Nov 2026'!N$6)</f>
        <v>0</v>
      </c>
      <c r="O23" s="148">
        <f>COUNTIFS('2026 Time Off Request'!$A:$A,'Nov 2026'!$D23,'2026 Time Off Request'!$L:$L,'Nov 2026'!O$6)</f>
        <v>0</v>
      </c>
      <c r="P23" s="148">
        <f>COUNTIFS('2026 Time Off Request'!$A:$A,'Nov 2026'!$D23,'2026 Time Off Request'!$L:$L,'Nov 2026'!P$6)</f>
        <v>0</v>
      </c>
      <c r="Q23" s="148">
        <f>COUNTIFS('2026 Time Off Request'!$A:$A,'Nov 2026'!$D23,'2026 Time Off Request'!$L:$L,'Nov 2026'!Q$6)</f>
        <v>0</v>
      </c>
      <c r="R23" s="148">
        <f>COUNTIFS('2026 Time Off Request'!$A:$A,'Nov 2026'!$D23,'2026 Time Off Request'!$L:$L,'Nov 2026'!R$6)</f>
        <v>0</v>
      </c>
      <c r="S23" s="147">
        <f>COUNTIFS('2026 Time Off Request'!$A:$A,'Nov 2026'!$D23,'2026 Time Off Request'!$L:$L,'Nov 2026'!S$6)</f>
        <v>0</v>
      </c>
      <c r="T23" s="147">
        <f>COUNTIFS('2026 Time Off Request'!$A:$A,'Nov 2026'!$D23,'2026 Time Off Request'!$L:$L,'Nov 2026'!T$6)</f>
        <v>0</v>
      </c>
      <c r="U23" s="148">
        <f>COUNTIFS('2026 Time Off Request'!$A:$A,'Nov 2026'!$D23,'2026 Time Off Request'!$L:$L,'Nov 2026'!U$6)</f>
        <v>0</v>
      </c>
      <c r="V23" s="148">
        <f>COUNTIFS('2026 Time Off Request'!$A:$A,'Nov 2026'!$D23,'2026 Time Off Request'!$L:$L,'Nov 2026'!V$6)</f>
        <v>0</v>
      </c>
      <c r="W23" s="148">
        <f>COUNTIFS('2026 Time Off Request'!$A:$A,'Nov 2026'!$D23,'2026 Time Off Request'!$L:$L,'Nov 2026'!W$6)</f>
        <v>0</v>
      </c>
      <c r="X23" s="148">
        <f>COUNTIFS('2026 Time Off Request'!$A:$A,'Nov 2026'!$D23,'2026 Time Off Request'!$L:$L,'Nov 2026'!X$6)</f>
        <v>0</v>
      </c>
      <c r="Y23" s="148">
        <f>COUNTIFS('2026 Time Off Request'!$A:$A,'Nov 2026'!$D23,'2026 Time Off Request'!$L:$L,'Nov 2026'!Y$6)</f>
        <v>0</v>
      </c>
      <c r="Z23" s="147">
        <f>COUNTIFS('2026 Time Off Request'!$A:$A,'Nov 2026'!$D23,'2026 Time Off Request'!$L:$L,'Nov 2026'!Z$6)</f>
        <v>0</v>
      </c>
      <c r="AA23" s="147">
        <f>COUNTIFS('2026 Time Off Request'!$A:$A,'Nov 2026'!$D23,'2026 Time Off Request'!$L:$L,'Nov 2026'!AA$6)</f>
        <v>0</v>
      </c>
      <c r="AB23" s="148">
        <f>COUNTIFS('2026 Time Off Request'!$A:$A,'Nov 2026'!$D23,'2026 Time Off Request'!$L:$L,'Nov 2026'!AB$6)</f>
        <v>0</v>
      </c>
      <c r="AC23" s="148">
        <f>COUNTIFS('2026 Time Off Request'!$A:$A,'Nov 2026'!$D23,'2026 Time Off Request'!$L:$L,'Nov 2026'!AC$6)</f>
        <v>0</v>
      </c>
      <c r="AD23" s="148">
        <f>COUNTIFS('2026 Time Off Request'!$A:$A,'Nov 2026'!$D23,'2026 Time Off Request'!$L:$L,'Nov 2026'!AD$6)</f>
        <v>0</v>
      </c>
      <c r="AE23" s="148">
        <f>COUNTIFS('2026 Time Off Request'!$A:$A,'Nov 2026'!$D23,'2026 Time Off Request'!$L:$L,'Nov 2026'!AE$6)</f>
        <v>0</v>
      </c>
      <c r="AF23" s="148">
        <f>COUNTIFS('2026 Time Off Request'!$A:$A,'Nov 2026'!$D23,'2026 Time Off Request'!$L:$L,'Nov 2026'!AF$6)</f>
        <v>0</v>
      </c>
      <c r="AG23" s="147">
        <f>COUNTIFS('2026 Time Off Request'!$A:$A,'Nov 2026'!$D23,'2026 Time Off Request'!$L:$L,'Nov 2026'!AG$6)</f>
        <v>0</v>
      </c>
      <c r="AH23" s="147">
        <f>COUNTIFS('2026 Time Off Request'!$A:$A,'Nov 2026'!$D23,'2026 Time Off Request'!$L:$L,'Nov 2026'!AH$6)</f>
        <v>0</v>
      </c>
      <c r="AI23" s="148">
        <f>COUNTIFS('2026 Time Off Request'!$A:$A,'Nov 2026'!$D23,'2026 Time Off Request'!$L:$L,'Nov 2026'!AI$6)</f>
        <v>0</v>
      </c>
    </row>
    <row r="24" spans="1:35" ht="15.75">
      <c r="A24" s="2"/>
      <c r="B24" s="209" t="s">
        <v>45</v>
      </c>
      <c r="C24" s="210" t="s">
        <v>52</v>
      </c>
      <c r="D24" s="215" t="s">
        <v>54</v>
      </c>
      <c r="E24" s="212">
        <f t="shared" ref="E24:E29" si="3">SUM(F24:AI24)</f>
        <v>0</v>
      </c>
      <c r="F24" s="213">
        <f>COUNTIFS('2026 Time Off Request'!$A:$A,'Nov 2026'!$D24,'2026 Time Off Request'!$L:$L,'Nov 2026'!F$6)</f>
        <v>0</v>
      </c>
      <c r="G24" s="148">
        <f>COUNTIFS('2026 Time Off Request'!$A:$A,'Nov 2026'!$D24,'2026 Time Off Request'!$L:$L,'Nov 2026'!G$6)</f>
        <v>0</v>
      </c>
      <c r="H24" s="148">
        <f>COUNTIFS('2026 Time Off Request'!$A:$A,'Nov 2026'!$D24,'2026 Time Off Request'!$L:$L,'Nov 2026'!H$6)</f>
        <v>0</v>
      </c>
      <c r="I24" s="148">
        <f>COUNTIFS('2026 Time Off Request'!$A:$A,'Nov 2026'!$D24,'2026 Time Off Request'!$L:$L,'Nov 2026'!I$6)</f>
        <v>0</v>
      </c>
      <c r="J24" s="148">
        <f>COUNTIFS('2026 Time Off Request'!$A:$A,'Nov 2026'!$D24,'2026 Time Off Request'!$L:$L,'Nov 2026'!J$6)</f>
        <v>0</v>
      </c>
      <c r="K24" s="148">
        <f>COUNTIFS('2026 Time Off Request'!$A:$A,'Nov 2026'!$D24,'2026 Time Off Request'!$L:$L,'Nov 2026'!K$6)</f>
        <v>0</v>
      </c>
      <c r="L24" s="147">
        <f>COUNTIFS('2026 Time Off Request'!$A:$A,'Nov 2026'!$D24,'2026 Time Off Request'!$L:$L,'Nov 2026'!L$6)</f>
        <v>0</v>
      </c>
      <c r="M24" s="147">
        <f>COUNTIFS('2026 Time Off Request'!$A:$A,'Nov 2026'!$D24,'2026 Time Off Request'!$L:$L,'Nov 2026'!M$6)</f>
        <v>0</v>
      </c>
      <c r="N24" s="148">
        <f>COUNTIFS('2026 Time Off Request'!$A:$A,'Nov 2026'!$D24,'2026 Time Off Request'!$L:$L,'Nov 2026'!N$6)</f>
        <v>0</v>
      </c>
      <c r="O24" s="148">
        <f>COUNTIFS('2026 Time Off Request'!$A:$A,'Nov 2026'!$D24,'2026 Time Off Request'!$L:$L,'Nov 2026'!O$6)</f>
        <v>0</v>
      </c>
      <c r="P24" s="148">
        <f>COUNTIFS('2026 Time Off Request'!$A:$A,'Nov 2026'!$D24,'2026 Time Off Request'!$L:$L,'Nov 2026'!P$6)</f>
        <v>0</v>
      </c>
      <c r="Q24" s="148">
        <f>COUNTIFS('2026 Time Off Request'!$A:$A,'Nov 2026'!$D24,'2026 Time Off Request'!$L:$L,'Nov 2026'!Q$6)</f>
        <v>0</v>
      </c>
      <c r="R24" s="148">
        <f>COUNTIFS('2026 Time Off Request'!$A:$A,'Nov 2026'!$D24,'2026 Time Off Request'!$L:$L,'Nov 2026'!R$6)</f>
        <v>0</v>
      </c>
      <c r="S24" s="147">
        <f>COUNTIFS('2026 Time Off Request'!$A:$A,'Nov 2026'!$D24,'2026 Time Off Request'!$L:$L,'Nov 2026'!S$6)</f>
        <v>0</v>
      </c>
      <c r="T24" s="147">
        <f>COUNTIFS('2026 Time Off Request'!$A:$A,'Nov 2026'!$D24,'2026 Time Off Request'!$L:$L,'Nov 2026'!T$6)</f>
        <v>0</v>
      </c>
      <c r="U24" s="148">
        <f>COUNTIFS('2026 Time Off Request'!$A:$A,'Nov 2026'!$D24,'2026 Time Off Request'!$L:$L,'Nov 2026'!U$6)</f>
        <v>0</v>
      </c>
      <c r="V24" s="148">
        <f>COUNTIFS('2026 Time Off Request'!$A:$A,'Nov 2026'!$D24,'2026 Time Off Request'!$L:$L,'Nov 2026'!V$6)</f>
        <v>0</v>
      </c>
      <c r="W24" s="148">
        <f>COUNTIFS('2026 Time Off Request'!$A:$A,'Nov 2026'!$D24,'2026 Time Off Request'!$L:$L,'Nov 2026'!W$6)</f>
        <v>0</v>
      </c>
      <c r="X24" s="148">
        <f>COUNTIFS('2026 Time Off Request'!$A:$A,'Nov 2026'!$D24,'2026 Time Off Request'!$L:$L,'Nov 2026'!X$6)</f>
        <v>0</v>
      </c>
      <c r="Y24" s="148">
        <f>COUNTIFS('2026 Time Off Request'!$A:$A,'Nov 2026'!$D24,'2026 Time Off Request'!$L:$L,'Nov 2026'!Y$6)</f>
        <v>0</v>
      </c>
      <c r="Z24" s="147">
        <f>COUNTIFS('2026 Time Off Request'!$A:$A,'Nov 2026'!$D24,'2026 Time Off Request'!$L:$L,'Nov 2026'!Z$6)</f>
        <v>0</v>
      </c>
      <c r="AA24" s="147">
        <f>COUNTIFS('2026 Time Off Request'!$A:$A,'Nov 2026'!$D24,'2026 Time Off Request'!$L:$L,'Nov 2026'!AA$6)</f>
        <v>0</v>
      </c>
      <c r="AB24" s="148">
        <f>COUNTIFS('2026 Time Off Request'!$A:$A,'Nov 2026'!$D24,'2026 Time Off Request'!$L:$L,'Nov 2026'!AB$6)</f>
        <v>0</v>
      </c>
      <c r="AC24" s="148">
        <f>COUNTIFS('2026 Time Off Request'!$A:$A,'Nov 2026'!$D24,'2026 Time Off Request'!$L:$L,'Nov 2026'!AC$6)</f>
        <v>0</v>
      </c>
      <c r="AD24" s="148">
        <f>COUNTIFS('2026 Time Off Request'!$A:$A,'Nov 2026'!$D24,'2026 Time Off Request'!$L:$L,'Nov 2026'!AD$6)</f>
        <v>0</v>
      </c>
      <c r="AE24" s="148">
        <f>COUNTIFS('2026 Time Off Request'!$A:$A,'Nov 2026'!$D24,'2026 Time Off Request'!$L:$L,'Nov 2026'!AE$6)</f>
        <v>0</v>
      </c>
      <c r="AF24" s="148">
        <f>COUNTIFS('2026 Time Off Request'!$A:$A,'Nov 2026'!$D24,'2026 Time Off Request'!$L:$L,'Nov 2026'!AF$6)</f>
        <v>0</v>
      </c>
      <c r="AG24" s="147">
        <f>COUNTIFS('2026 Time Off Request'!$A:$A,'Nov 2026'!$D24,'2026 Time Off Request'!$L:$L,'Nov 2026'!AG$6)</f>
        <v>0</v>
      </c>
      <c r="AH24" s="147">
        <f>COUNTIFS('2026 Time Off Request'!$A:$A,'Nov 2026'!$D24,'2026 Time Off Request'!$L:$L,'Nov 2026'!AH$6)</f>
        <v>0</v>
      </c>
      <c r="AI24" s="148">
        <f>COUNTIFS('2026 Time Off Request'!$A:$A,'Nov 2026'!$D24,'2026 Time Off Request'!$L:$L,'Nov 2026'!AI$6)</f>
        <v>0</v>
      </c>
    </row>
    <row r="25" spans="1:35" ht="15.75">
      <c r="A25" s="2">
        <v>18</v>
      </c>
      <c r="B25" s="209" t="s">
        <v>45</v>
      </c>
      <c r="C25" s="210" t="s">
        <v>55</v>
      </c>
      <c r="D25" s="215" t="s">
        <v>56</v>
      </c>
      <c r="E25" s="212">
        <f t="shared" si="3"/>
        <v>0</v>
      </c>
      <c r="F25" s="213">
        <f>COUNTIFS('2026 Time Off Request'!$A:$A,'Nov 2026'!$D25,'2026 Time Off Request'!$L:$L,'Nov 2026'!F$6)</f>
        <v>0</v>
      </c>
      <c r="G25" s="148">
        <f>COUNTIFS('2026 Time Off Request'!$A:$A,'Nov 2026'!$D25,'2026 Time Off Request'!$L:$L,'Nov 2026'!G$6)</f>
        <v>0</v>
      </c>
      <c r="H25" s="148">
        <f>COUNTIFS('2026 Time Off Request'!$A:$A,'Nov 2026'!$D25,'2026 Time Off Request'!$L:$L,'Nov 2026'!H$6)</f>
        <v>0</v>
      </c>
      <c r="I25" s="148">
        <f>COUNTIFS('2026 Time Off Request'!$A:$A,'Nov 2026'!$D25,'2026 Time Off Request'!$L:$L,'Nov 2026'!I$6)</f>
        <v>0</v>
      </c>
      <c r="J25" s="148">
        <f>COUNTIFS('2026 Time Off Request'!$A:$A,'Nov 2026'!$D25,'2026 Time Off Request'!$L:$L,'Nov 2026'!J$6)</f>
        <v>0</v>
      </c>
      <c r="K25" s="148">
        <f>COUNTIFS('2026 Time Off Request'!$A:$A,'Nov 2026'!$D25,'2026 Time Off Request'!$L:$L,'Nov 2026'!K$6)</f>
        <v>0</v>
      </c>
      <c r="L25" s="147">
        <f>COUNTIFS('2026 Time Off Request'!$A:$A,'Nov 2026'!$D25,'2026 Time Off Request'!$L:$L,'Nov 2026'!L$6)</f>
        <v>0</v>
      </c>
      <c r="M25" s="147">
        <f>COUNTIFS('2026 Time Off Request'!$A:$A,'Nov 2026'!$D25,'2026 Time Off Request'!$L:$L,'Nov 2026'!M$6)</f>
        <v>0</v>
      </c>
      <c r="N25" s="148">
        <f>COUNTIFS('2026 Time Off Request'!$A:$A,'Nov 2026'!$D25,'2026 Time Off Request'!$L:$L,'Nov 2026'!N$6)</f>
        <v>0</v>
      </c>
      <c r="O25" s="148">
        <f>COUNTIFS('2026 Time Off Request'!$A:$A,'Nov 2026'!$D25,'2026 Time Off Request'!$L:$L,'Nov 2026'!O$6)</f>
        <v>0</v>
      </c>
      <c r="P25" s="148">
        <f>COUNTIFS('2026 Time Off Request'!$A:$A,'Nov 2026'!$D25,'2026 Time Off Request'!$L:$L,'Nov 2026'!P$6)</f>
        <v>0</v>
      </c>
      <c r="Q25" s="148">
        <f>COUNTIFS('2026 Time Off Request'!$A:$A,'Nov 2026'!$D25,'2026 Time Off Request'!$L:$L,'Nov 2026'!Q$6)</f>
        <v>0</v>
      </c>
      <c r="R25" s="148">
        <f>COUNTIFS('2026 Time Off Request'!$A:$A,'Nov 2026'!$D25,'2026 Time Off Request'!$L:$L,'Nov 2026'!R$6)</f>
        <v>0</v>
      </c>
      <c r="S25" s="147">
        <f>COUNTIFS('2026 Time Off Request'!$A:$A,'Nov 2026'!$D25,'2026 Time Off Request'!$L:$L,'Nov 2026'!S$6)</f>
        <v>0</v>
      </c>
      <c r="T25" s="147">
        <f>COUNTIFS('2026 Time Off Request'!$A:$A,'Nov 2026'!$D25,'2026 Time Off Request'!$L:$L,'Nov 2026'!T$6)</f>
        <v>0</v>
      </c>
      <c r="U25" s="148">
        <f>COUNTIFS('2026 Time Off Request'!$A:$A,'Nov 2026'!$D25,'2026 Time Off Request'!$L:$L,'Nov 2026'!U$6)</f>
        <v>0</v>
      </c>
      <c r="V25" s="148">
        <f>COUNTIFS('2026 Time Off Request'!$A:$A,'Nov 2026'!$D25,'2026 Time Off Request'!$L:$L,'Nov 2026'!V$6)</f>
        <v>0</v>
      </c>
      <c r="W25" s="148">
        <f>COUNTIFS('2026 Time Off Request'!$A:$A,'Nov 2026'!$D25,'2026 Time Off Request'!$L:$L,'Nov 2026'!W$6)</f>
        <v>0</v>
      </c>
      <c r="X25" s="148">
        <f>COUNTIFS('2026 Time Off Request'!$A:$A,'Nov 2026'!$D25,'2026 Time Off Request'!$L:$L,'Nov 2026'!X$6)</f>
        <v>0</v>
      </c>
      <c r="Y25" s="148">
        <f>COUNTIFS('2026 Time Off Request'!$A:$A,'Nov 2026'!$D25,'2026 Time Off Request'!$L:$L,'Nov 2026'!Y$6)</f>
        <v>0</v>
      </c>
      <c r="Z25" s="147">
        <f>COUNTIFS('2026 Time Off Request'!$A:$A,'Nov 2026'!$D25,'2026 Time Off Request'!$L:$L,'Nov 2026'!Z$6)</f>
        <v>0</v>
      </c>
      <c r="AA25" s="147">
        <f>COUNTIFS('2026 Time Off Request'!$A:$A,'Nov 2026'!$D25,'2026 Time Off Request'!$L:$L,'Nov 2026'!AA$6)</f>
        <v>0</v>
      </c>
      <c r="AB25" s="148">
        <f>COUNTIFS('2026 Time Off Request'!$A:$A,'Nov 2026'!$D25,'2026 Time Off Request'!$L:$L,'Nov 2026'!AB$6)</f>
        <v>0</v>
      </c>
      <c r="AC25" s="148">
        <f>COUNTIFS('2026 Time Off Request'!$A:$A,'Nov 2026'!$D25,'2026 Time Off Request'!$L:$L,'Nov 2026'!AC$6)</f>
        <v>0</v>
      </c>
      <c r="AD25" s="148">
        <f>COUNTIFS('2026 Time Off Request'!$A:$A,'Nov 2026'!$D25,'2026 Time Off Request'!$L:$L,'Nov 2026'!AD$6)</f>
        <v>0</v>
      </c>
      <c r="AE25" s="148">
        <f>COUNTIFS('2026 Time Off Request'!$A:$A,'Nov 2026'!$D25,'2026 Time Off Request'!$L:$L,'Nov 2026'!AE$6)</f>
        <v>0</v>
      </c>
      <c r="AF25" s="148">
        <f>COUNTIFS('2026 Time Off Request'!$A:$A,'Nov 2026'!$D25,'2026 Time Off Request'!$L:$L,'Nov 2026'!AF$6)</f>
        <v>0</v>
      </c>
      <c r="AG25" s="147">
        <f>COUNTIFS('2026 Time Off Request'!$A:$A,'Nov 2026'!$D25,'2026 Time Off Request'!$L:$L,'Nov 2026'!AG$6)</f>
        <v>0</v>
      </c>
      <c r="AH25" s="147">
        <f>COUNTIFS('2026 Time Off Request'!$A:$A,'Nov 2026'!$D25,'2026 Time Off Request'!$L:$L,'Nov 2026'!AH$6)</f>
        <v>0</v>
      </c>
      <c r="AI25" s="148">
        <f>COUNTIFS('2026 Time Off Request'!$A:$A,'Nov 2026'!$D25,'2026 Time Off Request'!$L:$L,'Nov 2026'!AI$6)</f>
        <v>0</v>
      </c>
    </row>
    <row r="26" spans="1:35" ht="15.75">
      <c r="A26" s="2"/>
      <c r="B26" s="209" t="s">
        <v>45</v>
      </c>
      <c r="C26" s="210" t="s">
        <v>55</v>
      </c>
      <c r="D26" s="215" t="s">
        <v>57</v>
      </c>
      <c r="E26" s="212">
        <f t="shared" si="3"/>
        <v>0</v>
      </c>
      <c r="F26" s="213">
        <f>COUNTIFS('2026 Time Off Request'!$A:$A,'Nov 2026'!$D26,'2026 Time Off Request'!$L:$L,'Nov 2026'!F$6)</f>
        <v>0</v>
      </c>
      <c r="G26" s="148">
        <f>COUNTIFS('2026 Time Off Request'!$A:$A,'Nov 2026'!$D26,'2026 Time Off Request'!$L:$L,'Nov 2026'!G$6)</f>
        <v>0</v>
      </c>
      <c r="H26" s="148">
        <f>COUNTIFS('2026 Time Off Request'!$A:$A,'Nov 2026'!$D26,'2026 Time Off Request'!$L:$L,'Nov 2026'!H$6)</f>
        <v>0</v>
      </c>
      <c r="I26" s="148">
        <f>COUNTIFS('2026 Time Off Request'!$A:$A,'Nov 2026'!$D26,'2026 Time Off Request'!$L:$L,'Nov 2026'!I$6)</f>
        <v>0</v>
      </c>
      <c r="J26" s="148">
        <f>COUNTIFS('2026 Time Off Request'!$A:$A,'Nov 2026'!$D26,'2026 Time Off Request'!$L:$L,'Nov 2026'!J$6)</f>
        <v>0</v>
      </c>
      <c r="K26" s="148">
        <f>COUNTIFS('2026 Time Off Request'!$A:$A,'Nov 2026'!$D26,'2026 Time Off Request'!$L:$L,'Nov 2026'!K$6)</f>
        <v>0</v>
      </c>
      <c r="L26" s="147">
        <f>COUNTIFS('2026 Time Off Request'!$A:$A,'Nov 2026'!$D26,'2026 Time Off Request'!$L:$L,'Nov 2026'!L$6)</f>
        <v>0</v>
      </c>
      <c r="M26" s="147">
        <f>COUNTIFS('2026 Time Off Request'!$A:$A,'Nov 2026'!$D26,'2026 Time Off Request'!$L:$L,'Nov 2026'!M$6)</f>
        <v>0</v>
      </c>
      <c r="N26" s="148">
        <f>COUNTIFS('2026 Time Off Request'!$A:$A,'Nov 2026'!$D26,'2026 Time Off Request'!$L:$L,'Nov 2026'!N$6)</f>
        <v>0</v>
      </c>
      <c r="O26" s="148">
        <f>COUNTIFS('2026 Time Off Request'!$A:$A,'Nov 2026'!$D26,'2026 Time Off Request'!$L:$L,'Nov 2026'!O$6)</f>
        <v>0</v>
      </c>
      <c r="P26" s="148">
        <f>COUNTIFS('2026 Time Off Request'!$A:$A,'Nov 2026'!$D26,'2026 Time Off Request'!$L:$L,'Nov 2026'!P$6)</f>
        <v>0</v>
      </c>
      <c r="Q26" s="148">
        <f>COUNTIFS('2026 Time Off Request'!$A:$A,'Nov 2026'!$D26,'2026 Time Off Request'!$L:$L,'Nov 2026'!Q$6)</f>
        <v>0</v>
      </c>
      <c r="R26" s="148">
        <f>COUNTIFS('2026 Time Off Request'!$A:$A,'Nov 2026'!$D26,'2026 Time Off Request'!$L:$L,'Nov 2026'!R$6)</f>
        <v>0</v>
      </c>
      <c r="S26" s="147">
        <f>COUNTIFS('2026 Time Off Request'!$A:$A,'Nov 2026'!$D26,'2026 Time Off Request'!$L:$L,'Nov 2026'!S$6)</f>
        <v>0</v>
      </c>
      <c r="T26" s="147">
        <f>COUNTIFS('2026 Time Off Request'!$A:$A,'Nov 2026'!$D26,'2026 Time Off Request'!$L:$L,'Nov 2026'!T$6)</f>
        <v>0</v>
      </c>
      <c r="U26" s="148">
        <f>COUNTIFS('2026 Time Off Request'!$A:$A,'Nov 2026'!$D26,'2026 Time Off Request'!$L:$L,'Nov 2026'!U$6)</f>
        <v>0</v>
      </c>
      <c r="V26" s="148">
        <f>COUNTIFS('2026 Time Off Request'!$A:$A,'Nov 2026'!$D26,'2026 Time Off Request'!$L:$L,'Nov 2026'!V$6)</f>
        <v>0</v>
      </c>
      <c r="W26" s="148">
        <f>COUNTIFS('2026 Time Off Request'!$A:$A,'Nov 2026'!$D26,'2026 Time Off Request'!$L:$L,'Nov 2026'!W$6)</f>
        <v>0</v>
      </c>
      <c r="X26" s="148">
        <f>COUNTIFS('2026 Time Off Request'!$A:$A,'Nov 2026'!$D26,'2026 Time Off Request'!$L:$L,'Nov 2026'!X$6)</f>
        <v>0</v>
      </c>
      <c r="Y26" s="148">
        <f>COUNTIFS('2026 Time Off Request'!$A:$A,'Nov 2026'!$D26,'2026 Time Off Request'!$L:$L,'Nov 2026'!Y$6)</f>
        <v>0</v>
      </c>
      <c r="Z26" s="147">
        <f>COUNTIFS('2026 Time Off Request'!$A:$A,'Nov 2026'!$D26,'2026 Time Off Request'!$L:$L,'Nov 2026'!Z$6)</f>
        <v>0</v>
      </c>
      <c r="AA26" s="147">
        <f>COUNTIFS('2026 Time Off Request'!$A:$A,'Nov 2026'!$D26,'2026 Time Off Request'!$L:$L,'Nov 2026'!AA$6)</f>
        <v>0</v>
      </c>
      <c r="AB26" s="148">
        <f>COUNTIFS('2026 Time Off Request'!$A:$A,'Nov 2026'!$D26,'2026 Time Off Request'!$L:$L,'Nov 2026'!AB$6)</f>
        <v>0</v>
      </c>
      <c r="AC26" s="148">
        <f>COUNTIFS('2026 Time Off Request'!$A:$A,'Nov 2026'!$D26,'2026 Time Off Request'!$L:$L,'Nov 2026'!AC$6)</f>
        <v>0</v>
      </c>
      <c r="AD26" s="148">
        <f>COUNTIFS('2026 Time Off Request'!$A:$A,'Nov 2026'!$D26,'2026 Time Off Request'!$L:$L,'Nov 2026'!AD$6)</f>
        <v>0</v>
      </c>
      <c r="AE26" s="148">
        <f>COUNTIFS('2026 Time Off Request'!$A:$A,'Nov 2026'!$D26,'2026 Time Off Request'!$L:$L,'Nov 2026'!AE$6)</f>
        <v>0</v>
      </c>
      <c r="AF26" s="148">
        <f>COUNTIFS('2026 Time Off Request'!$A:$A,'Nov 2026'!$D26,'2026 Time Off Request'!$L:$L,'Nov 2026'!AF$6)</f>
        <v>0</v>
      </c>
      <c r="AG26" s="147">
        <f>COUNTIFS('2026 Time Off Request'!$A:$A,'Nov 2026'!$D26,'2026 Time Off Request'!$L:$L,'Nov 2026'!AG$6)</f>
        <v>0</v>
      </c>
      <c r="AH26" s="147">
        <f>COUNTIFS('2026 Time Off Request'!$A:$A,'Nov 2026'!$D26,'2026 Time Off Request'!$L:$L,'Nov 2026'!AH$6)</f>
        <v>0</v>
      </c>
      <c r="AI26" s="148">
        <f>COUNTIFS('2026 Time Off Request'!$A:$A,'Nov 2026'!$D26,'2026 Time Off Request'!$L:$L,'Nov 2026'!AI$6)</f>
        <v>0</v>
      </c>
    </row>
    <row r="27" spans="1:35" ht="15.75">
      <c r="A27" s="2">
        <v>19</v>
      </c>
      <c r="B27" s="209" t="s">
        <v>45</v>
      </c>
      <c r="C27" s="210" t="s">
        <v>58</v>
      </c>
      <c r="D27" s="215" t="s">
        <v>59</v>
      </c>
      <c r="E27" s="212">
        <f t="shared" si="3"/>
        <v>0</v>
      </c>
      <c r="F27" s="213">
        <f>COUNTIFS('2026 Time Off Request'!$A:$A,'Nov 2026'!$D27,'2026 Time Off Request'!$L:$L,'Nov 2026'!F$6)</f>
        <v>0</v>
      </c>
      <c r="G27" s="148">
        <f>COUNTIFS('2026 Time Off Request'!$A:$A,'Nov 2026'!$D27,'2026 Time Off Request'!$L:$L,'Nov 2026'!G$6)</f>
        <v>0</v>
      </c>
      <c r="H27" s="148">
        <f>COUNTIFS('2026 Time Off Request'!$A:$A,'Nov 2026'!$D27,'2026 Time Off Request'!$L:$L,'Nov 2026'!H$6)</f>
        <v>0</v>
      </c>
      <c r="I27" s="148">
        <f>COUNTIFS('2026 Time Off Request'!$A:$A,'Nov 2026'!$D27,'2026 Time Off Request'!$L:$L,'Nov 2026'!I$6)</f>
        <v>0</v>
      </c>
      <c r="J27" s="148">
        <f>COUNTIFS('2026 Time Off Request'!$A:$A,'Nov 2026'!$D27,'2026 Time Off Request'!$L:$L,'Nov 2026'!J$6)</f>
        <v>0</v>
      </c>
      <c r="K27" s="148">
        <f>COUNTIFS('2026 Time Off Request'!$A:$A,'Nov 2026'!$D27,'2026 Time Off Request'!$L:$L,'Nov 2026'!K$6)</f>
        <v>0</v>
      </c>
      <c r="L27" s="147">
        <f>COUNTIFS('2026 Time Off Request'!$A:$A,'Nov 2026'!$D27,'2026 Time Off Request'!$L:$L,'Nov 2026'!L$6)</f>
        <v>0</v>
      </c>
      <c r="M27" s="147">
        <f>COUNTIFS('2026 Time Off Request'!$A:$A,'Nov 2026'!$D27,'2026 Time Off Request'!$L:$L,'Nov 2026'!M$6)</f>
        <v>0</v>
      </c>
      <c r="N27" s="148">
        <f>COUNTIFS('2026 Time Off Request'!$A:$A,'Nov 2026'!$D27,'2026 Time Off Request'!$L:$L,'Nov 2026'!N$6)</f>
        <v>0</v>
      </c>
      <c r="O27" s="148">
        <f>COUNTIFS('2026 Time Off Request'!$A:$A,'Nov 2026'!$D27,'2026 Time Off Request'!$L:$L,'Nov 2026'!O$6)</f>
        <v>0</v>
      </c>
      <c r="P27" s="148">
        <f>COUNTIFS('2026 Time Off Request'!$A:$A,'Nov 2026'!$D27,'2026 Time Off Request'!$L:$L,'Nov 2026'!P$6)</f>
        <v>0</v>
      </c>
      <c r="Q27" s="148">
        <f>COUNTIFS('2026 Time Off Request'!$A:$A,'Nov 2026'!$D27,'2026 Time Off Request'!$L:$L,'Nov 2026'!Q$6)</f>
        <v>0</v>
      </c>
      <c r="R27" s="148">
        <f>COUNTIFS('2026 Time Off Request'!$A:$A,'Nov 2026'!$D27,'2026 Time Off Request'!$L:$L,'Nov 2026'!R$6)</f>
        <v>0</v>
      </c>
      <c r="S27" s="147">
        <f>COUNTIFS('2026 Time Off Request'!$A:$A,'Nov 2026'!$D27,'2026 Time Off Request'!$L:$L,'Nov 2026'!S$6)</f>
        <v>0</v>
      </c>
      <c r="T27" s="147">
        <f>COUNTIFS('2026 Time Off Request'!$A:$A,'Nov 2026'!$D27,'2026 Time Off Request'!$L:$L,'Nov 2026'!T$6)</f>
        <v>0</v>
      </c>
      <c r="U27" s="148">
        <f>COUNTIFS('2026 Time Off Request'!$A:$A,'Nov 2026'!$D27,'2026 Time Off Request'!$L:$L,'Nov 2026'!U$6)</f>
        <v>0</v>
      </c>
      <c r="V27" s="148">
        <f>COUNTIFS('2026 Time Off Request'!$A:$A,'Nov 2026'!$D27,'2026 Time Off Request'!$L:$L,'Nov 2026'!V$6)</f>
        <v>0</v>
      </c>
      <c r="W27" s="148">
        <f>COUNTIFS('2026 Time Off Request'!$A:$A,'Nov 2026'!$D27,'2026 Time Off Request'!$L:$L,'Nov 2026'!W$6)</f>
        <v>0</v>
      </c>
      <c r="X27" s="148">
        <f>COUNTIFS('2026 Time Off Request'!$A:$A,'Nov 2026'!$D27,'2026 Time Off Request'!$L:$L,'Nov 2026'!X$6)</f>
        <v>0</v>
      </c>
      <c r="Y27" s="148">
        <f>COUNTIFS('2026 Time Off Request'!$A:$A,'Nov 2026'!$D27,'2026 Time Off Request'!$L:$L,'Nov 2026'!Y$6)</f>
        <v>0</v>
      </c>
      <c r="Z27" s="147">
        <f>COUNTIFS('2026 Time Off Request'!$A:$A,'Nov 2026'!$D27,'2026 Time Off Request'!$L:$L,'Nov 2026'!Z$6)</f>
        <v>0</v>
      </c>
      <c r="AA27" s="147">
        <f>COUNTIFS('2026 Time Off Request'!$A:$A,'Nov 2026'!$D27,'2026 Time Off Request'!$L:$L,'Nov 2026'!AA$6)</f>
        <v>0</v>
      </c>
      <c r="AB27" s="148">
        <f>COUNTIFS('2026 Time Off Request'!$A:$A,'Nov 2026'!$D27,'2026 Time Off Request'!$L:$L,'Nov 2026'!AB$6)</f>
        <v>0</v>
      </c>
      <c r="AC27" s="148">
        <f>COUNTIFS('2026 Time Off Request'!$A:$A,'Nov 2026'!$D27,'2026 Time Off Request'!$L:$L,'Nov 2026'!AC$6)</f>
        <v>0</v>
      </c>
      <c r="AD27" s="148">
        <f>COUNTIFS('2026 Time Off Request'!$A:$A,'Nov 2026'!$D27,'2026 Time Off Request'!$L:$L,'Nov 2026'!AD$6)</f>
        <v>0</v>
      </c>
      <c r="AE27" s="148">
        <f>COUNTIFS('2026 Time Off Request'!$A:$A,'Nov 2026'!$D27,'2026 Time Off Request'!$L:$L,'Nov 2026'!AE$6)</f>
        <v>0</v>
      </c>
      <c r="AF27" s="148">
        <f>COUNTIFS('2026 Time Off Request'!$A:$A,'Nov 2026'!$D27,'2026 Time Off Request'!$L:$L,'Nov 2026'!AF$6)</f>
        <v>0</v>
      </c>
      <c r="AG27" s="147">
        <f>COUNTIFS('2026 Time Off Request'!$A:$A,'Nov 2026'!$D27,'2026 Time Off Request'!$L:$L,'Nov 2026'!AG$6)</f>
        <v>0</v>
      </c>
      <c r="AH27" s="147">
        <f>COUNTIFS('2026 Time Off Request'!$A:$A,'Nov 2026'!$D27,'2026 Time Off Request'!$L:$L,'Nov 2026'!AH$6)</f>
        <v>0</v>
      </c>
      <c r="AI27" s="148">
        <f>COUNTIFS('2026 Time Off Request'!$A:$A,'Nov 2026'!$D27,'2026 Time Off Request'!$L:$L,'Nov 2026'!AI$6)</f>
        <v>0</v>
      </c>
    </row>
    <row r="28" spans="1:35" ht="15.75">
      <c r="A28" s="2">
        <v>20</v>
      </c>
      <c r="B28" s="209" t="s">
        <v>45</v>
      </c>
      <c r="C28" s="210" t="s">
        <v>60</v>
      </c>
      <c r="D28" s="215" t="s">
        <v>61</v>
      </c>
      <c r="E28" s="212">
        <f t="shared" si="3"/>
        <v>0</v>
      </c>
      <c r="F28" s="213">
        <f>COUNTIFS('2026 Time Off Request'!$A:$A,'Nov 2026'!$D28,'2026 Time Off Request'!$L:$L,'Nov 2026'!F$6)</f>
        <v>0</v>
      </c>
      <c r="G28" s="148">
        <f>COUNTIFS('2026 Time Off Request'!$A:$A,'Nov 2026'!$D28,'2026 Time Off Request'!$L:$L,'Nov 2026'!G$6)</f>
        <v>0</v>
      </c>
      <c r="H28" s="148">
        <f>COUNTIFS('2026 Time Off Request'!$A:$A,'Nov 2026'!$D28,'2026 Time Off Request'!$L:$L,'Nov 2026'!H$6)</f>
        <v>0</v>
      </c>
      <c r="I28" s="148">
        <f>COUNTIFS('2026 Time Off Request'!$A:$A,'Nov 2026'!$D28,'2026 Time Off Request'!$L:$L,'Nov 2026'!I$6)</f>
        <v>0</v>
      </c>
      <c r="J28" s="148">
        <f>COUNTIFS('2026 Time Off Request'!$A:$A,'Nov 2026'!$D28,'2026 Time Off Request'!$L:$L,'Nov 2026'!J$6)</f>
        <v>0</v>
      </c>
      <c r="K28" s="148">
        <f>COUNTIFS('2026 Time Off Request'!$A:$A,'Nov 2026'!$D28,'2026 Time Off Request'!$L:$L,'Nov 2026'!K$6)</f>
        <v>0</v>
      </c>
      <c r="L28" s="147">
        <f>COUNTIFS('2026 Time Off Request'!$A:$A,'Nov 2026'!$D28,'2026 Time Off Request'!$L:$L,'Nov 2026'!L$6)</f>
        <v>0</v>
      </c>
      <c r="M28" s="147">
        <f>COUNTIFS('2026 Time Off Request'!$A:$A,'Nov 2026'!$D28,'2026 Time Off Request'!$L:$L,'Nov 2026'!M$6)</f>
        <v>0</v>
      </c>
      <c r="N28" s="148">
        <f>COUNTIFS('2026 Time Off Request'!$A:$A,'Nov 2026'!$D28,'2026 Time Off Request'!$L:$L,'Nov 2026'!N$6)</f>
        <v>0</v>
      </c>
      <c r="O28" s="148">
        <f>COUNTIFS('2026 Time Off Request'!$A:$A,'Nov 2026'!$D28,'2026 Time Off Request'!$L:$L,'Nov 2026'!O$6)</f>
        <v>0</v>
      </c>
      <c r="P28" s="148">
        <f>COUNTIFS('2026 Time Off Request'!$A:$A,'Nov 2026'!$D28,'2026 Time Off Request'!$L:$L,'Nov 2026'!P$6)</f>
        <v>0</v>
      </c>
      <c r="Q28" s="148">
        <f>COUNTIFS('2026 Time Off Request'!$A:$A,'Nov 2026'!$D28,'2026 Time Off Request'!$L:$L,'Nov 2026'!Q$6)</f>
        <v>0</v>
      </c>
      <c r="R28" s="148">
        <f>COUNTIFS('2026 Time Off Request'!$A:$A,'Nov 2026'!$D28,'2026 Time Off Request'!$L:$L,'Nov 2026'!R$6)</f>
        <v>0</v>
      </c>
      <c r="S28" s="147">
        <f>COUNTIFS('2026 Time Off Request'!$A:$A,'Nov 2026'!$D28,'2026 Time Off Request'!$L:$L,'Nov 2026'!S$6)</f>
        <v>0</v>
      </c>
      <c r="T28" s="147">
        <f>COUNTIFS('2026 Time Off Request'!$A:$A,'Nov 2026'!$D28,'2026 Time Off Request'!$L:$L,'Nov 2026'!T$6)</f>
        <v>0</v>
      </c>
      <c r="U28" s="148">
        <f>COUNTIFS('2026 Time Off Request'!$A:$A,'Nov 2026'!$D28,'2026 Time Off Request'!$L:$L,'Nov 2026'!U$6)</f>
        <v>0</v>
      </c>
      <c r="V28" s="148">
        <f>COUNTIFS('2026 Time Off Request'!$A:$A,'Nov 2026'!$D28,'2026 Time Off Request'!$L:$L,'Nov 2026'!V$6)</f>
        <v>0</v>
      </c>
      <c r="W28" s="148">
        <f>COUNTIFS('2026 Time Off Request'!$A:$A,'Nov 2026'!$D28,'2026 Time Off Request'!$L:$L,'Nov 2026'!W$6)</f>
        <v>0</v>
      </c>
      <c r="X28" s="148">
        <f>COUNTIFS('2026 Time Off Request'!$A:$A,'Nov 2026'!$D28,'2026 Time Off Request'!$L:$L,'Nov 2026'!X$6)</f>
        <v>0</v>
      </c>
      <c r="Y28" s="148">
        <f>COUNTIFS('2026 Time Off Request'!$A:$A,'Nov 2026'!$D28,'2026 Time Off Request'!$L:$L,'Nov 2026'!Y$6)</f>
        <v>0</v>
      </c>
      <c r="Z28" s="147">
        <f>COUNTIFS('2026 Time Off Request'!$A:$A,'Nov 2026'!$D28,'2026 Time Off Request'!$L:$L,'Nov 2026'!Z$6)</f>
        <v>0</v>
      </c>
      <c r="AA28" s="147">
        <f>COUNTIFS('2026 Time Off Request'!$A:$A,'Nov 2026'!$D28,'2026 Time Off Request'!$L:$L,'Nov 2026'!AA$6)</f>
        <v>0</v>
      </c>
      <c r="AB28" s="148">
        <f>COUNTIFS('2026 Time Off Request'!$A:$A,'Nov 2026'!$D28,'2026 Time Off Request'!$L:$L,'Nov 2026'!AB$6)</f>
        <v>0</v>
      </c>
      <c r="AC28" s="148">
        <f>COUNTIFS('2026 Time Off Request'!$A:$A,'Nov 2026'!$D28,'2026 Time Off Request'!$L:$L,'Nov 2026'!AC$6)</f>
        <v>0</v>
      </c>
      <c r="AD28" s="148">
        <f>COUNTIFS('2026 Time Off Request'!$A:$A,'Nov 2026'!$D28,'2026 Time Off Request'!$L:$L,'Nov 2026'!AD$6)</f>
        <v>0</v>
      </c>
      <c r="AE28" s="148">
        <f>COUNTIFS('2026 Time Off Request'!$A:$A,'Nov 2026'!$D28,'2026 Time Off Request'!$L:$L,'Nov 2026'!AE$6)</f>
        <v>0</v>
      </c>
      <c r="AF28" s="148">
        <f>COUNTIFS('2026 Time Off Request'!$A:$A,'Nov 2026'!$D28,'2026 Time Off Request'!$L:$L,'Nov 2026'!AF$6)</f>
        <v>0</v>
      </c>
      <c r="AG28" s="147">
        <f>COUNTIFS('2026 Time Off Request'!$A:$A,'Nov 2026'!$D28,'2026 Time Off Request'!$L:$L,'Nov 2026'!AG$6)</f>
        <v>0</v>
      </c>
      <c r="AH28" s="147">
        <f>COUNTIFS('2026 Time Off Request'!$A:$A,'Nov 2026'!$D28,'2026 Time Off Request'!$L:$L,'Nov 2026'!AH$6)</f>
        <v>0</v>
      </c>
      <c r="AI28" s="148">
        <f>COUNTIFS('2026 Time Off Request'!$A:$A,'Nov 2026'!$D28,'2026 Time Off Request'!$L:$L,'Nov 2026'!AI$6)</f>
        <v>0</v>
      </c>
    </row>
    <row r="29" spans="1:35" ht="15.75">
      <c r="A29" s="2"/>
      <c r="B29" s="209" t="s">
        <v>45</v>
      </c>
      <c r="C29" s="210" t="s">
        <v>62</v>
      </c>
      <c r="D29" s="215" t="s">
        <v>63</v>
      </c>
      <c r="E29" s="212">
        <f t="shared" si="3"/>
        <v>0</v>
      </c>
      <c r="F29" s="213">
        <f>COUNTIFS('2026 Time Off Request'!$A:$A,'Nov 2026'!$D29,'2026 Time Off Request'!$L:$L,'Nov 2026'!F$6)</f>
        <v>0</v>
      </c>
      <c r="G29" s="148">
        <f>COUNTIFS('2026 Time Off Request'!$A:$A,'Nov 2026'!$D29,'2026 Time Off Request'!$L:$L,'Nov 2026'!G$6)</f>
        <v>0</v>
      </c>
      <c r="H29" s="148">
        <f>COUNTIFS('2026 Time Off Request'!$A:$A,'Nov 2026'!$D29,'2026 Time Off Request'!$L:$L,'Nov 2026'!H$6)</f>
        <v>0</v>
      </c>
      <c r="I29" s="148">
        <f>COUNTIFS('2026 Time Off Request'!$A:$A,'Nov 2026'!$D29,'2026 Time Off Request'!$L:$L,'Nov 2026'!I$6)</f>
        <v>0</v>
      </c>
      <c r="J29" s="148">
        <f>COUNTIFS('2026 Time Off Request'!$A:$A,'Nov 2026'!$D29,'2026 Time Off Request'!$L:$L,'Nov 2026'!J$6)</f>
        <v>0</v>
      </c>
      <c r="K29" s="148">
        <f>COUNTIFS('2026 Time Off Request'!$A:$A,'Nov 2026'!$D29,'2026 Time Off Request'!$L:$L,'Nov 2026'!K$6)</f>
        <v>0</v>
      </c>
      <c r="L29" s="147">
        <f>COUNTIFS('2026 Time Off Request'!$A:$A,'Nov 2026'!$D29,'2026 Time Off Request'!$L:$L,'Nov 2026'!L$6)</f>
        <v>0</v>
      </c>
      <c r="M29" s="147">
        <f>COUNTIFS('2026 Time Off Request'!$A:$A,'Nov 2026'!$D29,'2026 Time Off Request'!$L:$L,'Nov 2026'!M$6)</f>
        <v>0</v>
      </c>
      <c r="N29" s="148">
        <f>COUNTIFS('2026 Time Off Request'!$A:$A,'Nov 2026'!$D29,'2026 Time Off Request'!$L:$L,'Nov 2026'!N$6)</f>
        <v>0</v>
      </c>
      <c r="O29" s="148">
        <f>COUNTIFS('2026 Time Off Request'!$A:$A,'Nov 2026'!$D29,'2026 Time Off Request'!$L:$L,'Nov 2026'!O$6)</f>
        <v>0</v>
      </c>
      <c r="P29" s="148">
        <f>COUNTIFS('2026 Time Off Request'!$A:$A,'Nov 2026'!$D29,'2026 Time Off Request'!$L:$L,'Nov 2026'!P$6)</f>
        <v>0</v>
      </c>
      <c r="Q29" s="148">
        <f>COUNTIFS('2026 Time Off Request'!$A:$A,'Nov 2026'!$D29,'2026 Time Off Request'!$L:$L,'Nov 2026'!Q$6)</f>
        <v>0</v>
      </c>
      <c r="R29" s="148">
        <f>COUNTIFS('2026 Time Off Request'!$A:$A,'Nov 2026'!$D29,'2026 Time Off Request'!$L:$L,'Nov 2026'!R$6)</f>
        <v>0</v>
      </c>
      <c r="S29" s="147">
        <f>COUNTIFS('2026 Time Off Request'!$A:$A,'Nov 2026'!$D29,'2026 Time Off Request'!$L:$L,'Nov 2026'!S$6)</f>
        <v>0</v>
      </c>
      <c r="T29" s="147">
        <f>COUNTIFS('2026 Time Off Request'!$A:$A,'Nov 2026'!$D29,'2026 Time Off Request'!$L:$L,'Nov 2026'!T$6)</f>
        <v>0</v>
      </c>
      <c r="U29" s="148">
        <f>COUNTIFS('2026 Time Off Request'!$A:$A,'Nov 2026'!$D29,'2026 Time Off Request'!$L:$L,'Nov 2026'!U$6)</f>
        <v>0</v>
      </c>
      <c r="V29" s="148">
        <f>COUNTIFS('2026 Time Off Request'!$A:$A,'Nov 2026'!$D29,'2026 Time Off Request'!$L:$L,'Nov 2026'!V$6)</f>
        <v>0</v>
      </c>
      <c r="W29" s="148">
        <f>COUNTIFS('2026 Time Off Request'!$A:$A,'Nov 2026'!$D29,'2026 Time Off Request'!$L:$L,'Nov 2026'!W$6)</f>
        <v>0</v>
      </c>
      <c r="X29" s="148">
        <f>COUNTIFS('2026 Time Off Request'!$A:$A,'Nov 2026'!$D29,'2026 Time Off Request'!$L:$L,'Nov 2026'!X$6)</f>
        <v>0</v>
      </c>
      <c r="Y29" s="148">
        <f>COUNTIFS('2026 Time Off Request'!$A:$A,'Nov 2026'!$D29,'2026 Time Off Request'!$L:$L,'Nov 2026'!Y$6)</f>
        <v>0</v>
      </c>
      <c r="Z29" s="147">
        <f>COUNTIFS('2026 Time Off Request'!$A:$A,'Nov 2026'!$D29,'2026 Time Off Request'!$L:$L,'Nov 2026'!Z$6)</f>
        <v>0</v>
      </c>
      <c r="AA29" s="147">
        <f>COUNTIFS('2026 Time Off Request'!$A:$A,'Nov 2026'!$D29,'2026 Time Off Request'!$L:$L,'Nov 2026'!AA$6)</f>
        <v>0</v>
      </c>
      <c r="AB29" s="148">
        <f>COUNTIFS('2026 Time Off Request'!$A:$A,'Nov 2026'!$D29,'2026 Time Off Request'!$L:$L,'Nov 2026'!AB$6)</f>
        <v>0</v>
      </c>
      <c r="AC29" s="148">
        <f>COUNTIFS('2026 Time Off Request'!$A:$A,'Nov 2026'!$D29,'2026 Time Off Request'!$L:$L,'Nov 2026'!AC$6)</f>
        <v>0</v>
      </c>
      <c r="AD29" s="148">
        <f>COUNTIFS('2026 Time Off Request'!$A:$A,'Nov 2026'!$D29,'2026 Time Off Request'!$L:$L,'Nov 2026'!AD$6)</f>
        <v>0</v>
      </c>
      <c r="AE29" s="148">
        <f>COUNTIFS('2026 Time Off Request'!$A:$A,'Nov 2026'!$D29,'2026 Time Off Request'!$L:$L,'Nov 2026'!AE$6)</f>
        <v>0</v>
      </c>
      <c r="AF29" s="148">
        <f>COUNTIFS('2026 Time Off Request'!$A:$A,'Nov 2026'!$D29,'2026 Time Off Request'!$L:$L,'Nov 2026'!AF$6)</f>
        <v>0</v>
      </c>
      <c r="AG29" s="147">
        <f>COUNTIFS('2026 Time Off Request'!$A:$A,'Nov 2026'!$D29,'2026 Time Off Request'!$L:$L,'Nov 2026'!AG$6)</f>
        <v>0</v>
      </c>
      <c r="AH29" s="147">
        <f>COUNTIFS('2026 Time Off Request'!$A:$A,'Nov 2026'!$D29,'2026 Time Off Request'!$L:$L,'Nov 2026'!AH$6)</f>
        <v>0</v>
      </c>
      <c r="AI29" s="148">
        <f>COUNTIFS('2026 Time Off Request'!$A:$A,'Nov 2026'!$D29,'2026 Time Off Request'!$L:$L,'Nov 2026'!AI$6)</f>
        <v>0</v>
      </c>
    </row>
    <row r="30" spans="1:35" ht="15.75">
      <c r="A30" s="2">
        <v>21</v>
      </c>
      <c r="B30" s="209" t="s">
        <v>49</v>
      </c>
      <c r="C30" s="210" t="s">
        <v>64</v>
      </c>
      <c r="D30" s="215" t="s">
        <v>65</v>
      </c>
      <c r="E30" s="212">
        <f t="shared" si="2"/>
        <v>0</v>
      </c>
      <c r="F30" s="213">
        <f>COUNTIFS('2026 Time Off Request'!$A:$A,'Nov 2026'!$D30,'2026 Time Off Request'!$L:$L,'Nov 2026'!F$6)</f>
        <v>0</v>
      </c>
      <c r="G30" s="148">
        <f>COUNTIFS('2026 Time Off Request'!$A:$A,'Nov 2026'!$D30,'2026 Time Off Request'!$L:$L,'Nov 2026'!G$6)</f>
        <v>0</v>
      </c>
      <c r="H30" s="148">
        <f>COUNTIFS('2026 Time Off Request'!$A:$A,'Nov 2026'!$D30,'2026 Time Off Request'!$L:$L,'Nov 2026'!H$6)</f>
        <v>0</v>
      </c>
      <c r="I30" s="148">
        <f>COUNTIFS('2026 Time Off Request'!$A:$A,'Nov 2026'!$D30,'2026 Time Off Request'!$L:$L,'Nov 2026'!I$6)</f>
        <v>0</v>
      </c>
      <c r="J30" s="148">
        <f>COUNTIFS('2026 Time Off Request'!$A:$A,'Nov 2026'!$D30,'2026 Time Off Request'!$L:$L,'Nov 2026'!J$6)</f>
        <v>0</v>
      </c>
      <c r="K30" s="148">
        <f>COUNTIFS('2026 Time Off Request'!$A:$A,'Nov 2026'!$D30,'2026 Time Off Request'!$L:$L,'Nov 2026'!K$6)</f>
        <v>0</v>
      </c>
      <c r="L30" s="147">
        <f>COUNTIFS('2026 Time Off Request'!$A:$A,'Nov 2026'!$D30,'2026 Time Off Request'!$L:$L,'Nov 2026'!L$6)</f>
        <v>0</v>
      </c>
      <c r="M30" s="147">
        <f>COUNTIFS('2026 Time Off Request'!$A:$A,'Nov 2026'!$D30,'2026 Time Off Request'!$L:$L,'Nov 2026'!M$6)</f>
        <v>0</v>
      </c>
      <c r="N30" s="148">
        <f>COUNTIFS('2026 Time Off Request'!$A:$A,'Nov 2026'!$D30,'2026 Time Off Request'!$L:$L,'Nov 2026'!N$6)</f>
        <v>0</v>
      </c>
      <c r="O30" s="148">
        <f>COUNTIFS('2026 Time Off Request'!$A:$A,'Nov 2026'!$D30,'2026 Time Off Request'!$L:$L,'Nov 2026'!O$6)</f>
        <v>0</v>
      </c>
      <c r="P30" s="148">
        <f>COUNTIFS('2026 Time Off Request'!$A:$A,'Nov 2026'!$D30,'2026 Time Off Request'!$L:$L,'Nov 2026'!P$6)</f>
        <v>0</v>
      </c>
      <c r="Q30" s="148">
        <f>COUNTIFS('2026 Time Off Request'!$A:$A,'Nov 2026'!$D30,'2026 Time Off Request'!$L:$L,'Nov 2026'!Q$6)</f>
        <v>0</v>
      </c>
      <c r="R30" s="148">
        <f>COUNTIFS('2026 Time Off Request'!$A:$A,'Nov 2026'!$D30,'2026 Time Off Request'!$L:$L,'Nov 2026'!R$6)</f>
        <v>0</v>
      </c>
      <c r="S30" s="147">
        <f>COUNTIFS('2026 Time Off Request'!$A:$A,'Nov 2026'!$D30,'2026 Time Off Request'!$L:$L,'Nov 2026'!S$6)</f>
        <v>0</v>
      </c>
      <c r="T30" s="147">
        <f>COUNTIFS('2026 Time Off Request'!$A:$A,'Nov 2026'!$D30,'2026 Time Off Request'!$L:$L,'Nov 2026'!T$6)</f>
        <v>0</v>
      </c>
      <c r="U30" s="148">
        <f>COUNTIFS('2026 Time Off Request'!$A:$A,'Nov 2026'!$D30,'2026 Time Off Request'!$L:$L,'Nov 2026'!U$6)</f>
        <v>0</v>
      </c>
      <c r="V30" s="148">
        <f>COUNTIFS('2026 Time Off Request'!$A:$A,'Nov 2026'!$D30,'2026 Time Off Request'!$L:$L,'Nov 2026'!V$6)</f>
        <v>0</v>
      </c>
      <c r="W30" s="148">
        <f>COUNTIFS('2026 Time Off Request'!$A:$A,'Nov 2026'!$D30,'2026 Time Off Request'!$L:$L,'Nov 2026'!W$6)</f>
        <v>0</v>
      </c>
      <c r="X30" s="148">
        <f>COUNTIFS('2026 Time Off Request'!$A:$A,'Nov 2026'!$D30,'2026 Time Off Request'!$L:$L,'Nov 2026'!X$6)</f>
        <v>0</v>
      </c>
      <c r="Y30" s="148">
        <f>COUNTIFS('2026 Time Off Request'!$A:$A,'Nov 2026'!$D30,'2026 Time Off Request'!$L:$L,'Nov 2026'!Y$6)</f>
        <v>0</v>
      </c>
      <c r="Z30" s="147">
        <f>COUNTIFS('2026 Time Off Request'!$A:$A,'Nov 2026'!$D30,'2026 Time Off Request'!$L:$L,'Nov 2026'!Z$6)</f>
        <v>0</v>
      </c>
      <c r="AA30" s="147">
        <f>COUNTIFS('2026 Time Off Request'!$A:$A,'Nov 2026'!$D30,'2026 Time Off Request'!$L:$L,'Nov 2026'!AA$6)</f>
        <v>0</v>
      </c>
      <c r="AB30" s="148">
        <f>COUNTIFS('2026 Time Off Request'!$A:$A,'Nov 2026'!$D30,'2026 Time Off Request'!$L:$L,'Nov 2026'!AB$6)</f>
        <v>0</v>
      </c>
      <c r="AC30" s="148">
        <f>COUNTIFS('2026 Time Off Request'!$A:$A,'Nov 2026'!$D30,'2026 Time Off Request'!$L:$L,'Nov 2026'!AC$6)</f>
        <v>0</v>
      </c>
      <c r="AD30" s="148">
        <f>COUNTIFS('2026 Time Off Request'!$A:$A,'Nov 2026'!$D30,'2026 Time Off Request'!$L:$L,'Nov 2026'!AD$6)</f>
        <v>0</v>
      </c>
      <c r="AE30" s="148">
        <f>COUNTIFS('2026 Time Off Request'!$A:$A,'Nov 2026'!$D30,'2026 Time Off Request'!$L:$L,'Nov 2026'!AE$6)</f>
        <v>0</v>
      </c>
      <c r="AF30" s="148">
        <f>COUNTIFS('2026 Time Off Request'!$A:$A,'Nov 2026'!$D30,'2026 Time Off Request'!$L:$L,'Nov 2026'!AF$6)</f>
        <v>0</v>
      </c>
      <c r="AG30" s="147">
        <f>COUNTIFS('2026 Time Off Request'!$A:$A,'Nov 2026'!$D30,'2026 Time Off Request'!$L:$L,'Nov 2026'!AG$6)</f>
        <v>0</v>
      </c>
      <c r="AH30" s="147">
        <f>COUNTIFS('2026 Time Off Request'!$A:$A,'Nov 2026'!$D30,'2026 Time Off Request'!$L:$L,'Nov 2026'!AH$6)</f>
        <v>0</v>
      </c>
      <c r="AI30" s="148">
        <f>COUNTIFS('2026 Time Off Request'!$A:$A,'Nov 2026'!$D30,'2026 Time Off Request'!$L:$L,'Nov 2026'!AI$6)</f>
        <v>0</v>
      </c>
    </row>
    <row r="31" spans="1:35" ht="15.75">
      <c r="A31" s="2">
        <v>22</v>
      </c>
      <c r="B31" s="209" t="s">
        <v>49</v>
      </c>
      <c r="C31" s="210" t="s">
        <v>66</v>
      </c>
      <c r="D31" s="215" t="s">
        <v>67</v>
      </c>
      <c r="E31" s="212">
        <f t="shared" si="2"/>
        <v>0</v>
      </c>
      <c r="F31" s="213">
        <f>COUNTIFS('2026 Time Off Request'!$A:$A,'Nov 2026'!$D31,'2026 Time Off Request'!$L:$L,'Nov 2026'!F$6)</f>
        <v>0</v>
      </c>
      <c r="G31" s="148">
        <f>COUNTIFS('2026 Time Off Request'!$A:$A,'Nov 2026'!$D31,'2026 Time Off Request'!$L:$L,'Nov 2026'!G$6)</f>
        <v>0</v>
      </c>
      <c r="H31" s="148">
        <f>COUNTIFS('2026 Time Off Request'!$A:$A,'Nov 2026'!$D31,'2026 Time Off Request'!$L:$L,'Nov 2026'!H$6)</f>
        <v>0</v>
      </c>
      <c r="I31" s="148">
        <f>COUNTIFS('2026 Time Off Request'!$A:$A,'Nov 2026'!$D31,'2026 Time Off Request'!$L:$L,'Nov 2026'!I$6)</f>
        <v>0</v>
      </c>
      <c r="J31" s="148">
        <f>COUNTIFS('2026 Time Off Request'!$A:$A,'Nov 2026'!$D31,'2026 Time Off Request'!$L:$L,'Nov 2026'!J$6)</f>
        <v>0</v>
      </c>
      <c r="K31" s="148">
        <f>COUNTIFS('2026 Time Off Request'!$A:$A,'Nov 2026'!$D31,'2026 Time Off Request'!$L:$L,'Nov 2026'!K$6)</f>
        <v>0</v>
      </c>
      <c r="L31" s="147">
        <f>COUNTIFS('2026 Time Off Request'!$A:$A,'Nov 2026'!$D31,'2026 Time Off Request'!$L:$L,'Nov 2026'!L$6)</f>
        <v>0</v>
      </c>
      <c r="M31" s="147">
        <f>COUNTIFS('2026 Time Off Request'!$A:$A,'Nov 2026'!$D31,'2026 Time Off Request'!$L:$L,'Nov 2026'!M$6)</f>
        <v>0</v>
      </c>
      <c r="N31" s="148">
        <f>COUNTIFS('2026 Time Off Request'!$A:$A,'Nov 2026'!$D31,'2026 Time Off Request'!$L:$L,'Nov 2026'!N$6)</f>
        <v>0</v>
      </c>
      <c r="O31" s="148">
        <f>COUNTIFS('2026 Time Off Request'!$A:$A,'Nov 2026'!$D31,'2026 Time Off Request'!$L:$L,'Nov 2026'!O$6)</f>
        <v>0</v>
      </c>
      <c r="P31" s="148">
        <f>COUNTIFS('2026 Time Off Request'!$A:$A,'Nov 2026'!$D31,'2026 Time Off Request'!$L:$L,'Nov 2026'!P$6)</f>
        <v>0</v>
      </c>
      <c r="Q31" s="148">
        <f>COUNTIFS('2026 Time Off Request'!$A:$A,'Nov 2026'!$D31,'2026 Time Off Request'!$L:$L,'Nov 2026'!Q$6)</f>
        <v>0</v>
      </c>
      <c r="R31" s="148">
        <f>COUNTIFS('2026 Time Off Request'!$A:$A,'Nov 2026'!$D31,'2026 Time Off Request'!$L:$L,'Nov 2026'!R$6)</f>
        <v>0</v>
      </c>
      <c r="S31" s="147">
        <f>COUNTIFS('2026 Time Off Request'!$A:$A,'Nov 2026'!$D31,'2026 Time Off Request'!$L:$L,'Nov 2026'!S$6)</f>
        <v>0</v>
      </c>
      <c r="T31" s="147">
        <f>COUNTIFS('2026 Time Off Request'!$A:$A,'Nov 2026'!$D31,'2026 Time Off Request'!$L:$L,'Nov 2026'!T$6)</f>
        <v>0</v>
      </c>
      <c r="U31" s="148">
        <f>COUNTIFS('2026 Time Off Request'!$A:$A,'Nov 2026'!$D31,'2026 Time Off Request'!$L:$L,'Nov 2026'!U$6)</f>
        <v>0</v>
      </c>
      <c r="V31" s="148">
        <f>COUNTIFS('2026 Time Off Request'!$A:$A,'Nov 2026'!$D31,'2026 Time Off Request'!$L:$L,'Nov 2026'!V$6)</f>
        <v>0</v>
      </c>
      <c r="W31" s="148">
        <f>COUNTIFS('2026 Time Off Request'!$A:$A,'Nov 2026'!$D31,'2026 Time Off Request'!$L:$L,'Nov 2026'!W$6)</f>
        <v>0</v>
      </c>
      <c r="X31" s="148">
        <f>COUNTIFS('2026 Time Off Request'!$A:$A,'Nov 2026'!$D31,'2026 Time Off Request'!$L:$L,'Nov 2026'!X$6)</f>
        <v>0</v>
      </c>
      <c r="Y31" s="148">
        <f>COUNTIFS('2026 Time Off Request'!$A:$A,'Nov 2026'!$D31,'2026 Time Off Request'!$L:$L,'Nov 2026'!Y$6)</f>
        <v>0</v>
      </c>
      <c r="Z31" s="147">
        <f>COUNTIFS('2026 Time Off Request'!$A:$A,'Nov 2026'!$D31,'2026 Time Off Request'!$L:$L,'Nov 2026'!Z$6)</f>
        <v>0</v>
      </c>
      <c r="AA31" s="147">
        <f>COUNTIFS('2026 Time Off Request'!$A:$A,'Nov 2026'!$D31,'2026 Time Off Request'!$L:$L,'Nov 2026'!AA$6)</f>
        <v>0</v>
      </c>
      <c r="AB31" s="148">
        <f>COUNTIFS('2026 Time Off Request'!$A:$A,'Nov 2026'!$D31,'2026 Time Off Request'!$L:$L,'Nov 2026'!AB$6)</f>
        <v>0</v>
      </c>
      <c r="AC31" s="148">
        <f>COUNTIFS('2026 Time Off Request'!$A:$A,'Nov 2026'!$D31,'2026 Time Off Request'!$L:$L,'Nov 2026'!AC$6)</f>
        <v>0</v>
      </c>
      <c r="AD31" s="148">
        <f>COUNTIFS('2026 Time Off Request'!$A:$A,'Nov 2026'!$D31,'2026 Time Off Request'!$L:$L,'Nov 2026'!AD$6)</f>
        <v>0</v>
      </c>
      <c r="AE31" s="148">
        <f>COUNTIFS('2026 Time Off Request'!$A:$A,'Nov 2026'!$D31,'2026 Time Off Request'!$L:$L,'Nov 2026'!AE$6)</f>
        <v>0</v>
      </c>
      <c r="AF31" s="148">
        <f>COUNTIFS('2026 Time Off Request'!$A:$A,'Nov 2026'!$D31,'2026 Time Off Request'!$L:$L,'Nov 2026'!AF$6)</f>
        <v>0</v>
      </c>
      <c r="AG31" s="147">
        <f>COUNTIFS('2026 Time Off Request'!$A:$A,'Nov 2026'!$D31,'2026 Time Off Request'!$L:$L,'Nov 2026'!AG$6)</f>
        <v>0</v>
      </c>
      <c r="AH31" s="147">
        <f>COUNTIFS('2026 Time Off Request'!$A:$A,'Nov 2026'!$D31,'2026 Time Off Request'!$L:$L,'Nov 2026'!AH$6)</f>
        <v>0</v>
      </c>
      <c r="AI31" s="148">
        <f>COUNTIFS('2026 Time Off Request'!$A:$A,'Nov 2026'!$D31,'2026 Time Off Request'!$L:$L,'Nov 2026'!AI$6)</f>
        <v>0</v>
      </c>
    </row>
    <row r="32" spans="1:35" ht="15.75">
      <c r="A32" s="2">
        <v>23</v>
      </c>
      <c r="B32" s="209" t="s">
        <v>45</v>
      </c>
      <c r="C32" s="210" t="s">
        <v>68</v>
      </c>
      <c r="D32" s="215" t="s">
        <v>69</v>
      </c>
      <c r="E32" s="212">
        <f t="shared" si="2"/>
        <v>0</v>
      </c>
      <c r="F32" s="213">
        <f>COUNTIFS('2026 Time Off Request'!$A:$A,'Nov 2026'!$D32,'2026 Time Off Request'!$L:$L,'Nov 2026'!F$6)</f>
        <v>0</v>
      </c>
      <c r="G32" s="148">
        <f>COUNTIFS('2026 Time Off Request'!$A:$A,'Nov 2026'!$D32,'2026 Time Off Request'!$L:$L,'Nov 2026'!G$6)</f>
        <v>0</v>
      </c>
      <c r="H32" s="148">
        <f>COUNTIFS('2026 Time Off Request'!$A:$A,'Nov 2026'!$D32,'2026 Time Off Request'!$L:$L,'Nov 2026'!H$6)</f>
        <v>0</v>
      </c>
      <c r="I32" s="148">
        <f>COUNTIFS('2026 Time Off Request'!$A:$A,'Nov 2026'!$D32,'2026 Time Off Request'!$L:$L,'Nov 2026'!I$6)</f>
        <v>0</v>
      </c>
      <c r="J32" s="148">
        <f>COUNTIFS('2026 Time Off Request'!$A:$A,'Nov 2026'!$D32,'2026 Time Off Request'!$L:$L,'Nov 2026'!J$6)</f>
        <v>0</v>
      </c>
      <c r="K32" s="148">
        <f>COUNTIFS('2026 Time Off Request'!$A:$A,'Nov 2026'!$D32,'2026 Time Off Request'!$L:$L,'Nov 2026'!K$6)</f>
        <v>0</v>
      </c>
      <c r="L32" s="147">
        <f>COUNTIFS('2026 Time Off Request'!$A:$A,'Nov 2026'!$D32,'2026 Time Off Request'!$L:$L,'Nov 2026'!L$6)</f>
        <v>0</v>
      </c>
      <c r="M32" s="147">
        <f>COUNTIFS('2026 Time Off Request'!$A:$A,'Nov 2026'!$D32,'2026 Time Off Request'!$L:$L,'Nov 2026'!M$6)</f>
        <v>0</v>
      </c>
      <c r="N32" s="148">
        <f>COUNTIFS('2026 Time Off Request'!$A:$A,'Nov 2026'!$D32,'2026 Time Off Request'!$L:$L,'Nov 2026'!N$6)</f>
        <v>0</v>
      </c>
      <c r="O32" s="148">
        <f>COUNTIFS('2026 Time Off Request'!$A:$A,'Nov 2026'!$D32,'2026 Time Off Request'!$L:$L,'Nov 2026'!O$6)</f>
        <v>0</v>
      </c>
      <c r="P32" s="148">
        <f>COUNTIFS('2026 Time Off Request'!$A:$A,'Nov 2026'!$D32,'2026 Time Off Request'!$L:$L,'Nov 2026'!P$6)</f>
        <v>0</v>
      </c>
      <c r="Q32" s="148">
        <f>COUNTIFS('2026 Time Off Request'!$A:$A,'Nov 2026'!$D32,'2026 Time Off Request'!$L:$L,'Nov 2026'!Q$6)</f>
        <v>0</v>
      </c>
      <c r="R32" s="148">
        <f>COUNTIFS('2026 Time Off Request'!$A:$A,'Nov 2026'!$D32,'2026 Time Off Request'!$L:$L,'Nov 2026'!R$6)</f>
        <v>0</v>
      </c>
      <c r="S32" s="147">
        <f>COUNTIFS('2026 Time Off Request'!$A:$A,'Nov 2026'!$D32,'2026 Time Off Request'!$L:$L,'Nov 2026'!S$6)</f>
        <v>0</v>
      </c>
      <c r="T32" s="147">
        <f>COUNTIFS('2026 Time Off Request'!$A:$A,'Nov 2026'!$D32,'2026 Time Off Request'!$L:$L,'Nov 2026'!T$6)</f>
        <v>0</v>
      </c>
      <c r="U32" s="148">
        <f>COUNTIFS('2026 Time Off Request'!$A:$A,'Nov 2026'!$D32,'2026 Time Off Request'!$L:$L,'Nov 2026'!U$6)</f>
        <v>0</v>
      </c>
      <c r="V32" s="148">
        <f>COUNTIFS('2026 Time Off Request'!$A:$A,'Nov 2026'!$D32,'2026 Time Off Request'!$L:$L,'Nov 2026'!V$6)</f>
        <v>0</v>
      </c>
      <c r="W32" s="148">
        <f>COUNTIFS('2026 Time Off Request'!$A:$A,'Nov 2026'!$D32,'2026 Time Off Request'!$L:$L,'Nov 2026'!W$6)</f>
        <v>0</v>
      </c>
      <c r="X32" s="148">
        <f>COUNTIFS('2026 Time Off Request'!$A:$A,'Nov 2026'!$D32,'2026 Time Off Request'!$L:$L,'Nov 2026'!X$6)</f>
        <v>0</v>
      </c>
      <c r="Y32" s="148">
        <f>COUNTIFS('2026 Time Off Request'!$A:$A,'Nov 2026'!$D32,'2026 Time Off Request'!$L:$L,'Nov 2026'!Y$6)</f>
        <v>0</v>
      </c>
      <c r="Z32" s="147">
        <f>COUNTIFS('2026 Time Off Request'!$A:$A,'Nov 2026'!$D32,'2026 Time Off Request'!$L:$L,'Nov 2026'!Z$6)</f>
        <v>0</v>
      </c>
      <c r="AA32" s="147">
        <f>COUNTIFS('2026 Time Off Request'!$A:$A,'Nov 2026'!$D32,'2026 Time Off Request'!$L:$L,'Nov 2026'!AA$6)</f>
        <v>0</v>
      </c>
      <c r="AB32" s="148">
        <f>COUNTIFS('2026 Time Off Request'!$A:$A,'Nov 2026'!$D32,'2026 Time Off Request'!$L:$L,'Nov 2026'!AB$6)</f>
        <v>0</v>
      </c>
      <c r="AC32" s="148">
        <f>COUNTIFS('2026 Time Off Request'!$A:$A,'Nov 2026'!$D32,'2026 Time Off Request'!$L:$L,'Nov 2026'!AC$6)</f>
        <v>0</v>
      </c>
      <c r="AD32" s="148">
        <f>COUNTIFS('2026 Time Off Request'!$A:$A,'Nov 2026'!$D32,'2026 Time Off Request'!$L:$L,'Nov 2026'!AD$6)</f>
        <v>0</v>
      </c>
      <c r="AE32" s="148">
        <f>COUNTIFS('2026 Time Off Request'!$A:$A,'Nov 2026'!$D32,'2026 Time Off Request'!$L:$L,'Nov 2026'!AE$6)</f>
        <v>0</v>
      </c>
      <c r="AF32" s="148">
        <f>COUNTIFS('2026 Time Off Request'!$A:$A,'Nov 2026'!$D32,'2026 Time Off Request'!$L:$L,'Nov 2026'!AF$6)</f>
        <v>0</v>
      </c>
      <c r="AG32" s="147">
        <f>COUNTIFS('2026 Time Off Request'!$A:$A,'Nov 2026'!$D32,'2026 Time Off Request'!$L:$L,'Nov 2026'!AG$6)</f>
        <v>0</v>
      </c>
      <c r="AH32" s="147">
        <f>COUNTIFS('2026 Time Off Request'!$A:$A,'Nov 2026'!$D32,'2026 Time Off Request'!$L:$L,'Nov 2026'!AH$6)</f>
        <v>0</v>
      </c>
      <c r="AI32" s="148">
        <f>COUNTIFS('2026 Time Off Request'!$A:$A,'Nov 2026'!$D32,'2026 Time Off Request'!$L:$L,'Nov 2026'!AI$6)</f>
        <v>0</v>
      </c>
    </row>
    <row r="33" spans="1:35" ht="15.75">
      <c r="A33" s="2">
        <v>24</v>
      </c>
      <c r="B33" s="209" t="s">
        <v>45</v>
      </c>
      <c r="C33" s="210" t="s">
        <v>70</v>
      </c>
      <c r="D33" s="215" t="s">
        <v>71</v>
      </c>
      <c r="E33" s="212">
        <f t="shared" si="2"/>
        <v>0</v>
      </c>
      <c r="F33" s="213">
        <f>COUNTIFS('2026 Time Off Request'!$A:$A,'Nov 2026'!$D33,'2026 Time Off Request'!$L:$L,'Nov 2026'!F$6)</f>
        <v>0</v>
      </c>
      <c r="G33" s="148">
        <f>COUNTIFS('2026 Time Off Request'!$A:$A,'Nov 2026'!$D33,'2026 Time Off Request'!$L:$L,'Nov 2026'!G$6)</f>
        <v>0</v>
      </c>
      <c r="H33" s="148">
        <f>COUNTIFS('2026 Time Off Request'!$A:$A,'Nov 2026'!$D33,'2026 Time Off Request'!$L:$L,'Nov 2026'!H$6)</f>
        <v>0</v>
      </c>
      <c r="I33" s="148">
        <f>COUNTIFS('2026 Time Off Request'!$A:$A,'Nov 2026'!$D33,'2026 Time Off Request'!$L:$L,'Nov 2026'!I$6)</f>
        <v>0</v>
      </c>
      <c r="J33" s="148">
        <f>COUNTIFS('2026 Time Off Request'!$A:$A,'Nov 2026'!$D33,'2026 Time Off Request'!$L:$L,'Nov 2026'!J$6)</f>
        <v>0</v>
      </c>
      <c r="K33" s="148">
        <f>COUNTIFS('2026 Time Off Request'!$A:$A,'Nov 2026'!$D33,'2026 Time Off Request'!$L:$L,'Nov 2026'!K$6)</f>
        <v>0</v>
      </c>
      <c r="L33" s="147">
        <f>COUNTIFS('2026 Time Off Request'!$A:$A,'Nov 2026'!$D33,'2026 Time Off Request'!$L:$L,'Nov 2026'!L$6)</f>
        <v>0</v>
      </c>
      <c r="M33" s="147">
        <f>COUNTIFS('2026 Time Off Request'!$A:$A,'Nov 2026'!$D33,'2026 Time Off Request'!$L:$L,'Nov 2026'!M$6)</f>
        <v>0</v>
      </c>
      <c r="N33" s="148">
        <f>COUNTIFS('2026 Time Off Request'!$A:$A,'Nov 2026'!$D33,'2026 Time Off Request'!$L:$L,'Nov 2026'!N$6)</f>
        <v>0</v>
      </c>
      <c r="O33" s="148">
        <f>COUNTIFS('2026 Time Off Request'!$A:$A,'Nov 2026'!$D33,'2026 Time Off Request'!$L:$L,'Nov 2026'!O$6)</f>
        <v>0</v>
      </c>
      <c r="P33" s="148">
        <f>COUNTIFS('2026 Time Off Request'!$A:$A,'Nov 2026'!$D33,'2026 Time Off Request'!$L:$L,'Nov 2026'!P$6)</f>
        <v>0</v>
      </c>
      <c r="Q33" s="148">
        <f>COUNTIFS('2026 Time Off Request'!$A:$A,'Nov 2026'!$D33,'2026 Time Off Request'!$L:$L,'Nov 2026'!Q$6)</f>
        <v>0</v>
      </c>
      <c r="R33" s="148">
        <f>COUNTIFS('2026 Time Off Request'!$A:$A,'Nov 2026'!$D33,'2026 Time Off Request'!$L:$L,'Nov 2026'!R$6)</f>
        <v>0</v>
      </c>
      <c r="S33" s="147">
        <f>COUNTIFS('2026 Time Off Request'!$A:$A,'Nov 2026'!$D33,'2026 Time Off Request'!$L:$L,'Nov 2026'!S$6)</f>
        <v>0</v>
      </c>
      <c r="T33" s="147">
        <f>COUNTIFS('2026 Time Off Request'!$A:$A,'Nov 2026'!$D33,'2026 Time Off Request'!$L:$L,'Nov 2026'!T$6)</f>
        <v>0</v>
      </c>
      <c r="U33" s="148">
        <f>COUNTIFS('2026 Time Off Request'!$A:$A,'Nov 2026'!$D33,'2026 Time Off Request'!$L:$L,'Nov 2026'!U$6)</f>
        <v>0</v>
      </c>
      <c r="V33" s="148">
        <f>COUNTIFS('2026 Time Off Request'!$A:$A,'Nov 2026'!$D33,'2026 Time Off Request'!$L:$L,'Nov 2026'!V$6)</f>
        <v>0</v>
      </c>
      <c r="W33" s="148">
        <f>COUNTIFS('2026 Time Off Request'!$A:$A,'Nov 2026'!$D33,'2026 Time Off Request'!$L:$L,'Nov 2026'!W$6)</f>
        <v>0</v>
      </c>
      <c r="X33" s="148">
        <f>COUNTIFS('2026 Time Off Request'!$A:$A,'Nov 2026'!$D33,'2026 Time Off Request'!$L:$L,'Nov 2026'!X$6)</f>
        <v>0</v>
      </c>
      <c r="Y33" s="148">
        <f>COUNTIFS('2026 Time Off Request'!$A:$A,'Nov 2026'!$D33,'2026 Time Off Request'!$L:$L,'Nov 2026'!Y$6)</f>
        <v>0</v>
      </c>
      <c r="Z33" s="147">
        <f>COUNTIFS('2026 Time Off Request'!$A:$A,'Nov 2026'!$D33,'2026 Time Off Request'!$L:$L,'Nov 2026'!Z$6)</f>
        <v>0</v>
      </c>
      <c r="AA33" s="147">
        <f>COUNTIFS('2026 Time Off Request'!$A:$A,'Nov 2026'!$D33,'2026 Time Off Request'!$L:$L,'Nov 2026'!AA$6)</f>
        <v>0</v>
      </c>
      <c r="AB33" s="148">
        <f>COUNTIFS('2026 Time Off Request'!$A:$A,'Nov 2026'!$D33,'2026 Time Off Request'!$L:$L,'Nov 2026'!AB$6)</f>
        <v>0</v>
      </c>
      <c r="AC33" s="148">
        <f>COUNTIFS('2026 Time Off Request'!$A:$A,'Nov 2026'!$D33,'2026 Time Off Request'!$L:$L,'Nov 2026'!AC$6)</f>
        <v>0</v>
      </c>
      <c r="AD33" s="148">
        <f>COUNTIFS('2026 Time Off Request'!$A:$A,'Nov 2026'!$D33,'2026 Time Off Request'!$L:$L,'Nov 2026'!AD$6)</f>
        <v>0</v>
      </c>
      <c r="AE33" s="148">
        <f>COUNTIFS('2026 Time Off Request'!$A:$A,'Nov 2026'!$D33,'2026 Time Off Request'!$L:$L,'Nov 2026'!AE$6)</f>
        <v>0</v>
      </c>
      <c r="AF33" s="148">
        <f>COUNTIFS('2026 Time Off Request'!$A:$A,'Nov 2026'!$D33,'2026 Time Off Request'!$L:$L,'Nov 2026'!AF$6)</f>
        <v>0</v>
      </c>
      <c r="AG33" s="147">
        <f>COUNTIFS('2026 Time Off Request'!$A:$A,'Nov 2026'!$D33,'2026 Time Off Request'!$L:$L,'Nov 2026'!AG$6)</f>
        <v>0</v>
      </c>
      <c r="AH33" s="147">
        <f>COUNTIFS('2026 Time Off Request'!$A:$A,'Nov 2026'!$D33,'2026 Time Off Request'!$L:$L,'Nov 2026'!AH$6)</f>
        <v>0</v>
      </c>
      <c r="AI33" s="148">
        <f>COUNTIFS('2026 Time Off Request'!$A:$A,'Nov 2026'!$D33,'2026 Time Off Request'!$L:$L,'Nov 2026'!AI$6)</f>
        <v>0</v>
      </c>
    </row>
    <row r="34" spans="1:35" ht="15.75">
      <c r="A34" s="2">
        <v>25</v>
      </c>
      <c r="B34" s="209" t="s">
        <v>45</v>
      </c>
      <c r="C34" s="210" t="s">
        <v>70</v>
      </c>
      <c r="D34" s="215" t="s">
        <v>72</v>
      </c>
      <c r="E34" s="212">
        <f t="shared" si="2"/>
        <v>0</v>
      </c>
      <c r="F34" s="213">
        <f>COUNTIFS('2026 Time Off Request'!$A:$A,'Nov 2026'!$D34,'2026 Time Off Request'!$L:$L,'Nov 2026'!F$6)</f>
        <v>0</v>
      </c>
      <c r="G34" s="148">
        <f>COUNTIFS('2026 Time Off Request'!$A:$A,'Nov 2026'!$D34,'2026 Time Off Request'!$L:$L,'Nov 2026'!G$6)</f>
        <v>0</v>
      </c>
      <c r="H34" s="148">
        <f>COUNTIFS('2026 Time Off Request'!$A:$A,'Nov 2026'!$D34,'2026 Time Off Request'!$L:$L,'Nov 2026'!H$6)</f>
        <v>0</v>
      </c>
      <c r="I34" s="148">
        <f>COUNTIFS('2026 Time Off Request'!$A:$A,'Nov 2026'!$D34,'2026 Time Off Request'!$L:$L,'Nov 2026'!I$6)</f>
        <v>0</v>
      </c>
      <c r="J34" s="148">
        <f>COUNTIFS('2026 Time Off Request'!$A:$A,'Nov 2026'!$D34,'2026 Time Off Request'!$L:$L,'Nov 2026'!J$6)</f>
        <v>0</v>
      </c>
      <c r="K34" s="148">
        <f>COUNTIFS('2026 Time Off Request'!$A:$A,'Nov 2026'!$D34,'2026 Time Off Request'!$L:$L,'Nov 2026'!K$6)</f>
        <v>0</v>
      </c>
      <c r="L34" s="147">
        <f>COUNTIFS('2026 Time Off Request'!$A:$A,'Nov 2026'!$D34,'2026 Time Off Request'!$L:$L,'Nov 2026'!L$6)</f>
        <v>0</v>
      </c>
      <c r="M34" s="147">
        <f>COUNTIFS('2026 Time Off Request'!$A:$A,'Nov 2026'!$D34,'2026 Time Off Request'!$L:$L,'Nov 2026'!M$6)</f>
        <v>0</v>
      </c>
      <c r="N34" s="148">
        <f>COUNTIFS('2026 Time Off Request'!$A:$A,'Nov 2026'!$D34,'2026 Time Off Request'!$L:$L,'Nov 2026'!N$6)</f>
        <v>0</v>
      </c>
      <c r="O34" s="148">
        <f>COUNTIFS('2026 Time Off Request'!$A:$A,'Nov 2026'!$D34,'2026 Time Off Request'!$L:$L,'Nov 2026'!O$6)</f>
        <v>0</v>
      </c>
      <c r="P34" s="148">
        <f>COUNTIFS('2026 Time Off Request'!$A:$A,'Nov 2026'!$D34,'2026 Time Off Request'!$L:$L,'Nov 2026'!P$6)</f>
        <v>0</v>
      </c>
      <c r="Q34" s="148">
        <f>COUNTIFS('2026 Time Off Request'!$A:$A,'Nov 2026'!$D34,'2026 Time Off Request'!$L:$L,'Nov 2026'!Q$6)</f>
        <v>0</v>
      </c>
      <c r="R34" s="148">
        <f>COUNTIFS('2026 Time Off Request'!$A:$A,'Nov 2026'!$D34,'2026 Time Off Request'!$L:$L,'Nov 2026'!R$6)</f>
        <v>0</v>
      </c>
      <c r="S34" s="147">
        <f>COUNTIFS('2026 Time Off Request'!$A:$A,'Nov 2026'!$D34,'2026 Time Off Request'!$L:$L,'Nov 2026'!S$6)</f>
        <v>0</v>
      </c>
      <c r="T34" s="147">
        <f>COUNTIFS('2026 Time Off Request'!$A:$A,'Nov 2026'!$D34,'2026 Time Off Request'!$L:$L,'Nov 2026'!T$6)</f>
        <v>0</v>
      </c>
      <c r="U34" s="148">
        <f>COUNTIFS('2026 Time Off Request'!$A:$A,'Nov 2026'!$D34,'2026 Time Off Request'!$L:$L,'Nov 2026'!U$6)</f>
        <v>0</v>
      </c>
      <c r="V34" s="148">
        <f>COUNTIFS('2026 Time Off Request'!$A:$A,'Nov 2026'!$D34,'2026 Time Off Request'!$L:$L,'Nov 2026'!V$6)</f>
        <v>0</v>
      </c>
      <c r="W34" s="148">
        <f>COUNTIFS('2026 Time Off Request'!$A:$A,'Nov 2026'!$D34,'2026 Time Off Request'!$L:$L,'Nov 2026'!W$6)</f>
        <v>0</v>
      </c>
      <c r="X34" s="148">
        <f>COUNTIFS('2026 Time Off Request'!$A:$A,'Nov 2026'!$D34,'2026 Time Off Request'!$L:$L,'Nov 2026'!X$6)</f>
        <v>0</v>
      </c>
      <c r="Y34" s="148">
        <f>COUNTIFS('2026 Time Off Request'!$A:$A,'Nov 2026'!$D34,'2026 Time Off Request'!$L:$L,'Nov 2026'!Y$6)</f>
        <v>0</v>
      </c>
      <c r="Z34" s="147">
        <f>COUNTIFS('2026 Time Off Request'!$A:$A,'Nov 2026'!$D34,'2026 Time Off Request'!$L:$L,'Nov 2026'!Z$6)</f>
        <v>0</v>
      </c>
      <c r="AA34" s="147">
        <f>COUNTIFS('2026 Time Off Request'!$A:$A,'Nov 2026'!$D34,'2026 Time Off Request'!$L:$L,'Nov 2026'!AA$6)</f>
        <v>0</v>
      </c>
      <c r="AB34" s="148">
        <f>COUNTIFS('2026 Time Off Request'!$A:$A,'Nov 2026'!$D34,'2026 Time Off Request'!$L:$L,'Nov 2026'!AB$6)</f>
        <v>0</v>
      </c>
      <c r="AC34" s="148">
        <f>COUNTIFS('2026 Time Off Request'!$A:$A,'Nov 2026'!$D34,'2026 Time Off Request'!$L:$L,'Nov 2026'!AC$6)</f>
        <v>0</v>
      </c>
      <c r="AD34" s="148">
        <f>COUNTIFS('2026 Time Off Request'!$A:$A,'Nov 2026'!$D34,'2026 Time Off Request'!$L:$L,'Nov 2026'!AD$6)</f>
        <v>0</v>
      </c>
      <c r="AE34" s="148">
        <f>COUNTIFS('2026 Time Off Request'!$A:$A,'Nov 2026'!$D34,'2026 Time Off Request'!$L:$L,'Nov 2026'!AE$6)</f>
        <v>0</v>
      </c>
      <c r="AF34" s="148">
        <f>COUNTIFS('2026 Time Off Request'!$A:$A,'Nov 2026'!$D34,'2026 Time Off Request'!$L:$L,'Nov 2026'!AF$6)</f>
        <v>0</v>
      </c>
      <c r="AG34" s="147">
        <f>COUNTIFS('2026 Time Off Request'!$A:$A,'Nov 2026'!$D34,'2026 Time Off Request'!$L:$L,'Nov 2026'!AG$6)</f>
        <v>0</v>
      </c>
      <c r="AH34" s="147">
        <f>COUNTIFS('2026 Time Off Request'!$A:$A,'Nov 2026'!$D34,'2026 Time Off Request'!$L:$L,'Nov 2026'!AH$6)</f>
        <v>0</v>
      </c>
      <c r="AI34" s="148">
        <f>COUNTIFS('2026 Time Off Request'!$A:$A,'Nov 2026'!$D34,'2026 Time Off Request'!$L:$L,'Nov 2026'!AI$6)</f>
        <v>0</v>
      </c>
    </row>
    <row r="35" spans="1:35" ht="15.75">
      <c r="A35" s="2">
        <v>26</v>
      </c>
      <c r="B35" s="209" t="s">
        <v>45</v>
      </c>
      <c r="C35" s="210" t="s">
        <v>73</v>
      </c>
      <c r="D35" s="215" t="s">
        <v>74</v>
      </c>
      <c r="E35" s="212">
        <f t="shared" ref="E35" si="4">SUM(F35:AI35)</f>
        <v>0</v>
      </c>
      <c r="F35" s="213">
        <f>COUNTIFS('2026 Time Off Request'!$A:$A,'Nov 2026'!$D35,'2026 Time Off Request'!$L:$L,'Nov 2026'!F$6)</f>
        <v>0</v>
      </c>
      <c r="G35" s="148">
        <f>COUNTIFS('2026 Time Off Request'!$A:$A,'Nov 2026'!$D35,'2026 Time Off Request'!$L:$L,'Nov 2026'!G$6)</f>
        <v>0</v>
      </c>
      <c r="H35" s="148">
        <f>COUNTIFS('2026 Time Off Request'!$A:$A,'Nov 2026'!$D35,'2026 Time Off Request'!$L:$L,'Nov 2026'!H$6)</f>
        <v>0</v>
      </c>
      <c r="I35" s="148">
        <f>COUNTIFS('2026 Time Off Request'!$A:$A,'Nov 2026'!$D35,'2026 Time Off Request'!$L:$L,'Nov 2026'!I$6)</f>
        <v>0</v>
      </c>
      <c r="J35" s="148">
        <f>COUNTIFS('2026 Time Off Request'!$A:$A,'Nov 2026'!$D35,'2026 Time Off Request'!$L:$L,'Nov 2026'!J$6)</f>
        <v>0</v>
      </c>
      <c r="K35" s="148">
        <f>COUNTIFS('2026 Time Off Request'!$A:$A,'Nov 2026'!$D35,'2026 Time Off Request'!$L:$L,'Nov 2026'!K$6)</f>
        <v>0</v>
      </c>
      <c r="L35" s="147">
        <f>COUNTIFS('2026 Time Off Request'!$A:$A,'Nov 2026'!$D35,'2026 Time Off Request'!$L:$L,'Nov 2026'!L$6)</f>
        <v>0</v>
      </c>
      <c r="M35" s="147">
        <f>COUNTIFS('2026 Time Off Request'!$A:$A,'Nov 2026'!$D35,'2026 Time Off Request'!$L:$L,'Nov 2026'!M$6)</f>
        <v>0</v>
      </c>
      <c r="N35" s="148">
        <f>COUNTIFS('2026 Time Off Request'!$A:$A,'Nov 2026'!$D35,'2026 Time Off Request'!$L:$L,'Nov 2026'!N$6)</f>
        <v>0</v>
      </c>
      <c r="O35" s="148">
        <f>COUNTIFS('2026 Time Off Request'!$A:$A,'Nov 2026'!$D35,'2026 Time Off Request'!$L:$L,'Nov 2026'!O$6)</f>
        <v>0</v>
      </c>
      <c r="P35" s="148">
        <f>COUNTIFS('2026 Time Off Request'!$A:$A,'Nov 2026'!$D35,'2026 Time Off Request'!$L:$L,'Nov 2026'!P$6)</f>
        <v>0</v>
      </c>
      <c r="Q35" s="148">
        <f>COUNTIFS('2026 Time Off Request'!$A:$A,'Nov 2026'!$D35,'2026 Time Off Request'!$L:$L,'Nov 2026'!Q$6)</f>
        <v>0</v>
      </c>
      <c r="R35" s="148">
        <f>COUNTIFS('2026 Time Off Request'!$A:$A,'Nov 2026'!$D35,'2026 Time Off Request'!$L:$L,'Nov 2026'!R$6)</f>
        <v>0</v>
      </c>
      <c r="S35" s="147">
        <f>COUNTIFS('2026 Time Off Request'!$A:$A,'Nov 2026'!$D35,'2026 Time Off Request'!$L:$L,'Nov 2026'!S$6)</f>
        <v>0</v>
      </c>
      <c r="T35" s="147">
        <f>COUNTIFS('2026 Time Off Request'!$A:$A,'Nov 2026'!$D35,'2026 Time Off Request'!$L:$L,'Nov 2026'!T$6)</f>
        <v>0</v>
      </c>
      <c r="U35" s="148">
        <f>COUNTIFS('2026 Time Off Request'!$A:$A,'Nov 2026'!$D35,'2026 Time Off Request'!$L:$L,'Nov 2026'!U$6)</f>
        <v>0</v>
      </c>
      <c r="V35" s="148">
        <f>COUNTIFS('2026 Time Off Request'!$A:$A,'Nov 2026'!$D35,'2026 Time Off Request'!$L:$L,'Nov 2026'!V$6)</f>
        <v>0</v>
      </c>
      <c r="W35" s="148">
        <f>COUNTIFS('2026 Time Off Request'!$A:$A,'Nov 2026'!$D35,'2026 Time Off Request'!$L:$L,'Nov 2026'!W$6)</f>
        <v>0</v>
      </c>
      <c r="X35" s="148">
        <f>COUNTIFS('2026 Time Off Request'!$A:$A,'Nov 2026'!$D35,'2026 Time Off Request'!$L:$L,'Nov 2026'!X$6)</f>
        <v>0</v>
      </c>
      <c r="Y35" s="148">
        <f>COUNTIFS('2026 Time Off Request'!$A:$A,'Nov 2026'!$D35,'2026 Time Off Request'!$L:$L,'Nov 2026'!Y$6)</f>
        <v>0</v>
      </c>
      <c r="Z35" s="147">
        <f>COUNTIFS('2026 Time Off Request'!$A:$A,'Nov 2026'!$D35,'2026 Time Off Request'!$L:$L,'Nov 2026'!Z$6)</f>
        <v>0</v>
      </c>
      <c r="AA35" s="147">
        <f>COUNTIFS('2026 Time Off Request'!$A:$A,'Nov 2026'!$D35,'2026 Time Off Request'!$L:$L,'Nov 2026'!AA$6)</f>
        <v>0</v>
      </c>
      <c r="AB35" s="148">
        <f>COUNTIFS('2026 Time Off Request'!$A:$A,'Nov 2026'!$D35,'2026 Time Off Request'!$L:$L,'Nov 2026'!AB$6)</f>
        <v>0</v>
      </c>
      <c r="AC35" s="148">
        <f>COUNTIFS('2026 Time Off Request'!$A:$A,'Nov 2026'!$D35,'2026 Time Off Request'!$L:$L,'Nov 2026'!AC$6)</f>
        <v>0</v>
      </c>
      <c r="AD35" s="148">
        <f>COUNTIFS('2026 Time Off Request'!$A:$A,'Nov 2026'!$D35,'2026 Time Off Request'!$L:$L,'Nov 2026'!AD$6)</f>
        <v>0</v>
      </c>
      <c r="AE35" s="148">
        <f>COUNTIFS('2026 Time Off Request'!$A:$A,'Nov 2026'!$D35,'2026 Time Off Request'!$L:$L,'Nov 2026'!AE$6)</f>
        <v>0</v>
      </c>
      <c r="AF35" s="148">
        <f>COUNTIFS('2026 Time Off Request'!$A:$A,'Nov 2026'!$D35,'2026 Time Off Request'!$L:$L,'Nov 2026'!AF$6)</f>
        <v>0</v>
      </c>
      <c r="AG35" s="147">
        <f>COUNTIFS('2026 Time Off Request'!$A:$A,'Nov 2026'!$D35,'2026 Time Off Request'!$L:$L,'Nov 2026'!AG$6)</f>
        <v>0</v>
      </c>
      <c r="AH35" s="147">
        <f>COUNTIFS('2026 Time Off Request'!$A:$A,'Nov 2026'!$D35,'2026 Time Off Request'!$L:$L,'Nov 2026'!AH$6)</f>
        <v>0</v>
      </c>
      <c r="AI35" s="148">
        <f>COUNTIFS('2026 Time Off Request'!$A:$A,'Nov 2026'!$D35,'2026 Time Off Request'!$L:$L,'Nov 2026'!AI$6)</f>
        <v>0</v>
      </c>
    </row>
    <row r="36" spans="1:35" ht="15.75">
      <c r="A36" s="2">
        <v>27</v>
      </c>
      <c r="B36" s="209" t="s">
        <v>49</v>
      </c>
      <c r="C36" s="210" t="s">
        <v>75</v>
      </c>
      <c r="D36" s="215" t="s">
        <v>76</v>
      </c>
      <c r="E36" s="212">
        <f t="shared" si="2"/>
        <v>0</v>
      </c>
      <c r="F36" s="213">
        <f>COUNTIFS('2026 Time Off Request'!$A:$A,'Nov 2026'!$D36,'2026 Time Off Request'!$L:$L,'Nov 2026'!F$6)</f>
        <v>0</v>
      </c>
      <c r="G36" s="148">
        <f>COUNTIFS('2026 Time Off Request'!$A:$A,'Nov 2026'!$D36,'2026 Time Off Request'!$L:$L,'Nov 2026'!G$6)</f>
        <v>0</v>
      </c>
      <c r="H36" s="148">
        <f>COUNTIFS('2026 Time Off Request'!$A:$A,'Nov 2026'!$D36,'2026 Time Off Request'!$L:$L,'Nov 2026'!H$6)</f>
        <v>0</v>
      </c>
      <c r="I36" s="148">
        <f>COUNTIFS('2026 Time Off Request'!$A:$A,'Nov 2026'!$D36,'2026 Time Off Request'!$L:$L,'Nov 2026'!I$6)</f>
        <v>0</v>
      </c>
      <c r="J36" s="148">
        <f>COUNTIFS('2026 Time Off Request'!$A:$A,'Nov 2026'!$D36,'2026 Time Off Request'!$L:$L,'Nov 2026'!J$6)</f>
        <v>0</v>
      </c>
      <c r="K36" s="148">
        <f>COUNTIFS('2026 Time Off Request'!$A:$A,'Nov 2026'!$D36,'2026 Time Off Request'!$L:$L,'Nov 2026'!K$6)</f>
        <v>0</v>
      </c>
      <c r="L36" s="147">
        <f>COUNTIFS('2026 Time Off Request'!$A:$A,'Nov 2026'!$D36,'2026 Time Off Request'!$L:$L,'Nov 2026'!L$6)</f>
        <v>0</v>
      </c>
      <c r="M36" s="147">
        <f>COUNTIFS('2026 Time Off Request'!$A:$A,'Nov 2026'!$D36,'2026 Time Off Request'!$L:$L,'Nov 2026'!M$6)</f>
        <v>0</v>
      </c>
      <c r="N36" s="148">
        <f>COUNTIFS('2026 Time Off Request'!$A:$A,'Nov 2026'!$D36,'2026 Time Off Request'!$L:$L,'Nov 2026'!N$6)</f>
        <v>0</v>
      </c>
      <c r="O36" s="148">
        <f>COUNTIFS('2026 Time Off Request'!$A:$A,'Nov 2026'!$D36,'2026 Time Off Request'!$L:$L,'Nov 2026'!O$6)</f>
        <v>0</v>
      </c>
      <c r="P36" s="148">
        <f>COUNTIFS('2026 Time Off Request'!$A:$A,'Nov 2026'!$D36,'2026 Time Off Request'!$L:$L,'Nov 2026'!P$6)</f>
        <v>0</v>
      </c>
      <c r="Q36" s="148">
        <f>COUNTIFS('2026 Time Off Request'!$A:$A,'Nov 2026'!$D36,'2026 Time Off Request'!$L:$L,'Nov 2026'!Q$6)</f>
        <v>0</v>
      </c>
      <c r="R36" s="148">
        <f>COUNTIFS('2026 Time Off Request'!$A:$A,'Nov 2026'!$D36,'2026 Time Off Request'!$L:$L,'Nov 2026'!R$6)</f>
        <v>0</v>
      </c>
      <c r="S36" s="147">
        <f>COUNTIFS('2026 Time Off Request'!$A:$A,'Nov 2026'!$D36,'2026 Time Off Request'!$L:$L,'Nov 2026'!S$6)</f>
        <v>0</v>
      </c>
      <c r="T36" s="147">
        <f>COUNTIFS('2026 Time Off Request'!$A:$A,'Nov 2026'!$D36,'2026 Time Off Request'!$L:$L,'Nov 2026'!T$6)</f>
        <v>0</v>
      </c>
      <c r="U36" s="148">
        <f>COUNTIFS('2026 Time Off Request'!$A:$A,'Nov 2026'!$D36,'2026 Time Off Request'!$L:$L,'Nov 2026'!U$6)</f>
        <v>0</v>
      </c>
      <c r="V36" s="148">
        <f>COUNTIFS('2026 Time Off Request'!$A:$A,'Nov 2026'!$D36,'2026 Time Off Request'!$L:$L,'Nov 2026'!V$6)</f>
        <v>0</v>
      </c>
      <c r="W36" s="148">
        <f>COUNTIFS('2026 Time Off Request'!$A:$A,'Nov 2026'!$D36,'2026 Time Off Request'!$L:$L,'Nov 2026'!W$6)</f>
        <v>0</v>
      </c>
      <c r="X36" s="148">
        <f>COUNTIFS('2026 Time Off Request'!$A:$A,'Nov 2026'!$D36,'2026 Time Off Request'!$L:$L,'Nov 2026'!X$6)</f>
        <v>0</v>
      </c>
      <c r="Y36" s="148">
        <f>COUNTIFS('2026 Time Off Request'!$A:$A,'Nov 2026'!$D36,'2026 Time Off Request'!$L:$L,'Nov 2026'!Y$6)</f>
        <v>0</v>
      </c>
      <c r="Z36" s="147">
        <f>COUNTIFS('2026 Time Off Request'!$A:$A,'Nov 2026'!$D36,'2026 Time Off Request'!$L:$L,'Nov 2026'!Z$6)</f>
        <v>0</v>
      </c>
      <c r="AA36" s="147">
        <f>COUNTIFS('2026 Time Off Request'!$A:$A,'Nov 2026'!$D36,'2026 Time Off Request'!$L:$L,'Nov 2026'!AA$6)</f>
        <v>0</v>
      </c>
      <c r="AB36" s="148">
        <f>COUNTIFS('2026 Time Off Request'!$A:$A,'Nov 2026'!$D36,'2026 Time Off Request'!$L:$L,'Nov 2026'!AB$6)</f>
        <v>0</v>
      </c>
      <c r="AC36" s="148">
        <f>COUNTIFS('2026 Time Off Request'!$A:$A,'Nov 2026'!$D36,'2026 Time Off Request'!$L:$L,'Nov 2026'!AC$6)</f>
        <v>0</v>
      </c>
      <c r="AD36" s="148">
        <f>COUNTIFS('2026 Time Off Request'!$A:$A,'Nov 2026'!$D36,'2026 Time Off Request'!$L:$L,'Nov 2026'!AD$6)</f>
        <v>0</v>
      </c>
      <c r="AE36" s="148">
        <f>COUNTIFS('2026 Time Off Request'!$A:$A,'Nov 2026'!$D36,'2026 Time Off Request'!$L:$L,'Nov 2026'!AE$6)</f>
        <v>0</v>
      </c>
      <c r="AF36" s="148">
        <f>COUNTIFS('2026 Time Off Request'!$A:$A,'Nov 2026'!$D36,'2026 Time Off Request'!$L:$L,'Nov 2026'!AF$6)</f>
        <v>0</v>
      </c>
      <c r="AG36" s="147">
        <f>COUNTIFS('2026 Time Off Request'!$A:$A,'Nov 2026'!$D36,'2026 Time Off Request'!$L:$L,'Nov 2026'!AG$6)</f>
        <v>0</v>
      </c>
      <c r="AH36" s="147">
        <f>COUNTIFS('2026 Time Off Request'!$A:$A,'Nov 2026'!$D36,'2026 Time Off Request'!$L:$L,'Nov 2026'!AH$6)</f>
        <v>0</v>
      </c>
      <c r="AI36" s="148">
        <f>COUNTIFS('2026 Time Off Request'!$A:$A,'Nov 2026'!$D36,'2026 Time Off Request'!$L:$L,'Nov 2026'!AI$6)</f>
        <v>0</v>
      </c>
    </row>
    <row r="37" spans="1:35" ht="15.75">
      <c r="A37" s="2">
        <v>28</v>
      </c>
      <c r="B37" s="209" t="s">
        <v>45</v>
      </c>
      <c r="C37" s="210" t="s">
        <v>77</v>
      </c>
      <c r="D37" s="215" t="s">
        <v>78</v>
      </c>
      <c r="E37" s="212">
        <f t="shared" si="2"/>
        <v>0</v>
      </c>
      <c r="F37" s="213">
        <f>COUNTIFS('2026 Time Off Request'!$A:$A,'Nov 2026'!$D37,'2026 Time Off Request'!$L:$L,'Nov 2026'!F$6)</f>
        <v>0</v>
      </c>
      <c r="G37" s="148">
        <f>COUNTIFS('2026 Time Off Request'!$A:$A,'Nov 2026'!$D37,'2026 Time Off Request'!$L:$L,'Nov 2026'!G$6)</f>
        <v>0</v>
      </c>
      <c r="H37" s="148">
        <f>COUNTIFS('2026 Time Off Request'!$A:$A,'Nov 2026'!$D37,'2026 Time Off Request'!$L:$L,'Nov 2026'!H$6)</f>
        <v>0</v>
      </c>
      <c r="I37" s="148">
        <f>COUNTIFS('2026 Time Off Request'!$A:$A,'Nov 2026'!$D37,'2026 Time Off Request'!$L:$L,'Nov 2026'!I$6)</f>
        <v>0</v>
      </c>
      <c r="J37" s="148">
        <f>COUNTIFS('2026 Time Off Request'!$A:$A,'Nov 2026'!$D37,'2026 Time Off Request'!$L:$L,'Nov 2026'!J$6)</f>
        <v>0</v>
      </c>
      <c r="K37" s="148">
        <f>COUNTIFS('2026 Time Off Request'!$A:$A,'Nov 2026'!$D37,'2026 Time Off Request'!$L:$L,'Nov 2026'!K$6)</f>
        <v>0</v>
      </c>
      <c r="L37" s="147">
        <f>COUNTIFS('2026 Time Off Request'!$A:$A,'Nov 2026'!$D37,'2026 Time Off Request'!$L:$L,'Nov 2026'!L$6)</f>
        <v>0</v>
      </c>
      <c r="M37" s="147">
        <f>COUNTIFS('2026 Time Off Request'!$A:$A,'Nov 2026'!$D37,'2026 Time Off Request'!$L:$L,'Nov 2026'!M$6)</f>
        <v>0</v>
      </c>
      <c r="N37" s="148">
        <f>COUNTIFS('2026 Time Off Request'!$A:$A,'Nov 2026'!$D37,'2026 Time Off Request'!$L:$L,'Nov 2026'!N$6)</f>
        <v>0</v>
      </c>
      <c r="O37" s="148">
        <f>COUNTIFS('2026 Time Off Request'!$A:$A,'Nov 2026'!$D37,'2026 Time Off Request'!$L:$L,'Nov 2026'!O$6)</f>
        <v>0</v>
      </c>
      <c r="P37" s="148">
        <f>COUNTIFS('2026 Time Off Request'!$A:$A,'Nov 2026'!$D37,'2026 Time Off Request'!$L:$L,'Nov 2026'!P$6)</f>
        <v>0</v>
      </c>
      <c r="Q37" s="148">
        <f>COUNTIFS('2026 Time Off Request'!$A:$A,'Nov 2026'!$D37,'2026 Time Off Request'!$L:$L,'Nov 2026'!Q$6)</f>
        <v>0</v>
      </c>
      <c r="R37" s="148">
        <f>COUNTIFS('2026 Time Off Request'!$A:$A,'Nov 2026'!$D37,'2026 Time Off Request'!$L:$L,'Nov 2026'!R$6)</f>
        <v>0</v>
      </c>
      <c r="S37" s="147">
        <f>COUNTIFS('2026 Time Off Request'!$A:$A,'Nov 2026'!$D37,'2026 Time Off Request'!$L:$L,'Nov 2026'!S$6)</f>
        <v>0</v>
      </c>
      <c r="T37" s="147">
        <f>COUNTIFS('2026 Time Off Request'!$A:$A,'Nov 2026'!$D37,'2026 Time Off Request'!$L:$L,'Nov 2026'!T$6)</f>
        <v>0</v>
      </c>
      <c r="U37" s="148">
        <f>COUNTIFS('2026 Time Off Request'!$A:$A,'Nov 2026'!$D37,'2026 Time Off Request'!$L:$L,'Nov 2026'!U$6)</f>
        <v>0</v>
      </c>
      <c r="V37" s="148">
        <f>COUNTIFS('2026 Time Off Request'!$A:$A,'Nov 2026'!$D37,'2026 Time Off Request'!$L:$L,'Nov 2026'!V$6)</f>
        <v>0</v>
      </c>
      <c r="W37" s="148">
        <f>COUNTIFS('2026 Time Off Request'!$A:$A,'Nov 2026'!$D37,'2026 Time Off Request'!$L:$L,'Nov 2026'!W$6)</f>
        <v>0</v>
      </c>
      <c r="X37" s="148">
        <f>COUNTIFS('2026 Time Off Request'!$A:$A,'Nov 2026'!$D37,'2026 Time Off Request'!$L:$L,'Nov 2026'!X$6)</f>
        <v>0</v>
      </c>
      <c r="Y37" s="148">
        <f>COUNTIFS('2026 Time Off Request'!$A:$A,'Nov 2026'!$D37,'2026 Time Off Request'!$L:$L,'Nov 2026'!Y$6)</f>
        <v>0</v>
      </c>
      <c r="Z37" s="147">
        <f>COUNTIFS('2026 Time Off Request'!$A:$A,'Nov 2026'!$D37,'2026 Time Off Request'!$L:$L,'Nov 2026'!Z$6)</f>
        <v>0</v>
      </c>
      <c r="AA37" s="147">
        <f>COUNTIFS('2026 Time Off Request'!$A:$A,'Nov 2026'!$D37,'2026 Time Off Request'!$L:$L,'Nov 2026'!AA$6)</f>
        <v>0</v>
      </c>
      <c r="AB37" s="148">
        <f>COUNTIFS('2026 Time Off Request'!$A:$A,'Nov 2026'!$D37,'2026 Time Off Request'!$L:$L,'Nov 2026'!AB$6)</f>
        <v>0</v>
      </c>
      <c r="AC37" s="148">
        <f>COUNTIFS('2026 Time Off Request'!$A:$A,'Nov 2026'!$D37,'2026 Time Off Request'!$L:$L,'Nov 2026'!AC$6)</f>
        <v>0</v>
      </c>
      <c r="AD37" s="148">
        <f>COUNTIFS('2026 Time Off Request'!$A:$A,'Nov 2026'!$D37,'2026 Time Off Request'!$L:$L,'Nov 2026'!AD$6)</f>
        <v>0</v>
      </c>
      <c r="AE37" s="148">
        <f>COUNTIFS('2026 Time Off Request'!$A:$A,'Nov 2026'!$D37,'2026 Time Off Request'!$L:$L,'Nov 2026'!AE$6)</f>
        <v>0</v>
      </c>
      <c r="AF37" s="148">
        <f>COUNTIFS('2026 Time Off Request'!$A:$A,'Nov 2026'!$D37,'2026 Time Off Request'!$L:$L,'Nov 2026'!AF$6)</f>
        <v>0</v>
      </c>
      <c r="AG37" s="147">
        <f>COUNTIFS('2026 Time Off Request'!$A:$A,'Nov 2026'!$D37,'2026 Time Off Request'!$L:$L,'Nov 2026'!AG$6)</f>
        <v>0</v>
      </c>
      <c r="AH37" s="147">
        <f>COUNTIFS('2026 Time Off Request'!$A:$A,'Nov 2026'!$D37,'2026 Time Off Request'!$L:$L,'Nov 2026'!AH$6)</f>
        <v>0</v>
      </c>
      <c r="AI37" s="148">
        <f>COUNTIFS('2026 Time Off Request'!$A:$A,'Nov 2026'!$D37,'2026 Time Off Request'!$L:$L,'Nov 2026'!AI$6)</f>
        <v>0</v>
      </c>
    </row>
    <row r="38" spans="1:35" ht="15.75">
      <c r="A38" s="2">
        <v>29</v>
      </c>
      <c r="B38" s="209" t="s">
        <v>45</v>
      </c>
      <c r="C38" s="210" t="s">
        <v>77</v>
      </c>
      <c r="D38" s="215" t="s">
        <v>79</v>
      </c>
      <c r="E38" s="212">
        <f t="shared" si="2"/>
        <v>0</v>
      </c>
      <c r="F38" s="213">
        <f>COUNTIFS('2026 Time Off Request'!$A:$A,'Nov 2026'!$D38,'2026 Time Off Request'!$L:$L,'Nov 2026'!F$6)</f>
        <v>0</v>
      </c>
      <c r="G38" s="148">
        <f>COUNTIFS('2026 Time Off Request'!$A:$A,'Nov 2026'!$D38,'2026 Time Off Request'!$L:$L,'Nov 2026'!G$6)</f>
        <v>0</v>
      </c>
      <c r="H38" s="148">
        <f>COUNTIFS('2026 Time Off Request'!$A:$A,'Nov 2026'!$D38,'2026 Time Off Request'!$L:$L,'Nov 2026'!H$6)</f>
        <v>0</v>
      </c>
      <c r="I38" s="148">
        <f>COUNTIFS('2026 Time Off Request'!$A:$A,'Nov 2026'!$D38,'2026 Time Off Request'!$L:$L,'Nov 2026'!I$6)</f>
        <v>0</v>
      </c>
      <c r="J38" s="148">
        <f>COUNTIFS('2026 Time Off Request'!$A:$A,'Nov 2026'!$D38,'2026 Time Off Request'!$L:$L,'Nov 2026'!J$6)</f>
        <v>0</v>
      </c>
      <c r="K38" s="148">
        <f>COUNTIFS('2026 Time Off Request'!$A:$A,'Nov 2026'!$D38,'2026 Time Off Request'!$L:$L,'Nov 2026'!K$6)</f>
        <v>0</v>
      </c>
      <c r="L38" s="147">
        <f>COUNTIFS('2026 Time Off Request'!$A:$A,'Nov 2026'!$D38,'2026 Time Off Request'!$L:$L,'Nov 2026'!L$6)</f>
        <v>0</v>
      </c>
      <c r="M38" s="147">
        <f>COUNTIFS('2026 Time Off Request'!$A:$A,'Nov 2026'!$D38,'2026 Time Off Request'!$L:$L,'Nov 2026'!M$6)</f>
        <v>0</v>
      </c>
      <c r="N38" s="148">
        <f>COUNTIFS('2026 Time Off Request'!$A:$A,'Nov 2026'!$D38,'2026 Time Off Request'!$L:$L,'Nov 2026'!N$6)</f>
        <v>0</v>
      </c>
      <c r="O38" s="148">
        <f>COUNTIFS('2026 Time Off Request'!$A:$A,'Nov 2026'!$D38,'2026 Time Off Request'!$L:$L,'Nov 2026'!O$6)</f>
        <v>0</v>
      </c>
      <c r="P38" s="148">
        <f>COUNTIFS('2026 Time Off Request'!$A:$A,'Nov 2026'!$D38,'2026 Time Off Request'!$L:$L,'Nov 2026'!P$6)</f>
        <v>0</v>
      </c>
      <c r="Q38" s="148">
        <f>COUNTIFS('2026 Time Off Request'!$A:$A,'Nov 2026'!$D38,'2026 Time Off Request'!$L:$L,'Nov 2026'!Q$6)</f>
        <v>0</v>
      </c>
      <c r="R38" s="148">
        <f>COUNTIFS('2026 Time Off Request'!$A:$A,'Nov 2026'!$D38,'2026 Time Off Request'!$L:$L,'Nov 2026'!R$6)</f>
        <v>0</v>
      </c>
      <c r="S38" s="147">
        <f>COUNTIFS('2026 Time Off Request'!$A:$A,'Nov 2026'!$D38,'2026 Time Off Request'!$L:$L,'Nov 2026'!S$6)</f>
        <v>0</v>
      </c>
      <c r="T38" s="147">
        <f>COUNTIFS('2026 Time Off Request'!$A:$A,'Nov 2026'!$D38,'2026 Time Off Request'!$L:$L,'Nov 2026'!T$6)</f>
        <v>0</v>
      </c>
      <c r="U38" s="148">
        <f>COUNTIFS('2026 Time Off Request'!$A:$A,'Nov 2026'!$D38,'2026 Time Off Request'!$L:$L,'Nov 2026'!U$6)</f>
        <v>0</v>
      </c>
      <c r="V38" s="148">
        <f>COUNTIFS('2026 Time Off Request'!$A:$A,'Nov 2026'!$D38,'2026 Time Off Request'!$L:$L,'Nov 2026'!V$6)</f>
        <v>0</v>
      </c>
      <c r="W38" s="148">
        <f>COUNTIFS('2026 Time Off Request'!$A:$A,'Nov 2026'!$D38,'2026 Time Off Request'!$L:$L,'Nov 2026'!W$6)</f>
        <v>0</v>
      </c>
      <c r="X38" s="148">
        <f>COUNTIFS('2026 Time Off Request'!$A:$A,'Nov 2026'!$D38,'2026 Time Off Request'!$L:$L,'Nov 2026'!X$6)</f>
        <v>0</v>
      </c>
      <c r="Y38" s="148">
        <f>COUNTIFS('2026 Time Off Request'!$A:$A,'Nov 2026'!$D38,'2026 Time Off Request'!$L:$L,'Nov 2026'!Y$6)</f>
        <v>0</v>
      </c>
      <c r="Z38" s="147">
        <f>COUNTIFS('2026 Time Off Request'!$A:$A,'Nov 2026'!$D38,'2026 Time Off Request'!$L:$L,'Nov 2026'!Z$6)</f>
        <v>0</v>
      </c>
      <c r="AA38" s="147">
        <f>COUNTIFS('2026 Time Off Request'!$A:$A,'Nov 2026'!$D38,'2026 Time Off Request'!$L:$L,'Nov 2026'!AA$6)</f>
        <v>0</v>
      </c>
      <c r="AB38" s="148">
        <f>COUNTIFS('2026 Time Off Request'!$A:$A,'Nov 2026'!$D38,'2026 Time Off Request'!$L:$L,'Nov 2026'!AB$6)</f>
        <v>0</v>
      </c>
      <c r="AC38" s="148">
        <f>COUNTIFS('2026 Time Off Request'!$A:$A,'Nov 2026'!$D38,'2026 Time Off Request'!$L:$L,'Nov 2026'!AC$6)</f>
        <v>0</v>
      </c>
      <c r="AD38" s="148">
        <f>COUNTIFS('2026 Time Off Request'!$A:$A,'Nov 2026'!$D38,'2026 Time Off Request'!$L:$L,'Nov 2026'!AD$6)</f>
        <v>0</v>
      </c>
      <c r="AE38" s="148">
        <f>COUNTIFS('2026 Time Off Request'!$A:$A,'Nov 2026'!$D38,'2026 Time Off Request'!$L:$L,'Nov 2026'!AE$6)</f>
        <v>0</v>
      </c>
      <c r="AF38" s="148">
        <f>COUNTIFS('2026 Time Off Request'!$A:$A,'Nov 2026'!$D38,'2026 Time Off Request'!$L:$L,'Nov 2026'!AF$6)</f>
        <v>0</v>
      </c>
      <c r="AG38" s="147">
        <f>COUNTIFS('2026 Time Off Request'!$A:$A,'Nov 2026'!$D38,'2026 Time Off Request'!$L:$L,'Nov 2026'!AG$6)</f>
        <v>0</v>
      </c>
      <c r="AH38" s="147">
        <f>COUNTIFS('2026 Time Off Request'!$A:$A,'Nov 2026'!$D38,'2026 Time Off Request'!$L:$L,'Nov 2026'!AH$6)</f>
        <v>0</v>
      </c>
      <c r="AI38" s="148">
        <f>COUNTIFS('2026 Time Off Request'!$A:$A,'Nov 2026'!$D38,'2026 Time Off Request'!$L:$L,'Nov 2026'!AI$6)</f>
        <v>0</v>
      </c>
    </row>
    <row r="39" spans="1:35" ht="15.75">
      <c r="A39" s="2">
        <v>30</v>
      </c>
      <c r="B39" s="209" t="s">
        <v>45</v>
      </c>
      <c r="C39" s="210" t="s">
        <v>77</v>
      </c>
      <c r="D39" s="215" t="s">
        <v>80</v>
      </c>
      <c r="E39" s="212">
        <f t="shared" si="2"/>
        <v>0</v>
      </c>
      <c r="F39" s="213">
        <f>COUNTIFS('2026 Time Off Request'!$A:$A,'Nov 2026'!$D39,'2026 Time Off Request'!$L:$L,'Nov 2026'!F$6)</f>
        <v>0</v>
      </c>
      <c r="G39" s="148">
        <f>COUNTIFS('2026 Time Off Request'!$A:$A,'Nov 2026'!$D39,'2026 Time Off Request'!$L:$L,'Nov 2026'!G$6)</f>
        <v>0</v>
      </c>
      <c r="H39" s="148">
        <f>COUNTIFS('2026 Time Off Request'!$A:$A,'Nov 2026'!$D39,'2026 Time Off Request'!$L:$L,'Nov 2026'!H$6)</f>
        <v>0</v>
      </c>
      <c r="I39" s="148">
        <f>COUNTIFS('2026 Time Off Request'!$A:$A,'Nov 2026'!$D39,'2026 Time Off Request'!$L:$L,'Nov 2026'!I$6)</f>
        <v>0</v>
      </c>
      <c r="J39" s="148">
        <f>COUNTIFS('2026 Time Off Request'!$A:$A,'Nov 2026'!$D39,'2026 Time Off Request'!$L:$L,'Nov 2026'!J$6)</f>
        <v>0</v>
      </c>
      <c r="K39" s="148">
        <f>COUNTIFS('2026 Time Off Request'!$A:$A,'Nov 2026'!$D39,'2026 Time Off Request'!$L:$L,'Nov 2026'!K$6)</f>
        <v>0</v>
      </c>
      <c r="L39" s="147">
        <f>COUNTIFS('2026 Time Off Request'!$A:$A,'Nov 2026'!$D39,'2026 Time Off Request'!$L:$L,'Nov 2026'!L$6)</f>
        <v>0</v>
      </c>
      <c r="M39" s="147">
        <f>COUNTIFS('2026 Time Off Request'!$A:$A,'Nov 2026'!$D39,'2026 Time Off Request'!$L:$L,'Nov 2026'!M$6)</f>
        <v>0</v>
      </c>
      <c r="N39" s="148">
        <f>COUNTIFS('2026 Time Off Request'!$A:$A,'Nov 2026'!$D39,'2026 Time Off Request'!$L:$L,'Nov 2026'!N$6)</f>
        <v>0</v>
      </c>
      <c r="O39" s="148">
        <f>COUNTIFS('2026 Time Off Request'!$A:$A,'Nov 2026'!$D39,'2026 Time Off Request'!$L:$L,'Nov 2026'!O$6)</f>
        <v>0</v>
      </c>
      <c r="P39" s="148">
        <f>COUNTIFS('2026 Time Off Request'!$A:$A,'Nov 2026'!$D39,'2026 Time Off Request'!$L:$L,'Nov 2026'!P$6)</f>
        <v>0</v>
      </c>
      <c r="Q39" s="148">
        <f>COUNTIFS('2026 Time Off Request'!$A:$A,'Nov 2026'!$D39,'2026 Time Off Request'!$L:$L,'Nov 2026'!Q$6)</f>
        <v>0</v>
      </c>
      <c r="R39" s="148">
        <f>COUNTIFS('2026 Time Off Request'!$A:$A,'Nov 2026'!$D39,'2026 Time Off Request'!$L:$L,'Nov 2026'!R$6)</f>
        <v>0</v>
      </c>
      <c r="S39" s="147">
        <f>COUNTIFS('2026 Time Off Request'!$A:$A,'Nov 2026'!$D39,'2026 Time Off Request'!$L:$L,'Nov 2026'!S$6)</f>
        <v>0</v>
      </c>
      <c r="T39" s="147">
        <f>COUNTIFS('2026 Time Off Request'!$A:$A,'Nov 2026'!$D39,'2026 Time Off Request'!$L:$L,'Nov 2026'!T$6)</f>
        <v>0</v>
      </c>
      <c r="U39" s="148">
        <f>COUNTIFS('2026 Time Off Request'!$A:$A,'Nov 2026'!$D39,'2026 Time Off Request'!$L:$L,'Nov 2026'!U$6)</f>
        <v>0</v>
      </c>
      <c r="V39" s="148">
        <f>COUNTIFS('2026 Time Off Request'!$A:$A,'Nov 2026'!$D39,'2026 Time Off Request'!$L:$L,'Nov 2026'!V$6)</f>
        <v>0</v>
      </c>
      <c r="W39" s="148">
        <f>COUNTIFS('2026 Time Off Request'!$A:$A,'Nov 2026'!$D39,'2026 Time Off Request'!$L:$L,'Nov 2026'!W$6)</f>
        <v>0</v>
      </c>
      <c r="X39" s="148">
        <f>COUNTIFS('2026 Time Off Request'!$A:$A,'Nov 2026'!$D39,'2026 Time Off Request'!$L:$L,'Nov 2026'!X$6)</f>
        <v>0</v>
      </c>
      <c r="Y39" s="148">
        <f>COUNTIFS('2026 Time Off Request'!$A:$A,'Nov 2026'!$D39,'2026 Time Off Request'!$L:$L,'Nov 2026'!Y$6)</f>
        <v>0</v>
      </c>
      <c r="Z39" s="147">
        <f>COUNTIFS('2026 Time Off Request'!$A:$A,'Nov 2026'!$D39,'2026 Time Off Request'!$L:$L,'Nov 2026'!Z$6)</f>
        <v>0</v>
      </c>
      <c r="AA39" s="147">
        <f>COUNTIFS('2026 Time Off Request'!$A:$A,'Nov 2026'!$D39,'2026 Time Off Request'!$L:$L,'Nov 2026'!AA$6)</f>
        <v>0</v>
      </c>
      <c r="AB39" s="148">
        <f>COUNTIFS('2026 Time Off Request'!$A:$A,'Nov 2026'!$D39,'2026 Time Off Request'!$L:$L,'Nov 2026'!AB$6)</f>
        <v>0</v>
      </c>
      <c r="AC39" s="148">
        <f>COUNTIFS('2026 Time Off Request'!$A:$A,'Nov 2026'!$D39,'2026 Time Off Request'!$L:$L,'Nov 2026'!AC$6)</f>
        <v>0</v>
      </c>
      <c r="AD39" s="148">
        <f>COUNTIFS('2026 Time Off Request'!$A:$A,'Nov 2026'!$D39,'2026 Time Off Request'!$L:$L,'Nov 2026'!AD$6)</f>
        <v>0</v>
      </c>
      <c r="AE39" s="148">
        <f>COUNTIFS('2026 Time Off Request'!$A:$A,'Nov 2026'!$D39,'2026 Time Off Request'!$L:$L,'Nov 2026'!AE$6)</f>
        <v>0</v>
      </c>
      <c r="AF39" s="148">
        <f>COUNTIFS('2026 Time Off Request'!$A:$A,'Nov 2026'!$D39,'2026 Time Off Request'!$L:$L,'Nov 2026'!AF$6)</f>
        <v>0</v>
      </c>
      <c r="AG39" s="147">
        <f>COUNTIFS('2026 Time Off Request'!$A:$A,'Nov 2026'!$D39,'2026 Time Off Request'!$L:$L,'Nov 2026'!AG$6)</f>
        <v>0</v>
      </c>
      <c r="AH39" s="147">
        <f>COUNTIFS('2026 Time Off Request'!$A:$A,'Nov 2026'!$D39,'2026 Time Off Request'!$L:$L,'Nov 2026'!AH$6)</f>
        <v>0</v>
      </c>
      <c r="AI39" s="148">
        <f>COUNTIFS('2026 Time Off Request'!$A:$A,'Nov 2026'!$D39,'2026 Time Off Request'!$L:$L,'Nov 2026'!AI$6)</f>
        <v>0</v>
      </c>
    </row>
    <row r="40" spans="1:35" ht="15.75">
      <c r="A40" s="2">
        <v>31</v>
      </c>
      <c r="B40" s="209" t="s">
        <v>49</v>
      </c>
      <c r="C40" s="210" t="s">
        <v>81</v>
      </c>
      <c r="D40" s="215" t="s">
        <v>82</v>
      </c>
      <c r="E40" s="212">
        <f t="shared" si="2"/>
        <v>0</v>
      </c>
      <c r="F40" s="213">
        <f>COUNTIFS('2026 Time Off Request'!$A:$A,'Nov 2026'!$D40,'2026 Time Off Request'!$L:$L,'Nov 2026'!F$6)</f>
        <v>0</v>
      </c>
      <c r="G40" s="148">
        <f>COUNTIFS('2026 Time Off Request'!$A:$A,'Nov 2026'!$D40,'2026 Time Off Request'!$L:$L,'Nov 2026'!G$6)</f>
        <v>0</v>
      </c>
      <c r="H40" s="148">
        <f>COUNTIFS('2026 Time Off Request'!$A:$A,'Nov 2026'!$D40,'2026 Time Off Request'!$L:$L,'Nov 2026'!H$6)</f>
        <v>0</v>
      </c>
      <c r="I40" s="148">
        <f>COUNTIFS('2026 Time Off Request'!$A:$A,'Nov 2026'!$D40,'2026 Time Off Request'!$L:$L,'Nov 2026'!I$6)</f>
        <v>0</v>
      </c>
      <c r="J40" s="148">
        <f>COUNTIFS('2026 Time Off Request'!$A:$A,'Nov 2026'!$D40,'2026 Time Off Request'!$L:$L,'Nov 2026'!J$6)</f>
        <v>0</v>
      </c>
      <c r="K40" s="148">
        <f>COUNTIFS('2026 Time Off Request'!$A:$A,'Nov 2026'!$D40,'2026 Time Off Request'!$L:$L,'Nov 2026'!K$6)</f>
        <v>0</v>
      </c>
      <c r="L40" s="147">
        <f>COUNTIFS('2026 Time Off Request'!$A:$A,'Nov 2026'!$D40,'2026 Time Off Request'!$L:$L,'Nov 2026'!L$6)</f>
        <v>0</v>
      </c>
      <c r="M40" s="147">
        <f>COUNTIFS('2026 Time Off Request'!$A:$A,'Nov 2026'!$D40,'2026 Time Off Request'!$L:$L,'Nov 2026'!M$6)</f>
        <v>0</v>
      </c>
      <c r="N40" s="148">
        <f>COUNTIFS('2026 Time Off Request'!$A:$A,'Nov 2026'!$D40,'2026 Time Off Request'!$L:$L,'Nov 2026'!N$6)</f>
        <v>0</v>
      </c>
      <c r="O40" s="148">
        <f>COUNTIFS('2026 Time Off Request'!$A:$A,'Nov 2026'!$D40,'2026 Time Off Request'!$L:$L,'Nov 2026'!O$6)</f>
        <v>0</v>
      </c>
      <c r="P40" s="148">
        <f>COUNTIFS('2026 Time Off Request'!$A:$A,'Nov 2026'!$D40,'2026 Time Off Request'!$L:$L,'Nov 2026'!P$6)</f>
        <v>0</v>
      </c>
      <c r="Q40" s="148">
        <f>COUNTIFS('2026 Time Off Request'!$A:$A,'Nov 2026'!$D40,'2026 Time Off Request'!$L:$L,'Nov 2026'!Q$6)</f>
        <v>0</v>
      </c>
      <c r="R40" s="148">
        <f>COUNTIFS('2026 Time Off Request'!$A:$A,'Nov 2026'!$D40,'2026 Time Off Request'!$L:$L,'Nov 2026'!R$6)</f>
        <v>0</v>
      </c>
      <c r="S40" s="147">
        <f>COUNTIFS('2026 Time Off Request'!$A:$A,'Nov 2026'!$D40,'2026 Time Off Request'!$L:$L,'Nov 2026'!S$6)</f>
        <v>0</v>
      </c>
      <c r="T40" s="147">
        <f>COUNTIFS('2026 Time Off Request'!$A:$A,'Nov 2026'!$D40,'2026 Time Off Request'!$L:$L,'Nov 2026'!T$6)</f>
        <v>0</v>
      </c>
      <c r="U40" s="148">
        <f>COUNTIFS('2026 Time Off Request'!$A:$A,'Nov 2026'!$D40,'2026 Time Off Request'!$L:$L,'Nov 2026'!U$6)</f>
        <v>0</v>
      </c>
      <c r="V40" s="148">
        <f>COUNTIFS('2026 Time Off Request'!$A:$A,'Nov 2026'!$D40,'2026 Time Off Request'!$L:$L,'Nov 2026'!V$6)</f>
        <v>0</v>
      </c>
      <c r="W40" s="148">
        <f>COUNTIFS('2026 Time Off Request'!$A:$A,'Nov 2026'!$D40,'2026 Time Off Request'!$L:$L,'Nov 2026'!W$6)</f>
        <v>0</v>
      </c>
      <c r="X40" s="148">
        <f>COUNTIFS('2026 Time Off Request'!$A:$A,'Nov 2026'!$D40,'2026 Time Off Request'!$L:$L,'Nov 2026'!X$6)</f>
        <v>0</v>
      </c>
      <c r="Y40" s="148">
        <f>COUNTIFS('2026 Time Off Request'!$A:$A,'Nov 2026'!$D40,'2026 Time Off Request'!$L:$L,'Nov 2026'!Y$6)</f>
        <v>0</v>
      </c>
      <c r="Z40" s="147">
        <f>COUNTIFS('2026 Time Off Request'!$A:$A,'Nov 2026'!$D40,'2026 Time Off Request'!$L:$L,'Nov 2026'!Z$6)</f>
        <v>0</v>
      </c>
      <c r="AA40" s="147">
        <f>COUNTIFS('2026 Time Off Request'!$A:$A,'Nov 2026'!$D40,'2026 Time Off Request'!$L:$L,'Nov 2026'!AA$6)</f>
        <v>0</v>
      </c>
      <c r="AB40" s="148">
        <f>COUNTIFS('2026 Time Off Request'!$A:$A,'Nov 2026'!$D40,'2026 Time Off Request'!$L:$L,'Nov 2026'!AB$6)</f>
        <v>0</v>
      </c>
      <c r="AC40" s="148">
        <f>COUNTIFS('2026 Time Off Request'!$A:$A,'Nov 2026'!$D40,'2026 Time Off Request'!$L:$L,'Nov 2026'!AC$6)</f>
        <v>0</v>
      </c>
      <c r="AD40" s="148">
        <f>COUNTIFS('2026 Time Off Request'!$A:$A,'Nov 2026'!$D40,'2026 Time Off Request'!$L:$L,'Nov 2026'!AD$6)</f>
        <v>0</v>
      </c>
      <c r="AE40" s="148">
        <f>COUNTIFS('2026 Time Off Request'!$A:$A,'Nov 2026'!$D40,'2026 Time Off Request'!$L:$L,'Nov 2026'!AE$6)</f>
        <v>0</v>
      </c>
      <c r="AF40" s="148">
        <f>COUNTIFS('2026 Time Off Request'!$A:$A,'Nov 2026'!$D40,'2026 Time Off Request'!$L:$L,'Nov 2026'!AF$6)</f>
        <v>0</v>
      </c>
      <c r="AG40" s="147">
        <f>COUNTIFS('2026 Time Off Request'!$A:$A,'Nov 2026'!$D40,'2026 Time Off Request'!$L:$L,'Nov 2026'!AG$6)</f>
        <v>0</v>
      </c>
      <c r="AH40" s="147">
        <f>COUNTIFS('2026 Time Off Request'!$A:$A,'Nov 2026'!$D40,'2026 Time Off Request'!$L:$L,'Nov 2026'!AH$6)</f>
        <v>0</v>
      </c>
      <c r="AI40" s="148">
        <f>COUNTIFS('2026 Time Off Request'!$A:$A,'Nov 2026'!$D40,'2026 Time Off Request'!$L:$L,'Nov 2026'!AI$6)</f>
        <v>0</v>
      </c>
    </row>
    <row r="41" spans="1:35" ht="15.75">
      <c r="A41" s="2">
        <v>32</v>
      </c>
      <c r="B41" s="209" t="s">
        <v>45</v>
      </c>
      <c r="C41" s="210" t="s">
        <v>83</v>
      </c>
      <c r="D41" s="215" t="s">
        <v>84</v>
      </c>
      <c r="E41" s="212">
        <f t="shared" si="2"/>
        <v>0</v>
      </c>
      <c r="F41" s="213">
        <f>COUNTIFS('2026 Time Off Request'!$A:$A,'Nov 2026'!$D41,'2026 Time Off Request'!$L:$L,'Nov 2026'!F$6)</f>
        <v>0</v>
      </c>
      <c r="G41" s="148">
        <f>COUNTIFS('2026 Time Off Request'!$A:$A,'Nov 2026'!$D41,'2026 Time Off Request'!$L:$L,'Nov 2026'!G$6)</f>
        <v>0</v>
      </c>
      <c r="H41" s="148">
        <f>COUNTIFS('2026 Time Off Request'!$A:$A,'Nov 2026'!$D41,'2026 Time Off Request'!$L:$L,'Nov 2026'!H$6)</f>
        <v>0</v>
      </c>
      <c r="I41" s="148">
        <f>COUNTIFS('2026 Time Off Request'!$A:$A,'Nov 2026'!$D41,'2026 Time Off Request'!$L:$L,'Nov 2026'!I$6)</f>
        <v>0</v>
      </c>
      <c r="J41" s="148">
        <f>COUNTIFS('2026 Time Off Request'!$A:$A,'Nov 2026'!$D41,'2026 Time Off Request'!$L:$L,'Nov 2026'!J$6)</f>
        <v>0</v>
      </c>
      <c r="K41" s="148">
        <f>COUNTIFS('2026 Time Off Request'!$A:$A,'Nov 2026'!$D41,'2026 Time Off Request'!$L:$L,'Nov 2026'!K$6)</f>
        <v>0</v>
      </c>
      <c r="L41" s="147">
        <f>COUNTIFS('2026 Time Off Request'!$A:$A,'Nov 2026'!$D41,'2026 Time Off Request'!$L:$L,'Nov 2026'!L$6)</f>
        <v>0</v>
      </c>
      <c r="M41" s="147">
        <f>COUNTIFS('2026 Time Off Request'!$A:$A,'Nov 2026'!$D41,'2026 Time Off Request'!$L:$L,'Nov 2026'!M$6)</f>
        <v>0</v>
      </c>
      <c r="N41" s="148">
        <f>COUNTIFS('2026 Time Off Request'!$A:$A,'Nov 2026'!$D41,'2026 Time Off Request'!$L:$L,'Nov 2026'!N$6)</f>
        <v>0</v>
      </c>
      <c r="O41" s="148">
        <f>COUNTIFS('2026 Time Off Request'!$A:$A,'Nov 2026'!$D41,'2026 Time Off Request'!$L:$L,'Nov 2026'!O$6)</f>
        <v>0</v>
      </c>
      <c r="P41" s="148">
        <f>COUNTIFS('2026 Time Off Request'!$A:$A,'Nov 2026'!$D41,'2026 Time Off Request'!$L:$L,'Nov 2026'!P$6)</f>
        <v>0</v>
      </c>
      <c r="Q41" s="148">
        <f>COUNTIFS('2026 Time Off Request'!$A:$A,'Nov 2026'!$D41,'2026 Time Off Request'!$L:$L,'Nov 2026'!Q$6)</f>
        <v>0</v>
      </c>
      <c r="R41" s="148">
        <f>COUNTIFS('2026 Time Off Request'!$A:$A,'Nov 2026'!$D41,'2026 Time Off Request'!$L:$L,'Nov 2026'!R$6)</f>
        <v>0</v>
      </c>
      <c r="S41" s="147">
        <f>COUNTIFS('2026 Time Off Request'!$A:$A,'Nov 2026'!$D41,'2026 Time Off Request'!$L:$L,'Nov 2026'!S$6)</f>
        <v>0</v>
      </c>
      <c r="T41" s="147">
        <f>COUNTIFS('2026 Time Off Request'!$A:$A,'Nov 2026'!$D41,'2026 Time Off Request'!$L:$L,'Nov 2026'!T$6)</f>
        <v>0</v>
      </c>
      <c r="U41" s="148">
        <f>COUNTIFS('2026 Time Off Request'!$A:$A,'Nov 2026'!$D41,'2026 Time Off Request'!$L:$L,'Nov 2026'!U$6)</f>
        <v>0</v>
      </c>
      <c r="V41" s="148">
        <f>COUNTIFS('2026 Time Off Request'!$A:$A,'Nov 2026'!$D41,'2026 Time Off Request'!$L:$L,'Nov 2026'!V$6)</f>
        <v>0</v>
      </c>
      <c r="W41" s="148">
        <f>COUNTIFS('2026 Time Off Request'!$A:$A,'Nov 2026'!$D41,'2026 Time Off Request'!$L:$L,'Nov 2026'!W$6)</f>
        <v>0</v>
      </c>
      <c r="X41" s="148">
        <f>COUNTIFS('2026 Time Off Request'!$A:$A,'Nov 2026'!$D41,'2026 Time Off Request'!$L:$L,'Nov 2026'!X$6)</f>
        <v>0</v>
      </c>
      <c r="Y41" s="148">
        <f>COUNTIFS('2026 Time Off Request'!$A:$A,'Nov 2026'!$D41,'2026 Time Off Request'!$L:$L,'Nov 2026'!Y$6)</f>
        <v>0</v>
      </c>
      <c r="Z41" s="147">
        <f>COUNTIFS('2026 Time Off Request'!$A:$A,'Nov 2026'!$D41,'2026 Time Off Request'!$L:$L,'Nov 2026'!Z$6)</f>
        <v>0</v>
      </c>
      <c r="AA41" s="147">
        <f>COUNTIFS('2026 Time Off Request'!$A:$A,'Nov 2026'!$D41,'2026 Time Off Request'!$L:$L,'Nov 2026'!AA$6)</f>
        <v>0</v>
      </c>
      <c r="AB41" s="148">
        <f>COUNTIFS('2026 Time Off Request'!$A:$A,'Nov 2026'!$D41,'2026 Time Off Request'!$L:$L,'Nov 2026'!AB$6)</f>
        <v>0</v>
      </c>
      <c r="AC41" s="148">
        <f>COUNTIFS('2026 Time Off Request'!$A:$A,'Nov 2026'!$D41,'2026 Time Off Request'!$L:$L,'Nov 2026'!AC$6)</f>
        <v>0</v>
      </c>
      <c r="AD41" s="148">
        <f>COUNTIFS('2026 Time Off Request'!$A:$A,'Nov 2026'!$D41,'2026 Time Off Request'!$L:$L,'Nov 2026'!AD$6)</f>
        <v>0</v>
      </c>
      <c r="AE41" s="148">
        <f>COUNTIFS('2026 Time Off Request'!$A:$A,'Nov 2026'!$D41,'2026 Time Off Request'!$L:$L,'Nov 2026'!AE$6)</f>
        <v>0</v>
      </c>
      <c r="AF41" s="148">
        <f>COUNTIFS('2026 Time Off Request'!$A:$A,'Nov 2026'!$D41,'2026 Time Off Request'!$L:$L,'Nov 2026'!AF$6)</f>
        <v>0</v>
      </c>
      <c r="AG41" s="147">
        <f>COUNTIFS('2026 Time Off Request'!$A:$A,'Nov 2026'!$D41,'2026 Time Off Request'!$L:$L,'Nov 2026'!AG$6)</f>
        <v>0</v>
      </c>
      <c r="AH41" s="147">
        <f>COUNTIFS('2026 Time Off Request'!$A:$A,'Nov 2026'!$D41,'2026 Time Off Request'!$L:$L,'Nov 2026'!AH$6)</f>
        <v>0</v>
      </c>
      <c r="AI41" s="148">
        <f>COUNTIFS('2026 Time Off Request'!$A:$A,'Nov 2026'!$D41,'2026 Time Off Request'!$L:$L,'Nov 2026'!AI$6)</f>
        <v>0</v>
      </c>
    </row>
    <row r="42" spans="1:35" ht="15.75">
      <c r="A42" s="2">
        <v>33</v>
      </c>
      <c r="B42" s="209" t="s">
        <v>45</v>
      </c>
      <c r="C42" s="210" t="s">
        <v>85</v>
      </c>
      <c r="D42" s="215" t="s">
        <v>86</v>
      </c>
      <c r="E42" s="212">
        <f t="shared" si="2"/>
        <v>0</v>
      </c>
      <c r="F42" s="213">
        <f>COUNTIFS('2026 Time Off Request'!$A:$A,'Nov 2026'!$D42,'2026 Time Off Request'!$L:$L,'Nov 2026'!F$6)</f>
        <v>0</v>
      </c>
      <c r="G42" s="148">
        <f>COUNTIFS('2026 Time Off Request'!$A:$A,'Nov 2026'!$D42,'2026 Time Off Request'!$L:$L,'Nov 2026'!G$6)</f>
        <v>0</v>
      </c>
      <c r="H42" s="148">
        <f>COUNTIFS('2026 Time Off Request'!$A:$A,'Nov 2026'!$D42,'2026 Time Off Request'!$L:$L,'Nov 2026'!H$6)</f>
        <v>0</v>
      </c>
      <c r="I42" s="148">
        <f>COUNTIFS('2026 Time Off Request'!$A:$A,'Nov 2026'!$D42,'2026 Time Off Request'!$L:$L,'Nov 2026'!I$6)</f>
        <v>0</v>
      </c>
      <c r="J42" s="148">
        <f>COUNTIFS('2026 Time Off Request'!$A:$A,'Nov 2026'!$D42,'2026 Time Off Request'!$L:$L,'Nov 2026'!J$6)</f>
        <v>0</v>
      </c>
      <c r="K42" s="148">
        <f>COUNTIFS('2026 Time Off Request'!$A:$A,'Nov 2026'!$D42,'2026 Time Off Request'!$L:$L,'Nov 2026'!K$6)</f>
        <v>0</v>
      </c>
      <c r="L42" s="147">
        <f>COUNTIFS('2026 Time Off Request'!$A:$A,'Nov 2026'!$D42,'2026 Time Off Request'!$L:$L,'Nov 2026'!L$6)</f>
        <v>0</v>
      </c>
      <c r="M42" s="147">
        <f>COUNTIFS('2026 Time Off Request'!$A:$A,'Nov 2026'!$D42,'2026 Time Off Request'!$L:$L,'Nov 2026'!M$6)</f>
        <v>0</v>
      </c>
      <c r="N42" s="148">
        <f>COUNTIFS('2026 Time Off Request'!$A:$A,'Nov 2026'!$D42,'2026 Time Off Request'!$L:$L,'Nov 2026'!N$6)</f>
        <v>0</v>
      </c>
      <c r="O42" s="148">
        <f>COUNTIFS('2026 Time Off Request'!$A:$A,'Nov 2026'!$D42,'2026 Time Off Request'!$L:$L,'Nov 2026'!O$6)</f>
        <v>0</v>
      </c>
      <c r="P42" s="148">
        <f>COUNTIFS('2026 Time Off Request'!$A:$A,'Nov 2026'!$D42,'2026 Time Off Request'!$L:$L,'Nov 2026'!P$6)</f>
        <v>0</v>
      </c>
      <c r="Q42" s="148">
        <f>COUNTIFS('2026 Time Off Request'!$A:$A,'Nov 2026'!$D42,'2026 Time Off Request'!$L:$L,'Nov 2026'!Q$6)</f>
        <v>0</v>
      </c>
      <c r="R42" s="148">
        <f>COUNTIFS('2026 Time Off Request'!$A:$A,'Nov 2026'!$D42,'2026 Time Off Request'!$L:$L,'Nov 2026'!R$6)</f>
        <v>0</v>
      </c>
      <c r="S42" s="147">
        <f>COUNTIFS('2026 Time Off Request'!$A:$A,'Nov 2026'!$D42,'2026 Time Off Request'!$L:$L,'Nov 2026'!S$6)</f>
        <v>0</v>
      </c>
      <c r="T42" s="147">
        <f>COUNTIFS('2026 Time Off Request'!$A:$A,'Nov 2026'!$D42,'2026 Time Off Request'!$L:$L,'Nov 2026'!T$6)</f>
        <v>0</v>
      </c>
      <c r="U42" s="148">
        <f>COUNTIFS('2026 Time Off Request'!$A:$A,'Nov 2026'!$D42,'2026 Time Off Request'!$L:$L,'Nov 2026'!U$6)</f>
        <v>0</v>
      </c>
      <c r="V42" s="148">
        <f>COUNTIFS('2026 Time Off Request'!$A:$A,'Nov 2026'!$D42,'2026 Time Off Request'!$L:$L,'Nov 2026'!V$6)</f>
        <v>0</v>
      </c>
      <c r="W42" s="148">
        <f>COUNTIFS('2026 Time Off Request'!$A:$A,'Nov 2026'!$D42,'2026 Time Off Request'!$L:$L,'Nov 2026'!W$6)</f>
        <v>0</v>
      </c>
      <c r="X42" s="148">
        <f>COUNTIFS('2026 Time Off Request'!$A:$A,'Nov 2026'!$D42,'2026 Time Off Request'!$L:$L,'Nov 2026'!X$6)</f>
        <v>0</v>
      </c>
      <c r="Y42" s="148">
        <f>COUNTIFS('2026 Time Off Request'!$A:$A,'Nov 2026'!$D42,'2026 Time Off Request'!$L:$L,'Nov 2026'!Y$6)</f>
        <v>0</v>
      </c>
      <c r="Z42" s="147">
        <f>COUNTIFS('2026 Time Off Request'!$A:$A,'Nov 2026'!$D42,'2026 Time Off Request'!$L:$L,'Nov 2026'!Z$6)</f>
        <v>0</v>
      </c>
      <c r="AA42" s="147">
        <f>COUNTIFS('2026 Time Off Request'!$A:$A,'Nov 2026'!$D42,'2026 Time Off Request'!$L:$L,'Nov 2026'!AA$6)</f>
        <v>0</v>
      </c>
      <c r="AB42" s="148">
        <f>COUNTIFS('2026 Time Off Request'!$A:$A,'Nov 2026'!$D42,'2026 Time Off Request'!$L:$L,'Nov 2026'!AB$6)</f>
        <v>0</v>
      </c>
      <c r="AC42" s="148">
        <f>COUNTIFS('2026 Time Off Request'!$A:$A,'Nov 2026'!$D42,'2026 Time Off Request'!$L:$L,'Nov 2026'!AC$6)</f>
        <v>0</v>
      </c>
      <c r="AD42" s="148">
        <f>COUNTIFS('2026 Time Off Request'!$A:$A,'Nov 2026'!$D42,'2026 Time Off Request'!$L:$L,'Nov 2026'!AD$6)</f>
        <v>0</v>
      </c>
      <c r="AE42" s="148">
        <f>COUNTIFS('2026 Time Off Request'!$A:$A,'Nov 2026'!$D42,'2026 Time Off Request'!$L:$L,'Nov 2026'!AE$6)</f>
        <v>0</v>
      </c>
      <c r="AF42" s="148">
        <f>COUNTIFS('2026 Time Off Request'!$A:$A,'Nov 2026'!$D42,'2026 Time Off Request'!$L:$L,'Nov 2026'!AF$6)</f>
        <v>0</v>
      </c>
      <c r="AG42" s="147">
        <f>COUNTIFS('2026 Time Off Request'!$A:$A,'Nov 2026'!$D42,'2026 Time Off Request'!$L:$L,'Nov 2026'!AG$6)</f>
        <v>0</v>
      </c>
      <c r="AH42" s="147">
        <f>COUNTIFS('2026 Time Off Request'!$A:$A,'Nov 2026'!$D42,'2026 Time Off Request'!$L:$L,'Nov 2026'!AH$6)</f>
        <v>0</v>
      </c>
      <c r="AI42" s="148">
        <f>COUNTIFS('2026 Time Off Request'!$A:$A,'Nov 2026'!$D42,'2026 Time Off Request'!$L:$L,'Nov 2026'!AI$6)</f>
        <v>0</v>
      </c>
    </row>
    <row r="43" spans="1:35" ht="15.75">
      <c r="A43" s="2">
        <v>34</v>
      </c>
      <c r="B43" s="209" t="s">
        <v>45</v>
      </c>
      <c r="C43" s="210" t="s">
        <v>87</v>
      </c>
      <c r="D43" s="215" t="s">
        <v>88</v>
      </c>
      <c r="E43" s="212">
        <f t="shared" si="2"/>
        <v>0</v>
      </c>
      <c r="F43" s="213">
        <f>COUNTIFS('2026 Time Off Request'!$A:$A,'Nov 2026'!$D43,'2026 Time Off Request'!$L:$L,'Nov 2026'!F$6)</f>
        <v>0</v>
      </c>
      <c r="G43" s="148">
        <f>COUNTIFS('2026 Time Off Request'!$A:$A,'Nov 2026'!$D43,'2026 Time Off Request'!$L:$L,'Nov 2026'!G$6)</f>
        <v>0</v>
      </c>
      <c r="H43" s="148">
        <f>COUNTIFS('2026 Time Off Request'!$A:$A,'Nov 2026'!$D43,'2026 Time Off Request'!$L:$L,'Nov 2026'!H$6)</f>
        <v>0</v>
      </c>
      <c r="I43" s="148">
        <f>COUNTIFS('2026 Time Off Request'!$A:$A,'Nov 2026'!$D43,'2026 Time Off Request'!$L:$L,'Nov 2026'!I$6)</f>
        <v>0</v>
      </c>
      <c r="J43" s="148">
        <f>COUNTIFS('2026 Time Off Request'!$A:$A,'Nov 2026'!$D43,'2026 Time Off Request'!$L:$L,'Nov 2026'!J$6)</f>
        <v>0</v>
      </c>
      <c r="K43" s="148">
        <f>COUNTIFS('2026 Time Off Request'!$A:$A,'Nov 2026'!$D43,'2026 Time Off Request'!$L:$L,'Nov 2026'!K$6)</f>
        <v>0</v>
      </c>
      <c r="L43" s="147">
        <f>COUNTIFS('2026 Time Off Request'!$A:$A,'Nov 2026'!$D43,'2026 Time Off Request'!$L:$L,'Nov 2026'!L$6)</f>
        <v>0</v>
      </c>
      <c r="M43" s="147">
        <f>COUNTIFS('2026 Time Off Request'!$A:$A,'Nov 2026'!$D43,'2026 Time Off Request'!$L:$L,'Nov 2026'!M$6)</f>
        <v>0</v>
      </c>
      <c r="N43" s="148">
        <f>COUNTIFS('2026 Time Off Request'!$A:$A,'Nov 2026'!$D43,'2026 Time Off Request'!$L:$L,'Nov 2026'!N$6)</f>
        <v>0</v>
      </c>
      <c r="O43" s="148">
        <f>COUNTIFS('2026 Time Off Request'!$A:$A,'Nov 2026'!$D43,'2026 Time Off Request'!$L:$L,'Nov 2026'!O$6)</f>
        <v>0</v>
      </c>
      <c r="P43" s="148">
        <f>COUNTIFS('2026 Time Off Request'!$A:$A,'Nov 2026'!$D43,'2026 Time Off Request'!$L:$L,'Nov 2026'!P$6)</f>
        <v>0</v>
      </c>
      <c r="Q43" s="148">
        <f>COUNTIFS('2026 Time Off Request'!$A:$A,'Nov 2026'!$D43,'2026 Time Off Request'!$L:$L,'Nov 2026'!Q$6)</f>
        <v>0</v>
      </c>
      <c r="R43" s="148">
        <f>COUNTIFS('2026 Time Off Request'!$A:$A,'Nov 2026'!$D43,'2026 Time Off Request'!$L:$L,'Nov 2026'!R$6)</f>
        <v>0</v>
      </c>
      <c r="S43" s="147">
        <f>COUNTIFS('2026 Time Off Request'!$A:$A,'Nov 2026'!$D43,'2026 Time Off Request'!$L:$L,'Nov 2026'!S$6)</f>
        <v>0</v>
      </c>
      <c r="T43" s="147">
        <f>COUNTIFS('2026 Time Off Request'!$A:$A,'Nov 2026'!$D43,'2026 Time Off Request'!$L:$L,'Nov 2026'!T$6)</f>
        <v>0</v>
      </c>
      <c r="U43" s="148">
        <f>COUNTIFS('2026 Time Off Request'!$A:$A,'Nov 2026'!$D43,'2026 Time Off Request'!$L:$L,'Nov 2026'!U$6)</f>
        <v>0</v>
      </c>
      <c r="V43" s="148">
        <f>COUNTIFS('2026 Time Off Request'!$A:$A,'Nov 2026'!$D43,'2026 Time Off Request'!$L:$L,'Nov 2026'!V$6)</f>
        <v>0</v>
      </c>
      <c r="W43" s="148">
        <f>COUNTIFS('2026 Time Off Request'!$A:$A,'Nov 2026'!$D43,'2026 Time Off Request'!$L:$L,'Nov 2026'!W$6)</f>
        <v>0</v>
      </c>
      <c r="X43" s="148">
        <f>COUNTIFS('2026 Time Off Request'!$A:$A,'Nov 2026'!$D43,'2026 Time Off Request'!$L:$L,'Nov 2026'!X$6)</f>
        <v>0</v>
      </c>
      <c r="Y43" s="148">
        <f>COUNTIFS('2026 Time Off Request'!$A:$A,'Nov 2026'!$D43,'2026 Time Off Request'!$L:$L,'Nov 2026'!Y$6)</f>
        <v>0</v>
      </c>
      <c r="Z43" s="147">
        <f>COUNTIFS('2026 Time Off Request'!$A:$A,'Nov 2026'!$D43,'2026 Time Off Request'!$L:$L,'Nov 2026'!Z$6)</f>
        <v>0</v>
      </c>
      <c r="AA43" s="147">
        <f>COUNTIFS('2026 Time Off Request'!$A:$A,'Nov 2026'!$D43,'2026 Time Off Request'!$L:$L,'Nov 2026'!AA$6)</f>
        <v>0</v>
      </c>
      <c r="AB43" s="148">
        <f>COUNTIFS('2026 Time Off Request'!$A:$A,'Nov 2026'!$D43,'2026 Time Off Request'!$L:$L,'Nov 2026'!AB$6)</f>
        <v>0</v>
      </c>
      <c r="AC43" s="148">
        <f>COUNTIFS('2026 Time Off Request'!$A:$A,'Nov 2026'!$D43,'2026 Time Off Request'!$L:$L,'Nov 2026'!AC$6)</f>
        <v>0</v>
      </c>
      <c r="AD43" s="148">
        <f>COUNTIFS('2026 Time Off Request'!$A:$A,'Nov 2026'!$D43,'2026 Time Off Request'!$L:$L,'Nov 2026'!AD$6)</f>
        <v>0</v>
      </c>
      <c r="AE43" s="148">
        <f>COUNTIFS('2026 Time Off Request'!$A:$A,'Nov 2026'!$D43,'2026 Time Off Request'!$L:$L,'Nov 2026'!AE$6)</f>
        <v>0</v>
      </c>
      <c r="AF43" s="148">
        <f>COUNTIFS('2026 Time Off Request'!$A:$A,'Nov 2026'!$D43,'2026 Time Off Request'!$L:$L,'Nov 2026'!AF$6)</f>
        <v>0</v>
      </c>
      <c r="AG43" s="147">
        <f>COUNTIFS('2026 Time Off Request'!$A:$A,'Nov 2026'!$D43,'2026 Time Off Request'!$L:$L,'Nov 2026'!AG$6)</f>
        <v>0</v>
      </c>
      <c r="AH43" s="147">
        <f>COUNTIFS('2026 Time Off Request'!$A:$A,'Nov 2026'!$D43,'2026 Time Off Request'!$L:$L,'Nov 2026'!AH$6)</f>
        <v>0</v>
      </c>
      <c r="AI43" s="148">
        <f>COUNTIFS('2026 Time Off Request'!$A:$A,'Nov 2026'!$D43,'2026 Time Off Request'!$L:$L,'Nov 2026'!AI$6)</f>
        <v>0</v>
      </c>
    </row>
    <row r="44" spans="1:35" ht="15.75">
      <c r="A44" s="2">
        <v>35</v>
      </c>
      <c r="B44" s="209" t="s">
        <v>45</v>
      </c>
      <c r="C44" s="210" t="s">
        <v>89</v>
      </c>
      <c r="D44" s="215" t="s">
        <v>90</v>
      </c>
      <c r="E44" s="212">
        <f t="shared" si="2"/>
        <v>0</v>
      </c>
      <c r="F44" s="213">
        <f>COUNTIFS('2026 Time Off Request'!$A:$A,'Nov 2026'!$D44,'2026 Time Off Request'!$L:$L,'Nov 2026'!F$6)</f>
        <v>0</v>
      </c>
      <c r="G44" s="148">
        <f>COUNTIFS('2026 Time Off Request'!$A:$A,'Nov 2026'!$D44,'2026 Time Off Request'!$L:$L,'Nov 2026'!G$6)</f>
        <v>0</v>
      </c>
      <c r="H44" s="148">
        <f>COUNTIFS('2026 Time Off Request'!$A:$A,'Nov 2026'!$D44,'2026 Time Off Request'!$L:$L,'Nov 2026'!H$6)</f>
        <v>0</v>
      </c>
      <c r="I44" s="148">
        <f>COUNTIFS('2026 Time Off Request'!$A:$A,'Nov 2026'!$D44,'2026 Time Off Request'!$L:$L,'Nov 2026'!I$6)</f>
        <v>0</v>
      </c>
      <c r="J44" s="148">
        <f>COUNTIFS('2026 Time Off Request'!$A:$A,'Nov 2026'!$D44,'2026 Time Off Request'!$L:$L,'Nov 2026'!J$6)</f>
        <v>0</v>
      </c>
      <c r="K44" s="148">
        <f>COUNTIFS('2026 Time Off Request'!$A:$A,'Nov 2026'!$D44,'2026 Time Off Request'!$L:$L,'Nov 2026'!K$6)</f>
        <v>0</v>
      </c>
      <c r="L44" s="147">
        <f>COUNTIFS('2026 Time Off Request'!$A:$A,'Nov 2026'!$D44,'2026 Time Off Request'!$L:$L,'Nov 2026'!L$6)</f>
        <v>0</v>
      </c>
      <c r="M44" s="147">
        <f>COUNTIFS('2026 Time Off Request'!$A:$A,'Nov 2026'!$D44,'2026 Time Off Request'!$L:$L,'Nov 2026'!M$6)</f>
        <v>0</v>
      </c>
      <c r="N44" s="148">
        <f>COUNTIFS('2026 Time Off Request'!$A:$A,'Nov 2026'!$D44,'2026 Time Off Request'!$L:$L,'Nov 2026'!N$6)</f>
        <v>0</v>
      </c>
      <c r="O44" s="148">
        <f>COUNTIFS('2026 Time Off Request'!$A:$A,'Nov 2026'!$D44,'2026 Time Off Request'!$L:$L,'Nov 2026'!O$6)</f>
        <v>0</v>
      </c>
      <c r="P44" s="148">
        <f>COUNTIFS('2026 Time Off Request'!$A:$A,'Nov 2026'!$D44,'2026 Time Off Request'!$L:$L,'Nov 2026'!P$6)</f>
        <v>0</v>
      </c>
      <c r="Q44" s="148">
        <f>COUNTIFS('2026 Time Off Request'!$A:$A,'Nov 2026'!$D44,'2026 Time Off Request'!$L:$L,'Nov 2026'!Q$6)</f>
        <v>0</v>
      </c>
      <c r="R44" s="148">
        <f>COUNTIFS('2026 Time Off Request'!$A:$A,'Nov 2026'!$D44,'2026 Time Off Request'!$L:$L,'Nov 2026'!R$6)</f>
        <v>0</v>
      </c>
      <c r="S44" s="147">
        <f>COUNTIFS('2026 Time Off Request'!$A:$A,'Nov 2026'!$D44,'2026 Time Off Request'!$L:$L,'Nov 2026'!S$6)</f>
        <v>0</v>
      </c>
      <c r="T44" s="147">
        <f>COUNTIFS('2026 Time Off Request'!$A:$A,'Nov 2026'!$D44,'2026 Time Off Request'!$L:$L,'Nov 2026'!T$6)</f>
        <v>0</v>
      </c>
      <c r="U44" s="148">
        <f>COUNTIFS('2026 Time Off Request'!$A:$A,'Nov 2026'!$D44,'2026 Time Off Request'!$L:$L,'Nov 2026'!U$6)</f>
        <v>0</v>
      </c>
      <c r="V44" s="148">
        <f>COUNTIFS('2026 Time Off Request'!$A:$A,'Nov 2026'!$D44,'2026 Time Off Request'!$L:$L,'Nov 2026'!V$6)</f>
        <v>0</v>
      </c>
      <c r="W44" s="148">
        <f>COUNTIFS('2026 Time Off Request'!$A:$A,'Nov 2026'!$D44,'2026 Time Off Request'!$L:$L,'Nov 2026'!W$6)</f>
        <v>0</v>
      </c>
      <c r="X44" s="148">
        <f>COUNTIFS('2026 Time Off Request'!$A:$A,'Nov 2026'!$D44,'2026 Time Off Request'!$L:$L,'Nov 2026'!X$6)</f>
        <v>0</v>
      </c>
      <c r="Y44" s="148">
        <f>COUNTIFS('2026 Time Off Request'!$A:$A,'Nov 2026'!$D44,'2026 Time Off Request'!$L:$L,'Nov 2026'!Y$6)</f>
        <v>0</v>
      </c>
      <c r="Z44" s="147">
        <f>COUNTIFS('2026 Time Off Request'!$A:$A,'Nov 2026'!$D44,'2026 Time Off Request'!$L:$L,'Nov 2026'!Z$6)</f>
        <v>0</v>
      </c>
      <c r="AA44" s="147">
        <f>COUNTIFS('2026 Time Off Request'!$A:$A,'Nov 2026'!$D44,'2026 Time Off Request'!$L:$L,'Nov 2026'!AA$6)</f>
        <v>0</v>
      </c>
      <c r="AB44" s="148">
        <f>COUNTIFS('2026 Time Off Request'!$A:$A,'Nov 2026'!$D44,'2026 Time Off Request'!$L:$L,'Nov 2026'!AB$6)</f>
        <v>0</v>
      </c>
      <c r="AC44" s="148">
        <f>COUNTIFS('2026 Time Off Request'!$A:$A,'Nov 2026'!$D44,'2026 Time Off Request'!$L:$L,'Nov 2026'!AC$6)</f>
        <v>0</v>
      </c>
      <c r="AD44" s="148">
        <f>COUNTIFS('2026 Time Off Request'!$A:$A,'Nov 2026'!$D44,'2026 Time Off Request'!$L:$L,'Nov 2026'!AD$6)</f>
        <v>0</v>
      </c>
      <c r="AE44" s="148">
        <f>COUNTIFS('2026 Time Off Request'!$A:$A,'Nov 2026'!$D44,'2026 Time Off Request'!$L:$L,'Nov 2026'!AE$6)</f>
        <v>0</v>
      </c>
      <c r="AF44" s="148">
        <f>COUNTIFS('2026 Time Off Request'!$A:$A,'Nov 2026'!$D44,'2026 Time Off Request'!$L:$L,'Nov 2026'!AF$6)</f>
        <v>0</v>
      </c>
      <c r="AG44" s="147">
        <f>COUNTIFS('2026 Time Off Request'!$A:$A,'Nov 2026'!$D44,'2026 Time Off Request'!$L:$L,'Nov 2026'!AG$6)</f>
        <v>0</v>
      </c>
      <c r="AH44" s="147">
        <f>COUNTIFS('2026 Time Off Request'!$A:$A,'Nov 2026'!$D44,'2026 Time Off Request'!$L:$L,'Nov 2026'!AH$6)</f>
        <v>0</v>
      </c>
      <c r="AI44" s="148">
        <f>COUNTIFS('2026 Time Off Request'!$A:$A,'Nov 2026'!$D44,'2026 Time Off Request'!$L:$L,'Nov 2026'!AI$6)</f>
        <v>0</v>
      </c>
    </row>
    <row r="45" spans="1:35" ht="15.75">
      <c r="A45" s="2">
        <v>36</v>
      </c>
      <c r="B45" s="209" t="s">
        <v>45</v>
      </c>
      <c r="C45" s="210" t="s">
        <v>89</v>
      </c>
      <c r="D45" s="215" t="s">
        <v>91</v>
      </c>
      <c r="E45" s="212">
        <f t="shared" si="2"/>
        <v>0</v>
      </c>
      <c r="F45" s="213">
        <f>COUNTIFS('2026 Time Off Request'!$A:$A,'Nov 2026'!$D45,'2026 Time Off Request'!$L:$L,'Nov 2026'!F$6)</f>
        <v>0</v>
      </c>
      <c r="G45" s="148">
        <f>COUNTIFS('2026 Time Off Request'!$A:$A,'Nov 2026'!$D45,'2026 Time Off Request'!$L:$L,'Nov 2026'!G$6)</f>
        <v>0</v>
      </c>
      <c r="H45" s="148">
        <f>COUNTIFS('2026 Time Off Request'!$A:$A,'Nov 2026'!$D45,'2026 Time Off Request'!$L:$L,'Nov 2026'!H$6)</f>
        <v>0</v>
      </c>
      <c r="I45" s="148">
        <f>COUNTIFS('2026 Time Off Request'!$A:$A,'Nov 2026'!$D45,'2026 Time Off Request'!$L:$L,'Nov 2026'!I$6)</f>
        <v>0</v>
      </c>
      <c r="J45" s="148">
        <f>COUNTIFS('2026 Time Off Request'!$A:$A,'Nov 2026'!$D45,'2026 Time Off Request'!$L:$L,'Nov 2026'!J$6)</f>
        <v>0</v>
      </c>
      <c r="K45" s="148">
        <f>COUNTIFS('2026 Time Off Request'!$A:$A,'Nov 2026'!$D45,'2026 Time Off Request'!$L:$L,'Nov 2026'!K$6)</f>
        <v>0</v>
      </c>
      <c r="L45" s="147">
        <f>COUNTIFS('2026 Time Off Request'!$A:$A,'Nov 2026'!$D45,'2026 Time Off Request'!$L:$L,'Nov 2026'!L$6)</f>
        <v>0</v>
      </c>
      <c r="M45" s="147">
        <f>COUNTIFS('2026 Time Off Request'!$A:$A,'Nov 2026'!$D45,'2026 Time Off Request'!$L:$L,'Nov 2026'!M$6)</f>
        <v>0</v>
      </c>
      <c r="N45" s="148">
        <f>COUNTIFS('2026 Time Off Request'!$A:$A,'Nov 2026'!$D45,'2026 Time Off Request'!$L:$L,'Nov 2026'!N$6)</f>
        <v>0</v>
      </c>
      <c r="O45" s="148">
        <f>COUNTIFS('2026 Time Off Request'!$A:$A,'Nov 2026'!$D45,'2026 Time Off Request'!$L:$L,'Nov 2026'!O$6)</f>
        <v>0</v>
      </c>
      <c r="P45" s="148">
        <f>COUNTIFS('2026 Time Off Request'!$A:$A,'Nov 2026'!$D45,'2026 Time Off Request'!$L:$L,'Nov 2026'!P$6)</f>
        <v>0</v>
      </c>
      <c r="Q45" s="148">
        <f>COUNTIFS('2026 Time Off Request'!$A:$A,'Nov 2026'!$D45,'2026 Time Off Request'!$L:$L,'Nov 2026'!Q$6)</f>
        <v>0</v>
      </c>
      <c r="R45" s="148">
        <f>COUNTIFS('2026 Time Off Request'!$A:$A,'Nov 2026'!$D45,'2026 Time Off Request'!$L:$L,'Nov 2026'!R$6)</f>
        <v>0</v>
      </c>
      <c r="S45" s="147">
        <f>COUNTIFS('2026 Time Off Request'!$A:$A,'Nov 2026'!$D45,'2026 Time Off Request'!$L:$L,'Nov 2026'!S$6)</f>
        <v>0</v>
      </c>
      <c r="T45" s="147">
        <f>COUNTIFS('2026 Time Off Request'!$A:$A,'Nov 2026'!$D45,'2026 Time Off Request'!$L:$L,'Nov 2026'!T$6)</f>
        <v>0</v>
      </c>
      <c r="U45" s="148">
        <f>COUNTIFS('2026 Time Off Request'!$A:$A,'Nov 2026'!$D45,'2026 Time Off Request'!$L:$L,'Nov 2026'!U$6)</f>
        <v>0</v>
      </c>
      <c r="V45" s="148">
        <f>COUNTIFS('2026 Time Off Request'!$A:$A,'Nov 2026'!$D45,'2026 Time Off Request'!$L:$L,'Nov 2026'!V$6)</f>
        <v>0</v>
      </c>
      <c r="W45" s="148">
        <f>COUNTIFS('2026 Time Off Request'!$A:$A,'Nov 2026'!$D45,'2026 Time Off Request'!$L:$L,'Nov 2026'!W$6)</f>
        <v>0</v>
      </c>
      <c r="X45" s="148">
        <f>COUNTIFS('2026 Time Off Request'!$A:$A,'Nov 2026'!$D45,'2026 Time Off Request'!$L:$L,'Nov 2026'!X$6)</f>
        <v>0</v>
      </c>
      <c r="Y45" s="148">
        <f>COUNTIFS('2026 Time Off Request'!$A:$A,'Nov 2026'!$D45,'2026 Time Off Request'!$L:$L,'Nov 2026'!Y$6)</f>
        <v>0</v>
      </c>
      <c r="Z45" s="147">
        <f>COUNTIFS('2026 Time Off Request'!$A:$A,'Nov 2026'!$D45,'2026 Time Off Request'!$L:$L,'Nov 2026'!Z$6)</f>
        <v>0</v>
      </c>
      <c r="AA45" s="147">
        <f>COUNTIFS('2026 Time Off Request'!$A:$A,'Nov 2026'!$D45,'2026 Time Off Request'!$L:$L,'Nov 2026'!AA$6)</f>
        <v>0</v>
      </c>
      <c r="AB45" s="148">
        <f>COUNTIFS('2026 Time Off Request'!$A:$A,'Nov 2026'!$D45,'2026 Time Off Request'!$L:$L,'Nov 2026'!AB$6)</f>
        <v>0</v>
      </c>
      <c r="AC45" s="148">
        <f>COUNTIFS('2026 Time Off Request'!$A:$A,'Nov 2026'!$D45,'2026 Time Off Request'!$L:$L,'Nov 2026'!AC$6)</f>
        <v>0</v>
      </c>
      <c r="AD45" s="148">
        <f>COUNTIFS('2026 Time Off Request'!$A:$A,'Nov 2026'!$D45,'2026 Time Off Request'!$L:$L,'Nov 2026'!AD$6)</f>
        <v>0</v>
      </c>
      <c r="AE45" s="148">
        <f>COUNTIFS('2026 Time Off Request'!$A:$A,'Nov 2026'!$D45,'2026 Time Off Request'!$L:$L,'Nov 2026'!AE$6)</f>
        <v>0</v>
      </c>
      <c r="AF45" s="148">
        <f>COUNTIFS('2026 Time Off Request'!$A:$A,'Nov 2026'!$D45,'2026 Time Off Request'!$L:$L,'Nov 2026'!AF$6)</f>
        <v>0</v>
      </c>
      <c r="AG45" s="147">
        <f>COUNTIFS('2026 Time Off Request'!$A:$A,'Nov 2026'!$D45,'2026 Time Off Request'!$L:$L,'Nov 2026'!AG$6)</f>
        <v>0</v>
      </c>
      <c r="AH45" s="147">
        <f>COUNTIFS('2026 Time Off Request'!$A:$A,'Nov 2026'!$D45,'2026 Time Off Request'!$L:$L,'Nov 2026'!AH$6)</f>
        <v>0</v>
      </c>
      <c r="AI45" s="148">
        <f>COUNTIFS('2026 Time Off Request'!$A:$A,'Nov 2026'!$D45,'2026 Time Off Request'!$L:$L,'Nov 2026'!AI$6)</f>
        <v>0</v>
      </c>
    </row>
    <row r="46" spans="1:35" ht="15.75">
      <c r="A46" s="2"/>
      <c r="B46" s="29"/>
      <c r="C46" s="23"/>
      <c r="D46" s="2"/>
      <c r="E46" s="3"/>
    </row>
    <row r="47" spans="1:35" ht="15.6">
      <c r="A47" s="2"/>
      <c r="B47" s="29"/>
      <c r="C47" s="23"/>
      <c r="D47" s="2"/>
      <c r="E47" s="3"/>
    </row>
    <row r="48" spans="1:35" ht="15.6">
      <c r="A48" s="2"/>
      <c r="B48" s="29"/>
      <c r="C48" s="23"/>
      <c r="D48" s="2"/>
      <c r="E48" s="3"/>
    </row>
    <row r="49" spans="1:5" ht="15.6">
      <c r="A49" s="2"/>
      <c r="B49" s="29"/>
      <c r="C49" s="105"/>
      <c r="D49" s="2"/>
      <c r="E49" s="3"/>
    </row>
    <row r="50" spans="1:5" ht="15.6">
      <c r="A50" s="2"/>
      <c r="B50" s="29"/>
      <c r="C50" s="23"/>
      <c r="D50" s="2"/>
      <c r="E50" s="2"/>
    </row>
    <row r="51" spans="1:5" ht="15.6">
      <c r="A51" s="2"/>
      <c r="B51" s="29"/>
      <c r="C51" s="23"/>
      <c r="D51" s="2"/>
      <c r="E51" s="2"/>
    </row>
    <row r="52" spans="1:5" ht="15.6">
      <c r="A52" s="2"/>
      <c r="B52" s="29"/>
      <c r="C52" s="23"/>
      <c r="D52" s="2"/>
      <c r="E52" s="2"/>
    </row>
    <row r="53" spans="1:5" ht="15.6">
      <c r="A53" s="2"/>
      <c r="B53" s="29"/>
      <c r="C53" s="23"/>
      <c r="D53" s="2"/>
      <c r="E53" s="2"/>
    </row>
    <row r="54" spans="1:5" ht="15.6">
      <c r="A54" s="2"/>
      <c r="B54" s="29"/>
      <c r="C54" s="23"/>
      <c r="D54" s="2"/>
      <c r="E54" s="2"/>
    </row>
    <row r="55" spans="1:5" ht="15.6">
      <c r="A55" s="2"/>
      <c r="B55" s="29"/>
      <c r="C55" s="23"/>
      <c r="D55" s="2"/>
      <c r="E55" s="2"/>
    </row>
    <row r="56" spans="1:5" ht="15.6">
      <c r="A56" s="2"/>
      <c r="B56" s="29"/>
      <c r="C56" s="23"/>
      <c r="D56" s="2"/>
      <c r="E56" s="2"/>
    </row>
    <row r="57" spans="1:5" ht="15.6">
      <c r="A57" s="2"/>
      <c r="B57" s="29"/>
      <c r="C57" s="23"/>
      <c r="D57" s="2"/>
      <c r="E57" s="2"/>
    </row>
    <row r="58" spans="1:5" ht="15.6">
      <c r="A58" s="2"/>
      <c r="B58" s="29"/>
      <c r="C58" s="23"/>
      <c r="D58" s="2"/>
      <c r="E58" s="2"/>
    </row>
    <row r="59" spans="1:5" ht="15.6">
      <c r="A59" s="2"/>
      <c r="B59" s="29"/>
      <c r="C59" s="23"/>
      <c r="D59" s="2"/>
      <c r="E59" s="2"/>
    </row>
    <row r="60" spans="1:5" ht="15"/>
    <row r="61" spans="1:5" ht="15"/>
    <row r="62" spans="1:5" ht="15"/>
  </sheetData>
  <mergeCells count="1">
    <mergeCell ref="B6:D6"/>
  </mergeCells>
  <conditionalFormatting sqref="E8:AI45">
    <cfRule type="cellIs" dxfId="1" priority="1" operator="greaterThan">
      <formula>0</formula>
    </cfRule>
  </conditionalFormatting>
  <dataValidations count="1">
    <dataValidation allowBlank="1" showInputMessage="1" showErrorMessage="1" sqref="A3:A59" xr:uid="{F4E40C63-3B2F-42FB-85C8-0F6CDDC9C493}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8E30-EAB7-461D-AA46-96F2901BB2D8}">
  <sheetPr>
    <tabColor rgb="FF00B050"/>
  </sheetPr>
  <dimension ref="A2:AM61"/>
  <sheetViews>
    <sheetView showGridLines="0" workbookViewId="0">
      <pane xSplit="4" ySplit="7" topLeftCell="AG21" activePane="bottomRight" state="frozen"/>
      <selection pane="bottomRight" activeCell="E24" sqref="E24"/>
      <selection pane="bottomLeft"/>
      <selection pane="topRight"/>
    </sheetView>
  </sheetViews>
  <sheetFormatPr defaultColWidth="9.140625" defaultRowHeight="14.45"/>
  <cols>
    <col min="1" max="1" width="3.28515625" bestFit="1" customWidth="1"/>
    <col min="3" max="3" width="22.7109375" bestFit="1" customWidth="1"/>
    <col min="4" max="4" width="27.140625" customWidth="1"/>
    <col min="5" max="5" width="15" customWidth="1"/>
    <col min="6" max="6" width="17.140625" style="57" customWidth="1"/>
    <col min="7" max="9" width="17.42578125" bestFit="1" customWidth="1"/>
    <col min="10" max="11" width="17.42578125" style="48" bestFit="1" customWidth="1"/>
    <col min="12" max="14" width="17.42578125" bestFit="1" customWidth="1"/>
    <col min="15" max="16" width="18.42578125" bestFit="1" customWidth="1"/>
    <col min="17" max="18" width="18.42578125" style="48" bestFit="1" customWidth="1"/>
    <col min="19" max="23" width="18.42578125" bestFit="1" customWidth="1"/>
    <col min="24" max="25" width="18.42578125" style="48" bestFit="1" customWidth="1"/>
    <col min="26" max="29" width="18.42578125" bestFit="1" customWidth="1"/>
    <col min="30" max="30" width="18.42578125" style="51" bestFit="1" customWidth="1"/>
    <col min="31" max="32" width="18.42578125" style="48" bestFit="1" customWidth="1"/>
    <col min="33" max="33" width="18.42578125" style="51" bestFit="1" customWidth="1"/>
    <col min="34" max="35" width="18.42578125" bestFit="1" customWidth="1"/>
    <col min="36" max="36" width="19.5703125" customWidth="1"/>
  </cols>
  <sheetData>
    <row r="2" spans="1:39" s="80" customFormat="1" ht="18.75" customHeight="1">
      <c r="D2" s="96" t="s">
        <v>95</v>
      </c>
      <c r="F2" s="115">
        <f>COUNTA($D$8:$D$53)</f>
        <v>39</v>
      </c>
      <c r="G2" s="80">
        <f t="shared" ref="G2:AJ2" si="0">COUNTA($D$8:$D$53)</f>
        <v>39</v>
      </c>
      <c r="H2" s="80">
        <f t="shared" si="0"/>
        <v>39</v>
      </c>
      <c r="I2" s="80">
        <f t="shared" si="0"/>
        <v>39</v>
      </c>
      <c r="J2" s="46">
        <f t="shared" si="0"/>
        <v>39</v>
      </c>
      <c r="K2" s="46">
        <f t="shared" si="0"/>
        <v>39</v>
      </c>
      <c r="L2" s="80">
        <f t="shared" si="0"/>
        <v>39</v>
      </c>
      <c r="M2" s="80">
        <f t="shared" si="0"/>
        <v>39</v>
      </c>
      <c r="N2" s="80">
        <f t="shared" si="0"/>
        <v>39</v>
      </c>
      <c r="O2" s="80">
        <f t="shared" si="0"/>
        <v>39</v>
      </c>
      <c r="P2" s="80">
        <f t="shared" si="0"/>
        <v>39</v>
      </c>
      <c r="Q2" s="46">
        <f t="shared" si="0"/>
        <v>39</v>
      </c>
      <c r="R2" s="46">
        <f t="shared" si="0"/>
        <v>39</v>
      </c>
      <c r="S2" s="80">
        <f t="shared" si="0"/>
        <v>39</v>
      </c>
      <c r="T2" s="80">
        <f t="shared" si="0"/>
        <v>39</v>
      </c>
      <c r="U2" s="80">
        <f t="shared" si="0"/>
        <v>39</v>
      </c>
      <c r="V2" s="80">
        <f t="shared" si="0"/>
        <v>39</v>
      </c>
      <c r="W2" s="80">
        <f t="shared" si="0"/>
        <v>39</v>
      </c>
      <c r="X2" s="46">
        <f t="shared" si="0"/>
        <v>39</v>
      </c>
      <c r="Y2" s="46">
        <f t="shared" si="0"/>
        <v>39</v>
      </c>
      <c r="Z2" s="80">
        <f t="shared" si="0"/>
        <v>39</v>
      </c>
      <c r="AA2" s="80">
        <f t="shared" si="0"/>
        <v>39</v>
      </c>
      <c r="AB2" s="80">
        <f t="shared" si="0"/>
        <v>39</v>
      </c>
      <c r="AC2" s="80">
        <f t="shared" si="0"/>
        <v>39</v>
      </c>
      <c r="AD2" s="49">
        <f t="shared" si="0"/>
        <v>39</v>
      </c>
      <c r="AE2" s="46">
        <f t="shared" si="0"/>
        <v>39</v>
      </c>
      <c r="AF2" s="46">
        <f t="shared" si="0"/>
        <v>39</v>
      </c>
      <c r="AG2" s="49">
        <f t="shared" si="0"/>
        <v>39</v>
      </c>
      <c r="AH2" s="80">
        <f t="shared" si="0"/>
        <v>39</v>
      </c>
      <c r="AI2" s="80">
        <f t="shared" si="0"/>
        <v>39</v>
      </c>
      <c r="AJ2" s="80">
        <f t="shared" si="0"/>
        <v>39</v>
      </c>
    </row>
    <row r="3" spans="1:39" s="80" customFormat="1" ht="12">
      <c r="A3" s="96"/>
      <c r="C3" s="96"/>
      <c r="D3" s="96" t="s">
        <v>96</v>
      </c>
      <c r="E3" s="96"/>
      <c r="F3" s="115">
        <f>SUM(F8:F50)</f>
        <v>0</v>
      </c>
      <c r="G3" s="80">
        <f t="shared" ref="G3:AJ3" si="1">SUM(G8:G50)</f>
        <v>0</v>
      </c>
      <c r="H3" s="80">
        <f t="shared" si="1"/>
        <v>0</v>
      </c>
      <c r="I3" s="80">
        <f t="shared" si="1"/>
        <v>0</v>
      </c>
      <c r="J3" s="46">
        <f t="shared" si="1"/>
        <v>0</v>
      </c>
      <c r="K3" s="46">
        <f t="shared" si="1"/>
        <v>0</v>
      </c>
      <c r="L3" s="80">
        <f t="shared" si="1"/>
        <v>0</v>
      </c>
      <c r="M3" s="80">
        <f>SUM(M8:M50)</f>
        <v>0</v>
      </c>
      <c r="N3" s="80">
        <f t="shared" si="1"/>
        <v>0</v>
      </c>
      <c r="O3" s="80">
        <f t="shared" si="1"/>
        <v>0</v>
      </c>
      <c r="P3" s="80">
        <f t="shared" si="1"/>
        <v>0</v>
      </c>
      <c r="Q3" s="46">
        <f t="shared" si="1"/>
        <v>0</v>
      </c>
      <c r="R3" s="46">
        <f>SUM(R8:R50)</f>
        <v>0</v>
      </c>
      <c r="S3" s="80">
        <f t="shared" si="1"/>
        <v>0</v>
      </c>
      <c r="T3" s="80">
        <f t="shared" si="1"/>
        <v>0</v>
      </c>
      <c r="U3" s="80">
        <f t="shared" si="1"/>
        <v>0</v>
      </c>
      <c r="V3" s="80">
        <f t="shared" si="1"/>
        <v>0</v>
      </c>
      <c r="W3" s="80">
        <f>SUM(W8:W50)</f>
        <v>0</v>
      </c>
      <c r="X3" s="46">
        <f t="shared" si="1"/>
        <v>0</v>
      </c>
      <c r="Y3" s="46">
        <f t="shared" si="1"/>
        <v>0</v>
      </c>
      <c r="Z3" s="80">
        <f t="shared" si="1"/>
        <v>0</v>
      </c>
      <c r="AA3" s="80">
        <f t="shared" si="1"/>
        <v>0</v>
      </c>
      <c r="AB3" s="80">
        <f t="shared" si="1"/>
        <v>0</v>
      </c>
      <c r="AC3" s="80">
        <f t="shared" si="1"/>
        <v>0</v>
      </c>
      <c r="AD3" s="49">
        <f>SUM(AD8:AD50)</f>
        <v>0</v>
      </c>
      <c r="AE3" s="46">
        <f t="shared" si="1"/>
        <v>0</v>
      </c>
      <c r="AF3" s="46">
        <f>SUM(AF8:AF50)</f>
        <v>0</v>
      </c>
      <c r="AG3" s="49">
        <f t="shared" si="1"/>
        <v>0</v>
      </c>
      <c r="AH3" s="80">
        <f t="shared" si="1"/>
        <v>0</v>
      </c>
      <c r="AI3" s="80">
        <f t="shared" si="1"/>
        <v>0</v>
      </c>
      <c r="AJ3" s="80">
        <f t="shared" si="1"/>
        <v>0</v>
      </c>
    </row>
    <row r="4" spans="1:39" s="80" customFormat="1" ht="12">
      <c r="A4" s="96"/>
      <c r="B4" s="97"/>
      <c r="C4" s="96"/>
      <c r="D4" s="96" t="s">
        <v>97</v>
      </c>
      <c r="E4" s="96"/>
      <c r="F4" s="116">
        <f>(COUNTA($D$8:$D$50)-F$3)/(COUNTA($D$8:$D$50))</f>
        <v>1</v>
      </c>
      <c r="G4" s="81">
        <f>(COUNTA($D$8:$D$50)-G$3)/(COUNTA($D$8:$D$50))</f>
        <v>1</v>
      </c>
      <c r="H4" s="81">
        <f>(COUNTA($D$8:$D$50)-H$3)/(COUNTA($D$8:$D$50))</f>
        <v>1</v>
      </c>
      <c r="I4" s="81">
        <f>(COUNTA($D$8:$D$50)-I$3)/(COUNTA($D$8:$D$50))</f>
        <v>1</v>
      </c>
      <c r="J4" s="47">
        <f>(COUNTA($D$8:$D$50)-J$3)/(COUNTA($D$8:$D$50))</f>
        <v>1</v>
      </c>
      <c r="K4" s="47">
        <f>(COUNTA($D$8:$D$50)-K$3)/(COUNTA($D$8:$D$50))</f>
        <v>1</v>
      </c>
      <c r="L4" s="81">
        <f>(COUNTA($D$8:$D$50)-L$3)/(COUNTA($D$8:$D$50))</f>
        <v>1</v>
      </c>
      <c r="M4" s="81">
        <f>(COUNTA($D$8:$D$50)-M$3)/(COUNTA($D$8:$D$50))</f>
        <v>1</v>
      </c>
      <c r="N4" s="81">
        <f>(COUNTA($D$8:$D$50)-N$3)/(COUNTA($D$8:$D$50))</f>
        <v>1</v>
      </c>
      <c r="O4" s="81">
        <f>(COUNTA($D$8:$D$50)-O$3)/(COUNTA($D$8:$D$50))</f>
        <v>1</v>
      </c>
      <c r="P4" s="81">
        <f>(COUNTA($D$8:$D$50)-P$3)/(COUNTA($D$8:$D$50))</f>
        <v>1</v>
      </c>
      <c r="Q4" s="47">
        <f>(COUNTA($D$8:$D$50)-Q$3)/(COUNTA($D$8:$D$50))</f>
        <v>1</v>
      </c>
      <c r="R4" s="47">
        <f>(COUNTA($D$8:$D$50)-R$3)/(COUNTA($D$8:$D$50))</f>
        <v>1</v>
      </c>
      <c r="S4" s="81">
        <f>(COUNTA($D$8:$D$50)-S$3)/(COUNTA($D$8:$D$50))</f>
        <v>1</v>
      </c>
      <c r="T4" s="81">
        <f>(COUNTA($D$8:$D$50)-T$3)/(COUNTA($D$8:$D$50))</f>
        <v>1</v>
      </c>
      <c r="U4" s="81">
        <f>(COUNTA($D$8:$D$50)-U$3)/(COUNTA($D$8:$D$50))</f>
        <v>1</v>
      </c>
      <c r="V4" s="81">
        <f>(COUNTA($D$8:$D$50)-V$3)/(COUNTA($D$8:$D$50))</f>
        <v>1</v>
      </c>
      <c r="W4" s="81">
        <f>(COUNTA($D$8:$D$50)-W$3)/(COUNTA($D$8:$D$50))</f>
        <v>1</v>
      </c>
      <c r="X4" s="47">
        <f>(COUNTA($D$8:$D$50)-X$3)/(COUNTA($D$8:$D$50))</f>
        <v>1</v>
      </c>
      <c r="Y4" s="47">
        <f>(COUNTA($D$8:$D$50)-Y$3)/(COUNTA($D$8:$D$50))</f>
        <v>1</v>
      </c>
      <c r="Z4" s="81">
        <f>(COUNTA($D$8:$D$50)-Z$3)/(COUNTA($D$8:$D$50))</f>
        <v>1</v>
      </c>
      <c r="AA4" s="81">
        <f>(COUNTA($D$8:$D$50)-AA$3)/(COUNTA($D$8:$D$50))</f>
        <v>1</v>
      </c>
      <c r="AB4" s="81">
        <f>(COUNTA($D$8:$D$50)-AB$3)/(COUNTA($D$8:$D$50))</f>
        <v>1</v>
      </c>
      <c r="AC4" s="81">
        <f>(COUNTA($D$8:$D$50)-AC$3)/(COUNTA($D$8:$D$50))</f>
        <v>1</v>
      </c>
      <c r="AD4" s="50">
        <f>(COUNTA($D$8:$D$50)-AD$3)/(COUNTA($D$8:$D$50))</f>
        <v>1</v>
      </c>
      <c r="AE4" s="47">
        <f>(COUNTA($D$8:$D$50)-AE$3)/(COUNTA($D$8:$D$50))</f>
        <v>1</v>
      </c>
      <c r="AF4" s="47">
        <f>(COUNTA($D$8:$D$50)-AF$3)/(COUNTA($D$8:$D$50))</f>
        <v>1</v>
      </c>
      <c r="AG4" s="50">
        <f>(COUNTA($D$8:$D$50)-AG$3)/(COUNTA($D$8:$D$50))</f>
        <v>1</v>
      </c>
      <c r="AH4" s="81">
        <f>(COUNTA($D$8:$D$50)-AH$3)/(COUNTA($D$8:$D$50))</f>
        <v>1</v>
      </c>
      <c r="AI4" s="81">
        <f>(COUNTA($D$8:$D$50)-AI$3)/(COUNTA($D$8:$D$50))</f>
        <v>1</v>
      </c>
      <c r="AJ4" s="81">
        <f>(COUNTA($D$8:$D$50)-AJ$3)/(COUNTA($D$8:$D$50))</f>
        <v>1</v>
      </c>
    </row>
    <row r="5" spans="1:39" s="80" customFormat="1" ht="8.25" customHeight="1">
      <c r="A5" s="96"/>
      <c r="B5" s="97"/>
      <c r="C5" s="96"/>
      <c r="D5" s="96"/>
      <c r="E5" s="96"/>
      <c r="F5" s="116"/>
      <c r="G5" s="81"/>
      <c r="H5" s="81"/>
      <c r="I5" s="81"/>
      <c r="J5" s="47"/>
      <c r="K5" s="47"/>
      <c r="L5" s="81"/>
      <c r="M5" s="81"/>
      <c r="N5" s="81"/>
      <c r="O5" s="81"/>
      <c r="P5" s="81"/>
      <c r="Q5" s="47"/>
      <c r="R5" s="47"/>
      <c r="S5" s="81"/>
      <c r="T5" s="81"/>
      <c r="U5" s="81"/>
      <c r="V5" s="81"/>
      <c r="W5" s="81"/>
      <c r="X5" s="47"/>
      <c r="Y5" s="47"/>
      <c r="Z5" s="81"/>
      <c r="AA5" s="81"/>
      <c r="AB5" s="81"/>
      <c r="AC5" s="81"/>
      <c r="AD5" s="50"/>
      <c r="AE5" s="47"/>
      <c r="AF5" s="47"/>
      <c r="AG5" s="50"/>
      <c r="AH5" s="81"/>
      <c r="AI5" s="81"/>
    </row>
    <row r="6" spans="1:39" s="100" customFormat="1" ht="34.5" customHeight="1">
      <c r="A6" s="98"/>
      <c r="B6" s="246" t="s">
        <v>0</v>
      </c>
      <c r="C6" s="247"/>
      <c r="D6" s="247"/>
      <c r="E6" s="16" t="s">
        <v>98</v>
      </c>
      <c r="F6" s="95">
        <v>46357</v>
      </c>
      <c r="G6" s="95">
        <v>46358</v>
      </c>
      <c r="H6" s="95">
        <v>46359</v>
      </c>
      <c r="I6" s="95">
        <v>46360</v>
      </c>
      <c r="J6" s="109">
        <v>46361</v>
      </c>
      <c r="K6" s="109">
        <v>46362</v>
      </c>
      <c r="L6" s="95">
        <v>46363</v>
      </c>
      <c r="M6" s="95">
        <v>46364</v>
      </c>
      <c r="N6" s="95">
        <v>46365</v>
      </c>
      <c r="O6" s="95">
        <v>46366</v>
      </c>
      <c r="P6" s="95">
        <v>46367</v>
      </c>
      <c r="Q6" s="109">
        <v>46368</v>
      </c>
      <c r="R6" s="109">
        <v>46369</v>
      </c>
      <c r="S6" s="95">
        <v>46370</v>
      </c>
      <c r="T6" s="95">
        <v>46371</v>
      </c>
      <c r="U6" s="95">
        <v>46372</v>
      </c>
      <c r="V6" s="95">
        <v>46373</v>
      </c>
      <c r="W6" s="95">
        <v>46374</v>
      </c>
      <c r="X6" s="109">
        <v>46375</v>
      </c>
      <c r="Y6" s="109">
        <v>46376</v>
      </c>
      <c r="Z6" s="95">
        <v>46377</v>
      </c>
      <c r="AA6" s="95">
        <v>46378</v>
      </c>
      <c r="AB6" s="95">
        <v>46379</v>
      </c>
      <c r="AC6" s="95">
        <v>46380</v>
      </c>
      <c r="AD6" s="85">
        <v>46381</v>
      </c>
      <c r="AE6" s="109">
        <v>46382</v>
      </c>
      <c r="AF6" s="109">
        <v>46383</v>
      </c>
      <c r="AG6" s="85">
        <v>46384</v>
      </c>
      <c r="AH6" s="95">
        <v>46385</v>
      </c>
      <c r="AI6" s="95">
        <v>46386</v>
      </c>
      <c r="AJ6" s="117">
        <v>46387</v>
      </c>
      <c r="AK6" s="99"/>
      <c r="AL6" s="99"/>
      <c r="AM6" s="99"/>
    </row>
    <row r="7" spans="1:39" ht="15.75">
      <c r="A7" s="1"/>
      <c r="B7" s="28" t="s">
        <v>3</v>
      </c>
      <c r="C7" s="24" t="s">
        <v>4</v>
      </c>
      <c r="D7" s="1" t="s">
        <v>5</v>
      </c>
      <c r="E7" s="5" t="s">
        <v>99</v>
      </c>
      <c r="F7" s="218" t="s">
        <v>101</v>
      </c>
      <c r="G7" s="218" t="s">
        <v>102</v>
      </c>
      <c r="H7" s="218" t="s">
        <v>103</v>
      </c>
      <c r="I7" s="218" t="s">
        <v>104</v>
      </c>
      <c r="J7" s="216" t="s">
        <v>105</v>
      </c>
      <c r="K7" s="216" t="s">
        <v>106</v>
      </c>
      <c r="L7" s="218" t="s">
        <v>100</v>
      </c>
      <c r="M7" s="218" t="s">
        <v>101</v>
      </c>
      <c r="N7" s="218" t="s">
        <v>102</v>
      </c>
      <c r="O7" s="218" t="s">
        <v>103</v>
      </c>
      <c r="P7" s="218" t="s">
        <v>104</v>
      </c>
      <c r="Q7" s="216" t="s">
        <v>105</v>
      </c>
      <c r="R7" s="216" t="s">
        <v>106</v>
      </c>
      <c r="S7" s="218" t="s">
        <v>100</v>
      </c>
      <c r="T7" s="218" t="s">
        <v>101</v>
      </c>
      <c r="U7" s="218" t="s">
        <v>102</v>
      </c>
      <c r="V7" s="218" t="s">
        <v>103</v>
      </c>
      <c r="W7" s="218" t="s">
        <v>104</v>
      </c>
      <c r="X7" s="216" t="s">
        <v>105</v>
      </c>
      <c r="Y7" s="216" t="s">
        <v>106</v>
      </c>
      <c r="Z7" s="218" t="s">
        <v>100</v>
      </c>
      <c r="AA7" s="218" t="s">
        <v>101</v>
      </c>
      <c r="AB7" s="218" t="s">
        <v>102</v>
      </c>
      <c r="AC7" s="218" t="s">
        <v>103</v>
      </c>
      <c r="AD7" s="225" t="s">
        <v>104</v>
      </c>
      <c r="AE7" s="216" t="s">
        <v>105</v>
      </c>
      <c r="AF7" s="216" t="s">
        <v>106</v>
      </c>
      <c r="AG7" s="225" t="s">
        <v>100</v>
      </c>
      <c r="AH7" s="218" t="s">
        <v>101</v>
      </c>
      <c r="AI7" s="218" t="s">
        <v>102</v>
      </c>
      <c r="AJ7" s="222" t="s">
        <v>103</v>
      </c>
    </row>
    <row r="8" spans="1:39" ht="15.75">
      <c r="A8" s="2">
        <v>1</v>
      </c>
      <c r="B8" s="209" t="s">
        <v>25</v>
      </c>
      <c r="C8" s="210" t="s">
        <v>26</v>
      </c>
      <c r="D8" s="211" t="s">
        <v>27</v>
      </c>
      <c r="E8" s="212">
        <f t="shared" ref="E8:E46" si="2">SUM(F8:AI8)</f>
        <v>0</v>
      </c>
      <c r="F8" s="223">
        <f>COUNTIFS('2026 Time Off Request'!$A:$A,'Dec 2026'!$D8,'2026 Time Off Request'!$L:$L,'Dec 2026'!F$6)</f>
        <v>0</v>
      </c>
      <c r="G8" s="148">
        <f>COUNTIFS('2026 Time Off Request'!$A:$A,'Dec 2026'!$D8,'2026 Time Off Request'!$L:$L,'Dec 2026'!G$6)</f>
        <v>0</v>
      </c>
      <c r="H8" s="148">
        <f>COUNTIFS('2026 Time Off Request'!$A:$A,'Dec 2026'!$D8,'2026 Time Off Request'!$L:$L,'Dec 2026'!H$6)</f>
        <v>0</v>
      </c>
      <c r="I8" s="148">
        <f>COUNTIFS('2026 Time Off Request'!$A:$A,'Dec 2026'!$D8,'2026 Time Off Request'!$L:$L,'Dec 2026'!I$6)</f>
        <v>0</v>
      </c>
      <c r="J8" s="147">
        <f>COUNTIFS('2026 Time Off Request'!$A:$A,'Dec 2026'!$D8,'2026 Time Off Request'!$L:$L,'Dec 2026'!J$6)</f>
        <v>0</v>
      </c>
      <c r="K8" s="147">
        <f>COUNTIFS('2026 Time Off Request'!$A:$A,'Dec 2026'!$D8,'2026 Time Off Request'!$L:$L,'Dec 2026'!K$6)</f>
        <v>0</v>
      </c>
      <c r="L8" s="148">
        <f>COUNTIFS('2026 Time Off Request'!$A:$A,'Dec 2026'!$D8,'2026 Time Off Request'!$L:$L,'Dec 2026'!L$6)</f>
        <v>0</v>
      </c>
      <c r="M8" s="148">
        <f>COUNTIFS('2026 Time Off Request'!$A:$A,'Dec 2026'!$D8,'2026 Time Off Request'!$L:$L,'Dec 2026'!M$6)</f>
        <v>0</v>
      </c>
      <c r="N8" s="148">
        <f>COUNTIFS('2026 Time Off Request'!$A:$A,'Dec 2026'!$D8,'2026 Time Off Request'!$L:$L,'Dec 2026'!N$6)</f>
        <v>0</v>
      </c>
      <c r="O8" s="148">
        <f>COUNTIFS('2026 Time Off Request'!$A:$A,'Dec 2026'!$D8,'2026 Time Off Request'!$L:$L,'Dec 2026'!O$6)</f>
        <v>0</v>
      </c>
      <c r="P8" s="148">
        <f>COUNTIFS('2026 Time Off Request'!$A:$A,'Dec 2026'!$D8,'2026 Time Off Request'!$L:$L,'Dec 2026'!P$6)</f>
        <v>0</v>
      </c>
      <c r="Q8" s="147">
        <f>COUNTIFS('2026 Time Off Request'!$A:$A,'Dec 2026'!$D8,'2026 Time Off Request'!$L:$L,'Dec 2026'!Q$6)</f>
        <v>0</v>
      </c>
      <c r="R8" s="147">
        <f>COUNTIFS('2026 Time Off Request'!$A:$A,'Dec 2026'!$D8,'2026 Time Off Request'!$L:$L,'Dec 2026'!R$6)</f>
        <v>0</v>
      </c>
      <c r="S8" s="148">
        <f>COUNTIFS('2026 Time Off Request'!$A:$A,'Dec 2026'!$D8,'2026 Time Off Request'!$L:$L,'Dec 2026'!S$6)</f>
        <v>0</v>
      </c>
      <c r="T8" s="148">
        <f>COUNTIFS('2026 Time Off Request'!$A:$A,'Dec 2026'!$D8,'2026 Time Off Request'!$L:$L,'Dec 2026'!T$6)</f>
        <v>0</v>
      </c>
      <c r="U8" s="148">
        <f>COUNTIFS('2026 Time Off Request'!$A:$A,'Dec 2026'!$D8,'2026 Time Off Request'!$L:$L,'Dec 2026'!U$6)</f>
        <v>0</v>
      </c>
      <c r="V8" s="148">
        <f>COUNTIFS('2026 Time Off Request'!$A:$A,'Dec 2026'!$D8,'2026 Time Off Request'!$L:$L,'Dec 2026'!V$6)</f>
        <v>0</v>
      </c>
      <c r="W8" s="148">
        <f>COUNTIFS('2026 Time Off Request'!$A:$A,'Dec 2026'!$D8,'2026 Time Off Request'!$L:$L,'Dec 2026'!W$6)</f>
        <v>0</v>
      </c>
      <c r="X8" s="147">
        <f>COUNTIFS('2026 Time Off Request'!$A:$A,'Dec 2026'!$D8,'2026 Time Off Request'!$L:$L,'Dec 2026'!X$6)</f>
        <v>0</v>
      </c>
      <c r="Y8" s="147">
        <f>COUNTIFS('2026 Time Off Request'!$A:$A,'Dec 2026'!$D8,'2026 Time Off Request'!$L:$L,'Dec 2026'!Y$6)</f>
        <v>0</v>
      </c>
      <c r="Z8" s="148">
        <f>COUNTIFS('2026 Time Off Request'!$A:$A,'Dec 2026'!$D8,'2026 Time Off Request'!$L:$L,'Dec 2026'!Z$6)</f>
        <v>0</v>
      </c>
      <c r="AA8" s="148">
        <f>COUNTIFS('2026 Time Off Request'!$A:$A,'Dec 2026'!$D8,'2026 Time Off Request'!$L:$L,'Dec 2026'!AA$6)</f>
        <v>0</v>
      </c>
      <c r="AB8" s="148">
        <f>COUNTIFS('2026 Time Off Request'!$A:$A,'Dec 2026'!$D8,'2026 Time Off Request'!$L:$L,'Dec 2026'!AB$6)</f>
        <v>0</v>
      </c>
      <c r="AC8" s="148">
        <f>COUNTIFS('2026 Time Off Request'!$A:$A,'Dec 2026'!$D8,'2026 Time Off Request'!$L:$L,'Dec 2026'!AC$6)</f>
        <v>0</v>
      </c>
      <c r="AD8" s="224">
        <f>COUNTIFS('2026 Time Off Request'!$A:$A,'Dec 2026'!$D8,'2026 Time Off Request'!$L:$L,'Dec 2026'!AD$6)</f>
        <v>0</v>
      </c>
      <c r="AE8" s="147">
        <f>COUNTIFS('2026 Time Off Request'!$A:$A,'Dec 2026'!$D8,'2026 Time Off Request'!$L:$L,'Dec 2026'!AE$6)</f>
        <v>0</v>
      </c>
      <c r="AF8" s="147">
        <f>COUNTIFS('2026 Time Off Request'!$A:$A,'Dec 2026'!$D8,'2026 Time Off Request'!$L:$L,'Dec 2026'!AF$6)</f>
        <v>0</v>
      </c>
      <c r="AG8" s="224">
        <f>COUNTIFS('2026 Time Off Request'!$A:$A,'Dec 2026'!$D8,'2026 Time Off Request'!$L:$L,'Dec 2026'!AG$6)</f>
        <v>0</v>
      </c>
      <c r="AH8" s="148">
        <f>COUNTIFS('2026 Time Off Request'!$A:$A,'Dec 2026'!$D8,'2026 Time Off Request'!$L:$L,'Dec 2026'!AH$6)</f>
        <v>0</v>
      </c>
      <c r="AI8" s="148">
        <f>COUNTIFS('2026 Time Off Request'!$A:$A,'Dec 2026'!$D8,'2026 Time Off Request'!$L:$L,'Dec 2026'!AI$6)</f>
        <v>0</v>
      </c>
      <c r="AJ8" s="148">
        <f>COUNTIFS('2026 Time Off Request'!$A:$A,'Dec 2026'!$D8,'2026 Time Off Request'!$L:$L,'Dec 2026'!AJ$6)</f>
        <v>0</v>
      </c>
    </row>
    <row r="9" spans="1:39" ht="15.75">
      <c r="A9" s="2">
        <v>2</v>
      </c>
      <c r="B9" s="209" t="s">
        <v>25</v>
      </c>
      <c r="C9" s="210" t="s">
        <v>28</v>
      </c>
      <c r="D9" s="215" t="s">
        <v>29</v>
      </c>
      <c r="E9" s="212">
        <f t="shared" si="2"/>
        <v>0</v>
      </c>
      <c r="F9" s="223">
        <f>COUNTIFS('2026 Time Off Request'!$A:$A,'Dec 2026'!$D9,'2026 Time Off Request'!$L:$L,'Dec 2026'!F$6)</f>
        <v>0</v>
      </c>
      <c r="G9" s="148">
        <f>COUNTIFS('2026 Time Off Request'!$A:$A,'Dec 2026'!$D9,'2026 Time Off Request'!$L:$L,'Dec 2026'!G$6)</f>
        <v>0</v>
      </c>
      <c r="H9" s="148">
        <f>COUNTIFS('2026 Time Off Request'!$A:$A,'Dec 2026'!$D9,'2026 Time Off Request'!$L:$L,'Dec 2026'!H$6)</f>
        <v>0</v>
      </c>
      <c r="I9" s="148">
        <f>COUNTIFS('2026 Time Off Request'!$A:$A,'Dec 2026'!$D9,'2026 Time Off Request'!$L:$L,'Dec 2026'!I$6)</f>
        <v>0</v>
      </c>
      <c r="J9" s="147">
        <f>COUNTIFS('2026 Time Off Request'!$A:$A,'Dec 2026'!$D9,'2026 Time Off Request'!$L:$L,'Dec 2026'!J$6)</f>
        <v>0</v>
      </c>
      <c r="K9" s="147">
        <f>COUNTIFS('2026 Time Off Request'!$A:$A,'Dec 2026'!$D9,'2026 Time Off Request'!$L:$L,'Dec 2026'!K$6)</f>
        <v>0</v>
      </c>
      <c r="L9" s="148">
        <f>COUNTIFS('2026 Time Off Request'!$A:$A,'Dec 2026'!$D9,'2026 Time Off Request'!$L:$L,'Dec 2026'!L$6)</f>
        <v>0</v>
      </c>
      <c r="M9" s="148">
        <f>COUNTIFS('2026 Time Off Request'!$A:$A,'Dec 2026'!$D9,'2026 Time Off Request'!$L:$L,'Dec 2026'!M$6)</f>
        <v>0</v>
      </c>
      <c r="N9" s="148">
        <f>COUNTIFS('2026 Time Off Request'!$A:$A,'Dec 2026'!$D9,'2026 Time Off Request'!$L:$L,'Dec 2026'!N$6)</f>
        <v>0</v>
      </c>
      <c r="O9" s="148">
        <f>COUNTIFS('2026 Time Off Request'!$A:$A,'Dec 2026'!$D9,'2026 Time Off Request'!$L:$L,'Dec 2026'!O$6)</f>
        <v>0</v>
      </c>
      <c r="P9" s="148">
        <f>COUNTIFS('2026 Time Off Request'!$A:$A,'Dec 2026'!$D9,'2026 Time Off Request'!$L:$L,'Dec 2026'!P$6)</f>
        <v>0</v>
      </c>
      <c r="Q9" s="147">
        <f>COUNTIFS('2026 Time Off Request'!$A:$A,'Dec 2026'!$D9,'2026 Time Off Request'!$L:$L,'Dec 2026'!Q$6)</f>
        <v>0</v>
      </c>
      <c r="R9" s="147">
        <f>COUNTIFS('2026 Time Off Request'!$A:$A,'Dec 2026'!$D9,'2026 Time Off Request'!$L:$L,'Dec 2026'!R$6)</f>
        <v>0</v>
      </c>
      <c r="S9" s="148">
        <f>COUNTIFS('2026 Time Off Request'!$A:$A,'Dec 2026'!$D9,'2026 Time Off Request'!$L:$L,'Dec 2026'!S$6)</f>
        <v>0</v>
      </c>
      <c r="T9" s="148">
        <f>COUNTIFS('2026 Time Off Request'!$A:$A,'Dec 2026'!$D9,'2026 Time Off Request'!$L:$L,'Dec 2026'!T$6)</f>
        <v>0</v>
      </c>
      <c r="U9" s="148">
        <f>COUNTIFS('2026 Time Off Request'!$A:$A,'Dec 2026'!$D9,'2026 Time Off Request'!$L:$L,'Dec 2026'!U$6)</f>
        <v>0</v>
      </c>
      <c r="V9" s="148">
        <f>COUNTIFS('2026 Time Off Request'!$A:$A,'Dec 2026'!$D9,'2026 Time Off Request'!$L:$L,'Dec 2026'!V$6)</f>
        <v>0</v>
      </c>
      <c r="W9" s="148">
        <f>COUNTIFS('2026 Time Off Request'!$A:$A,'Dec 2026'!$D9,'2026 Time Off Request'!$L:$L,'Dec 2026'!W$6)</f>
        <v>0</v>
      </c>
      <c r="X9" s="147">
        <f>COUNTIFS('2026 Time Off Request'!$A:$A,'Dec 2026'!$D9,'2026 Time Off Request'!$L:$L,'Dec 2026'!X$6)</f>
        <v>0</v>
      </c>
      <c r="Y9" s="147">
        <f>COUNTIFS('2026 Time Off Request'!$A:$A,'Dec 2026'!$D9,'2026 Time Off Request'!$L:$L,'Dec 2026'!Y$6)</f>
        <v>0</v>
      </c>
      <c r="Z9" s="148">
        <f>COUNTIFS('2026 Time Off Request'!$A:$A,'Dec 2026'!$D9,'2026 Time Off Request'!$L:$L,'Dec 2026'!Z$6)</f>
        <v>0</v>
      </c>
      <c r="AA9" s="148">
        <f>COUNTIFS('2026 Time Off Request'!$A:$A,'Dec 2026'!$D9,'2026 Time Off Request'!$L:$L,'Dec 2026'!AA$6)</f>
        <v>0</v>
      </c>
      <c r="AB9" s="148">
        <f>COUNTIFS('2026 Time Off Request'!$A:$A,'Dec 2026'!$D9,'2026 Time Off Request'!$L:$L,'Dec 2026'!AB$6)</f>
        <v>0</v>
      </c>
      <c r="AC9" s="148">
        <f>COUNTIFS('2026 Time Off Request'!$A:$A,'Dec 2026'!$D9,'2026 Time Off Request'!$L:$L,'Dec 2026'!AC$6)</f>
        <v>0</v>
      </c>
      <c r="AD9" s="224">
        <f>COUNTIFS('2026 Time Off Request'!$A:$A,'Dec 2026'!$D9,'2026 Time Off Request'!$L:$L,'Dec 2026'!AD$6)</f>
        <v>0</v>
      </c>
      <c r="AE9" s="147">
        <f>COUNTIFS('2026 Time Off Request'!$A:$A,'Dec 2026'!$D9,'2026 Time Off Request'!$L:$L,'Dec 2026'!AE$6)</f>
        <v>0</v>
      </c>
      <c r="AF9" s="147">
        <f>COUNTIFS('2026 Time Off Request'!$A:$A,'Dec 2026'!$D9,'2026 Time Off Request'!$L:$L,'Dec 2026'!AF$6)</f>
        <v>0</v>
      </c>
      <c r="AG9" s="224">
        <f>COUNTIFS('2026 Time Off Request'!$A:$A,'Dec 2026'!$D9,'2026 Time Off Request'!$L:$L,'Dec 2026'!AG$6)</f>
        <v>0</v>
      </c>
      <c r="AH9" s="148">
        <f>COUNTIFS('2026 Time Off Request'!$A:$A,'Dec 2026'!$D9,'2026 Time Off Request'!$L:$L,'Dec 2026'!AH$6)</f>
        <v>0</v>
      </c>
      <c r="AI9" s="148">
        <f>COUNTIFS('2026 Time Off Request'!$A:$A,'Dec 2026'!$D9,'2026 Time Off Request'!$L:$L,'Dec 2026'!AI$6)</f>
        <v>0</v>
      </c>
      <c r="AJ9" s="148">
        <f>COUNTIFS('2026 Time Off Request'!$A:$A,'Dec 2026'!$D9,'2026 Time Off Request'!$L:$L,'Dec 2026'!AJ$6)</f>
        <v>0</v>
      </c>
    </row>
    <row r="10" spans="1:39" ht="15.75">
      <c r="A10" s="2">
        <v>3</v>
      </c>
      <c r="B10" s="209" t="s">
        <v>25</v>
      </c>
      <c r="C10" s="210" t="s">
        <v>30</v>
      </c>
      <c r="D10" s="215" t="s">
        <v>31</v>
      </c>
      <c r="E10" s="212">
        <f t="shared" si="2"/>
        <v>0</v>
      </c>
      <c r="F10" s="223">
        <f>COUNTIFS('2026 Time Off Request'!$A:$A,'Dec 2026'!$D10,'2026 Time Off Request'!$L:$L,'Dec 2026'!F$6)</f>
        <v>0</v>
      </c>
      <c r="G10" s="148">
        <f>COUNTIFS('2026 Time Off Request'!$A:$A,'Dec 2026'!$D10,'2026 Time Off Request'!$L:$L,'Dec 2026'!G$6)</f>
        <v>0</v>
      </c>
      <c r="H10" s="148">
        <f>COUNTIFS('2026 Time Off Request'!$A:$A,'Dec 2026'!$D10,'2026 Time Off Request'!$L:$L,'Dec 2026'!H$6)</f>
        <v>0</v>
      </c>
      <c r="I10" s="148">
        <f>COUNTIFS('2026 Time Off Request'!$A:$A,'Dec 2026'!$D10,'2026 Time Off Request'!$L:$L,'Dec 2026'!I$6)</f>
        <v>0</v>
      </c>
      <c r="J10" s="147">
        <f>COUNTIFS('2026 Time Off Request'!$A:$A,'Dec 2026'!$D10,'2026 Time Off Request'!$L:$L,'Dec 2026'!J$6)</f>
        <v>0</v>
      </c>
      <c r="K10" s="147">
        <f>COUNTIFS('2026 Time Off Request'!$A:$A,'Dec 2026'!$D10,'2026 Time Off Request'!$L:$L,'Dec 2026'!K$6)</f>
        <v>0</v>
      </c>
      <c r="L10" s="148">
        <f>COUNTIFS('2026 Time Off Request'!$A:$A,'Dec 2026'!$D10,'2026 Time Off Request'!$L:$L,'Dec 2026'!L$6)</f>
        <v>0</v>
      </c>
      <c r="M10" s="148">
        <f>COUNTIFS('2026 Time Off Request'!$A:$A,'Dec 2026'!$D10,'2026 Time Off Request'!$L:$L,'Dec 2026'!M$6)</f>
        <v>0</v>
      </c>
      <c r="N10" s="148">
        <f>COUNTIFS('2026 Time Off Request'!$A:$A,'Dec 2026'!$D10,'2026 Time Off Request'!$L:$L,'Dec 2026'!N$6)</f>
        <v>0</v>
      </c>
      <c r="O10" s="148">
        <f>COUNTIFS('2026 Time Off Request'!$A:$A,'Dec 2026'!$D10,'2026 Time Off Request'!$L:$L,'Dec 2026'!O$6)</f>
        <v>0</v>
      </c>
      <c r="P10" s="148">
        <f>COUNTIFS('2026 Time Off Request'!$A:$A,'Dec 2026'!$D10,'2026 Time Off Request'!$L:$L,'Dec 2026'!P$6)</f>
        <v>0</v>
      </c>
      <c r="Q10" s="147">
        <f>COUNTIFS('2026 Time Off Request'!$A:$A,'Dec 2026'!$D10,'2026 Time Off Request'!$L:$L,'Dec 2026'!Q$6)</f>
        <v>0</v>
      </c>
      <c r="R10" s="147">
        <f>COUNTIFS('2026 Time Off Request'!$A:$A,'Dec 2026'!$D10,'2026 Time Off Request'!$L:$L,'Dec 2026'!R$6)</f>
        <v>0</v>
      </c>
      <c r="S10" s="148">
        <f>COUNTIFS('2026 Time Off Request'!$A:$A,'Dec 2026'!$D10,'2026 Time Off Request'!$L:$L,'Dec 2026'!S$6)</f>
        <v>0</v>
      </c>
      <c r="T10" s="148">
        <f>COUNTIFS('2026 Time Off Request'!$A:$A,'Dec 2026'!$D10,'2026 Time Off Request'!$L:$L,'Dec 2026'!T$6)</f>
        <v>0</v>
      </c>
      <c r="U10" s="148">
        <f>COUNTIFS('2026 Time Off Request'!$A:$A,'Dec 2026'!$D10,'2026 Time Off Request'!$L:$L,'Dec 2026'!U$6)</f>
        <v>0</v>
      </c>
      <c r="V10" s="148">
        <f>COUNTIFS('2026 Time Off Request'!$A:$A,'Dec 2026'!$D10,'2026 Time Off Request'!$L:$L,'Dec 2026'!V$6)</f>
        <v>0</v>
      </c>
      <c r="W10" s="148">
        <f>COUNTIFS('2026 Time Off Request'!$A:$A,'Dec 2026'!$D10,'2026 Time Off Request'!$L:$L,'Dec 2026'!W$6)</f>
        <v>0</v>
      </c>
      <c r="X10" s="147">
        <f>COUNTIFS('2026 Time Off Request'!$A:$A,'Dec 2026'!$D10,'2026 Time Off Request'!$L:$L,'Dec 2026'!X$6)</f>
        <v>0</v>
      </c>
      <c r="Y10" s="147">
        <f>COUNTIFS('2026 Time Off Request'!$A:$A,'Dec 2026'!$D10,'2026 Time Off Request'!$L:$L,'Dec 2026'!Y$6)</f>
        <v>0</v>
      </c>
      <c r="Z10" s="148">
        <f>COUNTIFS('2026 Time Off Request'!$A:$A,'Dec 2026'!$D10,'2026 Time Off Request'!$L:$L,'Dec 2026'!Z$6)</f>
        <v>0</v>
      </c>
      <c r="AA10" s="148">
        <f>COUNTIFS('2026 Time Off Request'!$A:$A,'Dec 2026'!$D10,'2026 Time Off Request'!$L:$L,'Dec 2026'!AA$6)</f>
        <v>0</v>
      </c>
      <c r="AB10" s="148">
        <f>COUNTIFS('2026 Time Off Request'!$A:$A,'Dec 2026'!$D10,'2026 Time Off Request'!$L:$L,'Dec 2026'!AB$6)</f>
        <v>0</v>
      </c>
      <c r="AC10" s="148">
        <f>COUNTIFS('2026 Time Off Request'!$A:$A,'Dec 2026'!$D10,'2026 Time Off Request'!$L:$L,'Dec 2026'!AC$6)</f>
        <v>0</v>
      </c>
      <c r="AD10" s="224">
        <f>COUNTIFS('2026 Time Off Request'!$A:$A,'Dec 2026'!$D10,'2026 Time Off Request'!$L:$L,'Dec 2026'!AD$6)</f>
        <v>0</v>
      </c>
      <c r="AE10" s="147">
        <f>COUNTIFS('2026 Time Off Request'!$A:$A,'Dec 2026'!$D10,'2026 Time Off Request'!$L:$L,'Dec 2026'!AE$6)</f>
        <v>0</v>
      </c>
      <c r="AF10" s="147">
        <f>COUNTIFS('2026 Time Off Request'!$A:$A,'Dec 2026'!$D10,'2026 Time Off Request'!$L:$L,'Dec 2026'!AF$6)</f>
        <v>0</v>
      </c>
      <c r="AG10" s="224">
        <f>COUNTIFS('2026 Time Off Request'!$A:$A,'Dec 2026'!$D10,'2026 Time Off Request'!$L:$L,'Dec 2026'!AG$6)</f>
        <v>0</v>
      </c>
      <c r="AH10" s="148">
        <f>COUNTIFS('2026 Time Off Request'!$A:$A,'Dec 2026'!$D10,'2026 Time Off Request'!$L:$L,'Dec 2026'!AH$6)</f>
        <v>0</v>
      </c>
      <c r="AI10" s="148">
        <f>COUNTIFS('2026 Time Off Request'!$A:$A,'Dec 2026'!$D10,'2026 Time Off Request'!$L:$L,'Dec 2026'!AI$6)</f>
        <v>0</v>
      </c>
      <c r="AJ10" s="148">
        <f>COUNTIFS('2026 Time Off Request'!$A:$A,'Dec 2026'!$D10,'2026 Time Off Request'!$L:$L,'Dec 2026'!AJ$6)</f>
        <v>0</v>
      </c>
    </row>
    <row r="11" spans="1:39" ht="15.75">
      <c r="A11" s="2">
        <v>4</v>
      </c>
      <c r="B11" s="209" t="s">
        <v>25</v>
      </c>
      <c r="C11" s="210" t="s">
        <v>32</v>
      </c>
      <c r="D11" s="215" t="s">
        <v>33</v>
      </c>
      <c r="E11" s="212">
        <f t="shared" si="2"/>
        <v>0</v>
      </c>
      <c r="F11" s="223">
        <f>COUNTIFS('2026 Time Off Request'!$A:$A,'Dec 2026'!$D11,'2026 Time Off Request'!$L:$L,'Dec 2026'!F$6)</f>
        <v>0</v>
      </c>
      <c r="G11" s="148">
        <f>COUNTIFS('2026 Time Off Request'!$A:$A,'Dec 2026'!$D11,'2026 Time Off Request'!$L:$L,'Dec 2026'!G$6)</f>
        <v>0</v>
      </c>
      <c r="H11" s="148">
        <f>COUNTIFS('2026 Time Off Request'!$A:$A,'Dec 2026'!$D11,'2026 Time Off Request'!$L:$L,'Dec 2026'!H$6)</f>
        <v>0</v>
      </c>
      <c r="I11" s="148">
        <f>COUNTIFS('2026 Time Off Request'!$A:$A,'Dec 2026'!$D11,'2026 Time Off Request'!$L:$L,'Dec 2026'!I$6)</f>
        <v>0</v>
      </c>
      <c r="J11" s="147">
        <f>COUNTIFS('2026 Time Off Request'!$A:$A,'Dec 2026'!$D11,'2026 Time Off Request'!$L:$L,'Dec 2026'!J$6)</f>
        <v>0</v>
      </c>
      <c r="K11" s="147">
        <f>COUNTIFS('2026 Time Off Request'!$A:$A,'Dec 2026'!$D11,'2026 Time Off Request'!$L:$L,'Dec 2026'!K$6)</f>
        <v>0</v>
      </c>
      <c r="L11" s="148">
        <f>COUNTIFS('2026 Time Off Request'!$A:$A,'Dec 2026'!$D11,'2026 Time Off Request'!$L:$L,'Dec 2026'!L$6)</f>
        <v>0</v>
      </c>
      <c r="M11" s="148">
        <f>COUNTIFS('2026 Time Off Request'!$A:$A,'Dec 2026'!$D11,'2026 Time Off Request'!$L:$L,'Dec 2026'!M$6)</f>
        <v>0</v>
      </c>
      <c r="N11" s="148">
        <f>COUNTIFS('2026 Time Off Request'!$A:$A,'Dec 2026'!$D11,'2026 Time Off Request'!$L:$L,'Dec 2026'!N$6)</f>
        <v>0</v>
      </c>
      <c r="O11" s="148">
        <f>COUNTIFS('2026 Time Off Request'!$A:$A,'Dec 2026'!$D11,'2026 Time Off Request'!$L:$L,'Dec 2026'!O$6)</f>
        <v>0</v>
      </c>
      <c r="P11" s="148">
        <f>COUNTIFS('2026 Time Off Request'!$A:$A,'Dec 2026'!$D11,'2026 Time Off Request'!$L:$L,'Dec 2026'!P$6)</f>
        <v>0</v>
      </c>
      <c r="Q11" s="147">
        <f>COUNTIFS('2026 Time Off Request'!$A:$A,'Dec 2026'!$D11,'2026 Time Off Request'!$L:$L,'Dec 2026'!Q$6)</f>
        <v>0</v>
      </c>
      <c r="R11" s="147">
        <f>COUNTIFS('2026 Time Off Request'!$A:$A,'Dec 2026'!$D11,'2026 Time Off Request'!$L:$L,'Dec 2026'!R$6)</f>
        <v>0</v>
      </c>
      <c r="S11" s="148">
        <f>COUNTIFS('2026 Time Off Request'!$A:$A,'Dec 2026'!$D11,'2026 Time Off Request'!$L:$L,'Dec 2026'!S$6)</f>
        <v>0</v>
      </c>
      <c r="T11" s="148">
        <f>COUNTIFS('2026 Time Off Request'!$A:$A,'Dec 2026'!$D11,'2026 Time Off Request'!$L:$L,'Dec 2026'!T$6)</f>
        <v>0</v>
      </c>
      <c r="U11" s="148">
        <f>COUNTIFS('2026 Time Off Request'!$A:$A,'Dec 2026'!$D11,'2026 Time Off Request'!$L:$L,'Dec 2026'!U$6)</f>
        <v>0</v>
      </c>
      <c r="V11" s="148">
        <f>COUNTIFS('2026 Time Off Request'!$A:$A,'Dec 2026'!$D11,'2026 Time Off Request'!$L:$L,'Dec 2026'!V$6)</f>
        <v>0</v>
      </c>
      <c r="W11" s="148">
        <f>COUNTIFS('2026 Time Off Request'!$A:$A,'Dec 2026'!$D11,'2026 Time Off Request'!$L:$L,'Dec 2026'!W$6)</f>
        <v>0</v>
      </c>
      <c r="X11" s="147">
        <f>COUNTIFS('2026 Time Off Request'!$A:$A,'Dec 2026'!$D11,'2026 Time Off Request'!$L:$L,'Dec 2026'!X$6)</f>
        <v>0</v>
      </c>
      <c r="Y11" s="147">
        <f>COUNTIFS('2026 Time Off Request'!$A:$A,'Dec 2026'!$D11,'2026 Time Off Request'!$L:$L,'Dec 2026'!Y$6)</f>
        <v>0</v>
      </c>
      <c r="Z11" s="148">
        <f>COUNTIFS('2026 Time Off Request'!$A:$A,'Dec 2026'!$D11,'2026 Time Off Request'!$L:$L,'Dec 2026'!Z$6)</f>
        <v>0</v>
      </c>
      <c r="AA11" s="148">
        <f>COUNTIFS('2026 Time Off Request'!$A:$A,'Dec 2026'!$D11,'2026 Time Off Request'!$L:$L,'Dec 2026'!AA$6)</f>
        <v>0</v>
      </c>
      <c r="AB11" s="148">
        <f>COUNTIFS('2026 Time Off Request'!$A:$A,'Dec 2026'!$D11,'2026 Time Off Request'!$L:$L,'Dec 2026'!AB$6)</f>
        <v>0</v>
      </c>
      <c r="AC11" s="148">
        <f>COUNTIFS('2026 Time Off Request'!$A:$A,'Dec 2026'!$D11,'2026 Time Off Request'!$L:$L,'Dec 2026'!AC$6)</f>
        <v>0</v>
      </c>
      <c r="AD11" s="224">
        <f>COUNTIFS('2026 Time Off Request'!$A:$A,'Dec 2026'!$D11,'2026 Time Off Request'!$L:$L,'Dec 2026'!AD$6)</f>
        <v>0</v>
      </c>
      <c r="AE11" s="147">
        <f>COUNTIFS('2026 Time Off Request'!$A:$A,'Dec 2026'!$D11,'2026 Time Off Request'!$L:$L,'Dec 2026'!AE$6)</f>
        <v>0</v>
      </c>
      <c r="AF11" s="147">
        <f>COUNTIFS('2026 Time Off Request'!$A:$A,'Dec 2026'!$D11,'2026 Time Off Request'!$L:$L,'Dec 2026'!AF$6)</f>
        <v>0</v>
      </c>
      <c r="AG11" s="224">
        <f>COUNTIFS('2026 Time Off Request'!$A:$A,'Dec 2026'!$D11,'2026 Time Off Request'!$L:$L,'Dec 2026'!AG$6)</f>
        <v>0</v>
      </c>
      <c r="AH11" s="148">
        <f>COUNTIFS('2026 Time Off Request'!$A:$A,'Dec 2026'!$D11,'2026 Time Off Request'!$L:$L,'Dec 2026'!AH$6)</f>
        <v>0</v>
      </c>
      <c r="AI11" s="148">
        <f>COUNTIFS('2026 Time Off Request'!$A:$A,'Dec 2026'!$D11,'2026 Time Off Request'!$L:$L,'Dec 2026'!AI$6)</f>
        <v>0</v>
      </c>
      <c r="AJ11" s="148">
        <f>COUNTIFS('2026 Time Off Request'!$A:$A,'Dec 2026'!$D11,'2026 Time Off Request'!$L:$L,'Dec 2026'!AJ$6)</f>
        <v>0</v>
      </c>
    </row>
    <row r="12" spans="1:39" ht="15.75">
      <c r="A12" s="2">
        <v>5</v>
      </c>
      <c r="B12" s="209" t="s">
        <v>25</v>
      </c>
      <c r="C12" s="210" t="s">
        <v>34</v>
      </c>
      <c r="D12" s="215" t="s">
        <v>35</v>
      </c>
      <c r="E12" s="212">
        <f t="shared" si="2"/>
        <v>0</v>
      </c>
      <c r="F12" s="223">
        <f>COUNTIFS('2026 Time Off Request'!$A:$A,'Dec 2026'!$D12,'2026 Time Off Request'!$L:$L,'Dec 2026'!F$6)</f>
        <v>0</v>
      </c>
      <c r="G12" s="148">
        <f>COUNTIFS('2026 Time Off Request'!$A:$A,'Dec 2026'!$D12,'2026 Time Off Request'!$L:$L,'Dec 2026'!G$6)</f>
        <v>0</v>
      </c>
      <c r="H12" s="148">
        <f>COUNTIFS('2026 Time Off Request'!$A:$A,'Dec 2026'!$D12,'2026 Time Off Request'!$L:$L,'Dec 2026'!H$6)</f>
        <v>0</v>
      </c>
      <c r="I12" s="148">
        <f>COUNTIFS('2026 Time Off Request'!$A:$A,'Dec 2026'!$D12,'2026 Time Off Request'!$L:$L,'Dec 2026'!I$6)</f>
        <v>0</v>
      </c>
      <c r="J12" s="147">
        <f>COUNTIFS('2026 Time Off Request'!$A:$A,'Dec 2026'!$D12,'2026 Time Off Request'!$L:$L,'Dec 2026'!J$6)</f>
        <v>0</v>
      </c>
      <c r="K12" s="147">
        <f>COUNTIFS('2026 Time Off Request'!$A:$A,'Dec 2026'!$D12,'2026 Time Off Request'!$L:$L,'Dec 2026'!K$6)</f>
        <v>0</v>
      </c>
      <c r="L12" s="148">
        <f>COUNTIFS('2026 Time Off Request'!$A:$A,'Dec 2026'!$D12,'2026 Time Off Request'!$L:$L,'Dec 2026'!L$6)</f>
        <v>0</v>
      </c>
      <c r="M12" s="148">
        <f>COUNTIFS('2026 Time Off Request'!$A:$A,'Dec 2026'!$D12,'2026 Time Off Request'!$L:$L,'Dec 2026'!M$6)</f>
        <v>0</v>
      </c>
      <c r="N12" s="148">
        <f>COUNTIFS('2026 Time Off Request'!$A:$A,'Dec 2026'!$D12,'2026 Time Off Request'!$L:$L,'Dec 2026'!N$6)</f>
        <v>0</v>
      </c>
      <c r="O12" s="148">
        <f>COUNTIFS('2026 Time Off Request'!$A:$A,'Dec 2026'!$D12,'2026 Time Off Request'!$L:$L,'Dec 2026'!O$6)</f>
        <v>0</v>
      </c>
      <c r="P12" s="148">
        <f>COUNTIFS('2026 Time Off Request'!$A:$A,'Dec 2026'!$D12,'2026 Time Off Request'!$L:$L,'Dec 2026'!P$6)</f>
        <v>0</v>
      </c>
      <c r="Q12" s="147">
        <f>COUNTIFS('2026 Time Off Request'!$A:$A,'Dec 2026'!$D12,'2026 Time Off Request'!$L:$L,'Dec 2026'!Q$6)</f>
        <v>0</v>
      </c>
      <c r="R12" s="147">
        <f>COUNTIFS('2026 Time Off Request'!$A:$A,'Dec 2026'!$D12,'2026 Time Off Request'!$L:$L,'Dec 2026'!R$6)</f>
        <v>0</v>
      </c>
      <c r="S12" s="148">
        <f>COUNTIFS('2026 Time Off Request'!$A:$A,'Dec 2026'!$D12,'2026 Time Off Request'!$L:$L,'Dec 2026'!S$6)</f>
        <v>0</v>
      </c>
      <c r="T12" s="148">
        <f>COUNTIFS('2026 Time Off Request'!$A:$A,'Dec 2026'!$D12,'2026 Time Off Request'!$L:$L,'Dec 2026'!T$6)</f>
        <v>0</v>
      </c>
      <c r="U12" s="148">
        <f>COUNTIFS('2026 Time Off Request'!$A:$A,'Dec 2026'!$D12,'2026 Time Off Request'!$L:$L,'Dec 2026'!U$6)</f>
        <v>0</v>
      </c>
      <c r="V12" s="148">
        <f>COUNTIFS('2026 Time Off Request'!$A:$A,'Dec 2026'!$D12,'2026 Time Off Request'!$L:$L,'Dec 2026'!V$6)</f>
        <v>0</v>
      </c>
      <c r="W12" s="148">
        <f>COUNTIFS('2026 Time Off Request'!$A:$A,'Dec 2026'!$D12,'2026 Time Off Request'!$L:$L,'Dec 2026'!W$6)</f>
        <v>0</v>
      </c>
      <c r="X12" s="147">
        <f>COUNTIFS('2026 Time Off Request'!$A:$A,'Dec 2026'!$D12,'2026 Time Off Request'!$L:$L,'Dec 2026'!X$6)</f>
        <v>0</v>
      </c>
      <c r="Y12" s="147">
        <f>COUNTIFS('2026 Time Off Request'!$A:$A,'Dec 2026'!$D12,'2026 Time Off Request'!$L:$L,'Dec 2026'!Y$6)</f>
        <v>0</v>
      </c>
      <c r="Z12" s="148">
        <f>COUNTIFS('2026 Time Off Request'!$A:$A,'Dec 2026'!$D12,'2026 Time Off Request'!$L:$L,'Dec 2026'!Z$6)</f>
        <v>0</v>
      </c>
      <c r="AA12" s="148">
        <f>COUNTIFS('2026 Time Off Request'!$A:$A,'Dec 2026'!$D12,'2026 Time Off Request'!$L:$L,'Dec 2026'!AA$6)</f>
        <v>0</v>
      </c>
      <c r="AB12" s="148">
        <f>COUNTIFS('2026 Time Off Request'!$A:$A,'Dec 2026'!$D12,'2026 Time Off Request'!$L:$L,'Dec 2026'!AB$6)</f>
        <v>0</v>
      </c>
      <c r="AC12" s="148">
        <f>COUNTIFS('2026 Time Off Request'!$A:$A,'Dec 2026'!$D12,'2026 Time Off Request'!$L:$L,'Dec 2026'!AC$6)</f>
        <v>0</v>
      </c>
      <c r="AD12" s="224">
        <f>COUNTIFS('2026 Time Off Request'!$A:$A,'Dec 2026'!$D12,'2026 Time Off Request'!$L:$L,'Dec 2026'!AD$6)</f>
        <v>0</v>
      </c>
      <c r="AE12" s="147">
        <f>COUNTIFS('2026 Time Off Request'!$A:$A,'Dec 2026'!$D12,'2026 Time Off Request'!$L:$L,'Dec 2026'!AE$6)</f>
        <v>0</v>
      </c>
      <c r="AF12" s="147">
        <f>COUNTIFS('2026 Time Off Request'!$A:$A,'Dec 2026'!$D12,'2026 Time Off Request'!$L:$L,'Dec 2026'!AF$6)</f>
        <v>0</v>
      </c>
      <c r="AG12" s="224">
        <f>COUNTIFS('2026 Time Off Request'!$A:$A,'Dec 2026'!$D12,'2026 Time Off Request'!$L:$L,'Dec 2026'!AG$6)</f>
        <v>0</v>
      </c>
      <c r="AH12" s="148">
        <f>COUNTIFS('2026 Time Off Request'!$A:$A,'Dec 2026'!$D12,'2026 Time Off Request'!$L:$L,'Dec 2026'!AH$6)</f>
        <v>0</v>
      </c>
      <c r="AI12" s="148">
        <f>COUNTIFS('2026 Time Off Request'!$A:$A,'Dec 2026'!$D12,'2026 Time Off Request'!$L:$L,'Dec 2026'!AI$6)</f>
        <v>0</v>
      </c>
      <c r="AJ12" s="148">
        <f>COUNTIFS('2026 Time Off Request'!$A:$A,'Dec 2026'!$D12,'2026 Time Off Request'!$L:$L,'Dec 2026'!AJ$6)</f>
        <v>0</v>
      </c>
    </row>
    <row r="13" spans="1:39" ht="15.75">
      <c r="A13" s="2">
        <v>6</v>
      </c>
      <c r="B13" s="209" t="s">
        <v>25</v>
      </c>
      <c r="C13" s="210" t="s">
        <v>108</v>
      </c>
      <c r="D13" s="215" t="s">
        <v>109</v>
      </c>
      <c r="E13" s="212">
        <f t="shared" si="2"/>
        <v>0</v>
      </c>
      <c r="F13" s="223">
        <f>COUNTIFS('2026 Time Off Request'!$A:$A,'Dec 2026'!$D13,'2026 Time Off Request'!$L:$L,'Dec 2026'!F$6)</f>
        <v>0</v>
      </c>
      <c r="G13" s="148">
        <f>COUNTIFS('2026 Time Off Request'!$A:$A,'Dec 2026'!$D13,'2026 Time Off Request'!$L:$L,'Dec 2026'!G$6)</f>
        <v>0</v>
      </c>
      <c r="H13" s="148">
        <f>COUNTIFS('2026 Time Off Request'!$A:$A,'Dec 2026'!$D13,'2026 Time Off Request'!$L:$L,'Dec 2026'!H$6)</f>
        <v>0</v>
      </c>
      <c r="I13" s="148">
        <f>COUNTIFS('2026 Time Off Request'!$A:$A,'Dec 2026'!$D13,'2026 Time Off Request'!$L:$L,'Dec 2026'!I$6)</f>
        <v>0</v>
      </c>
      <c r="J13" s="147">
        <f>COUNTIFS('2026 Time Off Request'!$A:$A,'Dec 2026'!$D13,'2026 Time Off Request'!$L:$L,'Dec 2026'!J$6)</f>
        <v>0</v>
      </c>
      <c r="K13" s="147">
        <f>COUNTIFS('2026 Time Off Request'!$A:$A,'Dec 2026'!$D13,'2026 Time Off Request'!$L:$L,'Dec 2026'!K$6)</f>
        <v>0</v>
      </c>
      <c r="L13" s="148">
        <f>COUNTIFS('2026 Time Off Request'!$A:$A,'Dec 2026'!$D13,'2026 Time Off Request'!$L:$L,'Dec 2026'!L$6)</f>
        <v>0</v>
      </c>
      <c r="M13" s="148">
        <f>COUNTIFS('2026 Time Off Request'!$A:$A,'Dec 2026'!$D13,'2026 Time Off Request'!$L:$L,'Dec 2026'!M$6)</f>
        <v>0</v>
      </c>
      <c r="N13" s="148">
        <f>COUNTIFS('2026 Time Off Request'!$A:$A,'Dec 2026'!$D13,'2026 Time Off Request'!$L:$L,'Dec 2026'!N$6)</f>
        <v>0</v>
      </c>
      <c r="O13" s="148">
        <f>COUNTIFS('2026 Time Off Request'!$A:$A,'Dec 2026'!$D13,'2026 Time Off Request'!$L:$L,'Dec 2026'!O$6)</f>
        <v>0</v>
      </c>
      <c r="P13" s="148">
        <f>COUNTIFS('2026 Time Off Request'!$A:$A,'Dec 2026'!$D13,'2026 Time Off Request'!$L:$L,'Dec 2026'!P$6)</f>
        <v>0</v>
      </c>
      <c r="Q13" s="147">
        <f>COUNTIFS('2026 Time Off Request'!$A:$A,'Dec 2026'!$D13,'2026 Time Off Request'!$L:$L,'Dec 2026'!Q$6)</f>
        <v>0</v>
      </c>
      <c r="R13" s="147">
        <f>COUNTIFS('2026 Time Off Request'!$A:$A,'Dec 2026'!$D13,'2026 Time Off Request'!$L:$L,'Dec 2026'!R$6)</f>
        <v>0</v>
      </c>
      <c r="S13" s="148">
        <f>COUNTIFS('2026 Time Off Request'!$A:$A,'Dec 2026'!$D13,'2026 Time Off Request'!$L:$L,'Dec 2026'!S$6)</f>
        <v>0</v>
      </c>
      <c r="T13" s="148">
        <f>COUNTIFS('2026 Time Off Request'!$A:$A,'Dec 2026'!$D13,'2026 Time Off Request'!$L:$L,'Dec 2026'!T$6)</f>
        <v>0</v>
      </c>
      <c r="U13" s="148">
        <f>COUNTIFS('2026 Time Off Request'!$A:$A,'Dec 2026'!$D13,'2026 Time Off Request'!$L:$L,'Dec 2026'!U$6)</f>
        <v>0</v>
      </c>
      <c r="V13" s="148">
        <f>COUNTIFS('2026 Time Off Request'!$A:$A,'Dec 2026'!$D13,'2026 Time Off Request'!$L:$L,'Dec 2026'!V$6)</f>
        <v>0</v>
      </c>
      <c r="W13" s="148">
        <f>COUNTIFS('2026 Time Off Request'!$A:$A,'Dec 2026'!$D13,'2026 Time Off Request'!$L:$L,'Dec 2026'!W$6)</f>
        <v>0</v>
      </c>
      <c r="X13" s="147">
        <f>COUNTIFS('2026 Time Off Request'!$A:$A,'Dec 2026'!$D13,'2026 Time Off Request'!$L:$L,'Dec 2026'!X$6)</f>
        <v>0</v>
      </c>
      <c r="Y13" s="147">
        <f>COUNTIFS('2026 Time Off Request'!$A:$A,'Dec 2026'!$D13,'2026 Time Off Request'!$L:$L,'Dec 2026'!Y$6)</f>
        <v>0</v>
      </c>
      <c r="Z13" s="148">
        <f>COUNTIFS('2026 Time Off Request'!$A:$A,'Dec 2026'!$D13,'2026 Time Off Request'!$L:$L,'Dec 2026'!Z$6)</f>
        <v>0</v>
      </c>
      <c r="AA13" s="148">
        <f>COUNTIFS('2026 Time Off Request'!$A:$A,'Dec 2026'!$D13,'2026 Time Off Request'!$L:$L,'Dec 2026'!AA$6)</f>
        <v>0</v>
      </c>
      <c r="AB13" s="148">
        <f>COUNTIFS('2026 Time Off Request'!$A:$A,'Dec 2026'!$D13,'2026 Time Off Request'!$L:$L,'Dec 2026'!AB$6)</f>
        <v>0</v>
      </c>
      <c r="AC13" s="148">
        <f>COUNTIFS('2026 Time Off Request'!$A:$A,'Dec 2026'!$D13,'2026 Time Off Request'!$L:$L,'Dec 2026'!AC$6)</f>
        <v>0</v>
      </c>
      <c r="AD13" s="224">
        <f>COUNTIFS('2026 Time Off Request'!$A:$A,'Dec 2026'!$D13,'2026 Time Off Request'!$L:$L,'Dec 2026'!AD$6)</f>
        <v>0</v>
      </c>
      <c r="AE13" s="147">
        <f>COUNTIFS('2026 Time Off Request'!$A:$A,'Dec 2026'!$D13,'2026 Time Off Request'!$L:$L,'Dec 2026'!AE$6)</f>
        <v>0</v>
      </c>
      <c r="AF13" s="147">
        <f>COUNTIFS('2026 Time Off Request'!$A:$A,'Dec 2026'!$D13,'2026 Time Off Request'!$L:$L,'Dec 2026'!AF$6)</f>
        <v>0</v>
      </c>
      <c r="AG13" s="224">
        <f>COUNTIFS('2026 Time Off Request'!$A:$A,'Dec 2026'!$D13,'2026 Time Off Request'!$L:$L,'Dec 2026'!AG$6)</f>
        <v>0</v>
      </c>
      <c r="AH13" s="148">
        <f>COUNTIFS('2026 Time Off Request'!$A:$A,'Dec 2026'!$D13,'2026 Time Off Request'!$L:$L,'Dec 2026'!AH$6)</f>
        <v>0</v>
      </c>
      <c r="AI13" s="148">
        <f>COUNTIFS('2026 Time Off Request'!$A:$A,'Dec 2026'!$D13,'2026 Time Off Request'!$L:$L,'Dec 2026'!AI$6)</f>
        <v>0</v>
      </c>
      <c r="AJ13" s="148">
        <f>COUNTIFS('2026 Time Off Request'!$A:$A,'Dec 2026'!$D13,'2026 Time Off Request'!$L:$L,'Dec 2026'!AJ$6)</f>
        <v>0</v>
      </c>
    </row>
    <row r="14" spans="1:39" ht="15.75">
      <c r="A14" s="2">
        <v>7</v>
      </c>
      <c r="B14" s="209" t="s">
        <v>36</v>
      </c>
      <c r="C14" s="210" t="s">
        <v>37</v>
      </c>
      <c r="D14" s="215" t="s">
        <v>38</v>
      </c>
      <c r="E14" s="212">
        <f t="shared" si="2"/>
        <v>0</v>
      </c>
      <c r="F14" s="223">
        <f>COUNTIFS('2026 Time Off Request'!$A:$A,'Dec 2026'!$D14,'2026 Time Off Request'!$L:$L,'Dec 2026'!F$6)</f>
        <v>0</v>
      </c>
      <c r="G14" s="148">
        <f>COUNTIFS('2026 Time Off Request'!$A:$A,'Dec 2026'!$D14,'2026 Time Off Request'!$L:$L,'Dec 2026'!G$6)</f>
        <v>0</v>
      </c>
      <c r="H14" s="148">
        <f>COUNTIFS('2026 Time Off Request'!$A:$A,'Dec 2026'!$D14,'2026 Time Off Request'!$L:$L,'Dec 2026'!H$6)</f>
        <v>0</v>
      </c>
      <c r="I14" s="148">
        <f>COUNTIFS('2026 Time Off Request'!$A:$A,'Dec 2026'!$D14,'2026 Time Off Request'!$L:$L,'Dec 2026'!I$6)</f>
        <v>0</v>
      </c>
      <c r="J14" s="147">
        <f>COUNTIFS('2026 Time Off Request'!$A:$A,'Dec 2026'!$D14,'2026 Time Off Request'!$L:$L,'Dec 2026'!J$6)</f>
        <v>0</v>
      </c>
      <c r="K14" s="147">
        <f>COUNTIFS('2026 Time Off Request'!$A:$A,'Dec 2026'!$D14,'2026 Time Off Request'!$L:$L,'Dec 2026'!K$6)</f>
        <v>0</v>
      </c>
      <c r="L14" s="148">
        <f>COUNTIFS('2026 Time Off Request'!$A:$A,'Dec 2026'!$D14,'2026 Time Off Request'!$L:$L,'Dec 2026'!L$6)</f>
        <v>0</v>
      </c>
      <c r="M14" s="148">
        <f>COUNTIFS('2026 Time Off Request'!$A:$A,'Dec 2026'!$D14,'2026 Time Off Request'!$L:$L,'Dec 2026'!M$6)</f>
        <v>0</v>
      </c>
      <c r="N14" s="148">
        <f>COUNTIFS('2026 Time Off Request'!$A:$A,'Dec 2026'!$D14,'2026 Time Off Request'!$L:$L,'Dec 2026'!N$6)</f>
        <v>0</v>
      </c>
      <c r="O14" s="148">
        <f>COUNTIFS('2026 Time Off Request'!$A:$A,'Dec 2026'!$D14,'2026 Time Off Request'!$L:$L,'Dec 2026'!O$6)</f>
        <v>0</v>
      </c>
      <c r="P14" s="148">
        <f>COUNTIFS('2026 Time Off Request'!$A:$A,'Dec 2026'!$D14,'2026 Time Off Request'!$L:$L,'Dec 2026'!P$6)</f>
        <v>0</v>
      </c>
      <c r="Q14" s="147">
        <f>COUNTIFS('2026 Time Off Request'!$A:$A,'Dec 2026'!$D14,'2026 Time Off Request'!$L:$L,'Dec 2026'!Q$6)</f>
        <v>0</v>
      </c>
      <c r="R14" s="147">
        <f>COUNTIFS('2026 Time Off Request'!$A:$A,'Dec 2026'!$D14,'2026 Time Off Request'!$L:$L,'Dec 2026'!R$6)</f>
        <v>0</v>
      </c>
      <c r="S14" s="148">
        <f>COUNTIFS('2026 Time Off Request'!$A:$A,'Dec 2026'!$D14,'2026 Time Off Request'!$L:$L,'Dec 2026'!S$6)</f>
        <v>0</v>
      </c>
      <c r="T14" s="148">
        <f>COUNTIFS('2026 Time Off Request'!$A:$A,'Dec 2026'!$D14,'2026 Time Off Request'!$L:$L,'Dec 2026'!T$6)</f>
        <v>0</v>
      </c>
      <c r="U14" s="148">
        <f>COUNTIFS('2026 Time Off Request'!$A:$A,'Dec 2026'!$D14,'2026 Time Off Request'!$L:$L,'Dec 2026'!U$6)</f>
        <v>0</v>
      </c>
      <c r="V14" s="148">
        <f>COUNTIFS('2026 Time Off Request'!$A:$A,'Dec 2026'!$D14,'2026 Time Off Request'!$L:$L,'Dec 2026'!V$6)</f>
        <v>0</v>
      </c>
      <c r="W14" s="148">
        <f>COUNTIFS('2026 Time Off Request'!$A:$A,'Dec 2026'!$D14,'2026 Time Off Request'!$L:$L,'Dec 2026'!W$6)</f>
        <v>0</v>
      </c>
      <c r="X14" s="147">
        <f>COUNTIFS('2026 Time Off Request'!$A:$A,'Dec 2026'!$D14,'2026 Time Off Request'!$L:$L,'Dec 2026'!X$6)</f>
        <v>0</v>
      </c>
      <c r="Y14" s="147">
        <f>COUNTIFS('2026 Time Off Request'!$A:$A,'Dec 2026'!$D14,'2026 Time Off Request'!$L:$L,'Dec 2026'!Y$6)</f>
        <v>0</v>
      </c>
      <c r="Z14" s="148">
        <f>COUNTIFS('2026 Time Off Request'!$A:$A,'Dec 2026'!$D14,'2026 Time Off Request'!$L:$L,'Dec 2026'!Z$6)</f>
        <v>0</v>
      </c>
      <c r="AA14" s="148">
        <f>COUNTIFS('2026 Time Off Request'!$A:$A,'Dec 2026'!$D14,'2026 Time Off Request'!$L:$L,'Dec 2026'!AA$6)</f>
        <v>0</v>
      </c>
      <c r="AB14" s="148">
        <f>COUNTIFS('2026 Time Off Request'!$A:$A,'Dec 2026'!$D14,'2026 Time Off Request'!$L:$L,'Dec 2026'!AB$6)</f>
        <v>0</v>
      </c>
      <c r="AC14" s="148">
        <f>COUNTIFS('2026 Time Off Request'!$A:$A,'Dec 2026'!$D14,'2026 Time Off Request'!$L:$L,'Dec 2026'!AC$6)</f>
        <v>0</v>
      </c>
      <c r="AD14" s="224">
        <f>COUNTIFS('2026 Time Off Request'!$A:$A,'Dec 2026'!$D14,'2026 Time Off Request'!$L:$L,'Dec 2026'!AD$6)</f>
        <v>0</v>
      </c>
      <c r="AE14" s="147">
        <f>COUNTIFS('2026 Time Off Request'!$A:$A,'Dec 2026'!$D14,'2026 Time Off Request'!$L:$L,'Dec 2026'!AE$6)</f>
        <v>0</v>
      </c>
      <c r="AF14" s="147">
        <f>COUNTIFS('2026 Time Off Request'!$A:$A,'Dec 2026'!$D14,'2026 Time Off Request'!$L:$L,'Dec 2026'!AF$6)</f>
        <v>0</v>
      </c>
      <c r="AG14" s="224">
        <f>COUNTIFS('2026 Time Off Request'!$A:$A,'Dec 2026'!$D14,'2026 Time Off Request'!$L:$L,'Dec 2026'!AG$6)</f>
        <v>0</v>
      </c>
      <c r="AH14" s="148">
        <f>COUNTIFS('2026 Time Off Request'!$A:$A,'Dec 2026'!$D14,'2026 Time Off Request'!$L:$L,'Dec 2026'!AH$6)</f>
        <v>0</v>
      </c>
      <c r="AI14" s="148">
        <f>COUNTIFS('2026 Time Off Request'!$A:$A,'Dec 2026'!$D14,'2026 Time Off Request'!$L:$L,'Dec 2026'!AI$6)</f>
        <v>0</v>
      </c>
      <c r="AJ14" s="148">
        <f>COUNTIFS('2026 Time Off Request'!$A:$A,'Dec 2026'!$D14,'2026 Time Off Request'!$L:$L,'Dec 2026'!AJ$6)</f>
        <v>0</v>
      </c>
    </row>
    <row r="15" spans="1:39" ht="15.75">
      <c r="A15" s="2">
        <v>8</v>
      </c>
      <c r="B15" s="209" t="s">
        <v>36</v>
      </c>
      <c r="C15" s="210" t="s">
        <v>37</v>
      </c>
      <c r="D15" s="215" t="s">
        <v>39</v>
      </c>
      <c r="E15" s="212">
        <f t="shared" si="2"/>
        <v>0</v>
      </c>
      <c r="F15" s="223">
        <f>COUNTIFS('2026 Time Off Request'!$A:$A,'Dec 2026'!$D15,'2026 Time Off Request'!$L:$L,'Dec 2026'!F$6)</f>
        <v>0</v>
      </c>
      <c r="G15" s="148">
        <f>COUNTIFS('2026 Time Off Request'!$A:$A,'Dec 2026'!$D15,'2026 Time Off Request'!$L:$L,'Dec 2026'!G$6)</f>
        <v>0</v>
      </c>
      <c r="H15" s="148">
        <f>COUNTIFS('2026 Time Off Request'!$A:$A,'Dec 2026'!$D15,'2026 Time Off Request'!$L:$L,'Dec 2026'!H$6)</f>
        <v>0</v>
      </c>
      <c r="I15" s="148">
        <f>COUNTIFS('2026 Time Off Request'!$A:$A,'Dec 2026'!$D15,'2026 Time Off Request'!$L:$L,'Dec 2026'!I$6)</f>
        <v>0</v>
      </c>
      <c r="J15" s="147">
        <f>COUNTIFS('2026 Time Off Request'!$A:$A,'Dec 2026'!$D15,'2026 Time Off Request'!$L:$L,'Dec 2026'!J$6)</f>
        <v>0</v>
      </c>
      <c r="K15" s="147">
        <f>COUNTIFS('2026 Time Off Request'!$A:$A,'Dec 2026'!$D15,'2026 Time Off Request'!$L:$L,'Dec 2026'!K$6)</f>
        <v>0</v>
      </c>
      <c r="L15" s="148">
        <f>COUNTIFS('2026 Time Off Request'!$A:$A,'Dec 2026'!$D15,'2026 Time Off Request'!$L:$L,'Dec 2026'!L$6)</f>
        <v>0</v>
      </c>
      <c r="M15" s="148">
        <f>COUNTIFS('2026 Time Off Request'!$A:$A,'Dec 2026'!$D15,'2026 Time Off Request'!$L:$L,'Dec 2026'!M$6)</f>
        <v>0</v>
      </c>
      <c r="N15" s="148">
        <f>COUNTIFS('2026 Time Off Request'!$A:$A,'Dec 2026'!$D15,'2026 Time Off Request'!$L:$L,'Dec 2026'!N$6)</f>
        <v>0</v>
      </c>
      <c r="O15" s="148">
        <f>COUNTIFS('2026 Time Off Request'!$A:$A,'Dec 2026'!$D15,'2026 Time Off Request'!$L:$L,'Dec 2026'!O$6)</f>
        <v>0</v>
      </c>
      <c r="P15" s="148">
        <f>COUNTIFS('2026 Time Off Request'!$A:$A,'Dec 2026'!$D15,'2026 Time Off Request'!$L:$L,'Dec 2026'!P$6)</f>
        <v>0</v>
      </c>
      <c r="Q15" s="147">
        <f>COUNTIFS('2026 Time Off Request'!$A:$A,'Dec 2026'!$D15,'2026 Time Off Request'!$L:$L,'Dec 2026'!Q$6)</f>
        <v>0</v>
      </c>
      <c r="R15" s="147">
        <f>COUNTIFS('2026 Time Off Request'!$A:$A,'Dec 2026'!$D15,'2026 Time Off Request'!$L:$L,'Dec 2026'!R$6)</f>
        <v>0</v>
      </c>
      <c r="S15" s="148">
        <f>COUNTIFS('2026 Time Off Request'!$A:$A,'Dec 2026'!$D15,'2026 Time Off Request'!$L:$L,'Dec 2026'!S$6)</f>
        <v>0</v>
      </c>
      <c r="T15" s="148">
        <f>COUNTIFS('2026 Time Off Request'!$A:$A,'Dec 2026'!$D15,'2026 Time Off Request'!$L:$L,'Dec 2026'!T$6)</f>
        <v>0</v>
      </c>
      <c r="U15" s="148">
        <f>COUNTIFS('2026 Time Off Request'!$A:$A,'Dec 2026'!$D15,'2026 Time Off Request'!$L:$L,'Dec 2026'!U$6)</f>
        <v>0</v>
      </c>
      <c r="V15" s="148">
        <f>COUNTIFS('2026 Time Off Request'!$A:$A,'Dec 2026'!$D15,'2026 Time Off Request'!$L:$L,'Dec 2026'!V$6)</f>
        <v>0</v>
      </c>
      <c r="W15" s="148">
        <f>COUNTIFS('2026 Time Off Request'!$A:$A,'Dec 2026'!$D15,'2026 Time Off Request'!$L:$L,'Dec 2026'!W$6)</f>
        <v>0</v>
      </c>
      <c r="X15" s="147">
        <f>COUNTIFS('2026 Time Off Request'!$A:$A,'Dec 2026'!$D15,'2026 Time Off Request'!$L:$L,'Dec 2026'!X$6)</f>
        <v>0</v>
      </c>
      <c r="Y15" s="147">
        <f>COUNTIFS('2026 Time Off Request'!$A:$A,'Dec 2026'!$D15,'2026 Time Off Request'!$L:$L,'Dec 2026'!Y$6)</f>
        <v>0</v>
      </c>
      <c r="Z15" s="148">
        <f>COUNTIFS('2026 Time Off Request'!$A:$A,'Dec 2026'!$D15,'2026 Time Off Request'!$L:$L,'Dec 2026'!Z$6)</f>
        <v>0</v>
      </c>
      <c r="AA15" s="148">
        <f>COUNTIFS('2026 Time Off Request'!$A:$A,'Dec 2026'!$D15,'2026 Time Off Request'!$L:$L,'Dec 2026'!AA$6)</f>
        <v>0</v>
      </c>
      <c r="AB15" s="148">
        <f>COUNTIFS('2026 Time Off Request'!$A:$A,'Dec 2026'!$D15,'2026 Time Off Request'!$L:$L,'Dec 2026'!AB$6)</f>
        <v>0</v>
      </c>
      <c r="AC15" s="148">
        <f>COUNTIFS('2026 Time Off Request'!$A:$A,'Dec 2026'!$D15,'2026 Time Off Request'!$L:$L,'Dec 2026'!AC$6)</f>
        <v>0</v>
      </c>
      <c r="AD15" s="224">
        <f>COUNTIFS('2026 Time Off Request'!$A:$A,'Dec 2026'!$D15,'2026 Time Off Request'!$L:$L,'Dec 2026'!AD$6)</f>
        <v>0</v>
      </c>
      <c r="AE15" s="147">
        <f>COUNTIFS('2026 Time Off Request'!$A:$A,'Dec 2026'!$D15,'2026 Time Off Request'!$L:$L,'Dec 2026'!AE$6)</f>
        <v>0</v>
      </c>
      <c r="AF15" s="147">
        <f>COUNTIFS('2026 Time Off Request'!$A:$A,'Dec 2026'!$D15,'2026 Time Off Request'!$L:$L,'Dec 2026'!AF$6)</f>
        <v>0</v>
      </c>
      <c r="AG15" s="224">
        <f>COUNTIFS('2026 Time Off Request'!$A:$A,'Dec 2026'!$D15,'2026 Time Off Request'!$L:$L,'Dec 2026'!AG$6)</f>
        <v>0</v>
      </c>
      <c r="AH15" s="148">
        <f>COUNTIFS('2026 Time Off Request'!$A:$A,'Dec 2026'!$D15,'2026 Time Off Request'!$L:$L,'Dec 2026'!AH$6)</f>
        <v>0</v>
      </c>
      <c r="AI15" s="148">
        <f>COUNTIFS('2026 Time Off Request'!$A:$A,'Dec 2026'!$D15,'2026 Time Off Request'!$L:$L,'Dec 2026'!AI$6)</f>
        <v>0</v>
      </c>
      <c r="AJ15" s="148">
        <f>COUNTIFS('2026 Time Off Request'!$A:$A,'Dec 2026'!$D15,'2026 Time Off Request'!$L:$L,'Dec 2026'!AJ$6)</f>
        <v>0</v>
      </c>
    </row>
    <row r="16" spans="1:39" ht="15.75">
      <c r="A16" s="2">
        <v>9</v>
      </c>
      <c r="B16" s="209" t="s">
        <v>36</v>
      </c>
      <c r="C16" s="210" t="s">
        <v>37</v>
      </c>
      <c r="D16" s="215" t="s">
        <v>40</v>
      </c>
      <c r="E16" s="212">
        <f t="shared" si="2"/>
        <v>0</v>
      </c>
      <c r="F16" s="223">
        <f>COUNTIFS('2026 Time Off Request'!$A:$A,'Dec 2026'!$D16,'2026 Time Off Request'!$L:$L,'Dec 2026'!F$6)</f>
        <v>0</v>
      </c>
      <c r="G16" s="148">
        <f>COUNTIFS('2026 Time Off Request'!$A:$A,'Dec 2026'!$D16,'2026 Time Off Request'!$L:$L,'Dec 2026'!G$6)</f>
        <v>0</v>
      </c>
      <c r="H16" s="148">
        <f>COUNTIFS('2026 Time Off Request'!$A:$A,'Dec 2026'!$D16,'2026 Time Off Request'!$L:$L,'Dec 2026'!H$6)</f>
        <v>0</v>
      </c>
      <c r="I16" s="148">
        <f>COUNTIFS('2026 Time Off Request'!$A:$A,'Dec 2026'!$D16,'2026 Time Off Request'!$L:$L,'Dec 2026'!I$6)</f>
        <v>0</v>
      </c>
      <c r="J16" s="147">
        <f>COUNTIFS('2026 Time Off Request'!$A:$A,'Dec 2026'!$D16,'2026 Time Off Request'!$L:$L,'Dec 2026'!J$6)</f>
        <v>0</v>
      </c>
      <c r="K16" s="147">
        <f>COUNTIFS('2026 Time Off Request'!$A:$A,'Dec 2026'!$D16,'2026 Time Off Request'!$L:$L,'Dec 2026'!K$6)</f>
        <v>0</v>
      </c>
      <c r="L16" s="148">
        <f>COUNTIFS('2026 Time Off Request'!$A:$A,'Dec 2026'!$D16,'2026 Time Off Request'!$L:$L,'Dec 2026'!L$6)</f>
        <v>0</v>
      </c>
      <c r="M16" s="148">
        <f>COUNTIFS('2026 Time Off Request'!$A:$A,'Dec 2026'!$D16,'2026 Time Off Request'!$L:$L,'Dec 2026'!M$6)</f>
        <v>0</v>
      </c>
      <c r="N16" s="148">
        <f>COUNTIFS('2026 Time Off Request'!$A:$A,'Dec 2026'!$D16,'2026 Time Off Request'!$L:$L,'Dec 2026'!N$6)</f>
        <v>0</v>
      </c>
      <c r="O16" s="148">
        <f>COUNTIFS('2026 Time Off Request'!$A:$A,'Dec 2026'!$D16,'2026 Time Off Request'!$L:$L,'Dec 2026'!O$6)</f>
        <v>0</v>
      </c>
      <c r="P16" s="148">
        <f>COUNTIFS('2026 Time Off Request'!$A:$A,'Dec 2026'!$D16,'2026 Time Off Request'!$L:$L,'Dec 2026'!P$6)</f>
        <v>0</v>
      </c>
      <c r="Q16" s="147">
        <f>COUNTIFS('2026 Time Off Request'!$A:$A,'Dec 2026'!$D16,'2026 Time Off Request'!$L:$L,'Dec 2026'!Q$6)</f>
        <v>0</v>
      </c>
      <c r="R16" s="147">
        <f>COUNTIFS('2026 Time Off Request'!$A:$A,'Dec 2026'!$D16,'2026 Time Off Request'!$L:$L,'Dec 2026'!R$6)</f>
        <v>0</v>
      </c>
      <c r="S16" s="148">
        <f>COUNTIFS('2026 Time Off Request'!$A:$A,'Dec 2026'!$D16,'2026 Time Off Request'!$L:$L,'Dec 2026'!S$6)</f>
        <v>0</v>
      </c>
      <c r="T16" s="148">
        <f>COUNTIFS('2026 Time Off Request'!$A:$A,'Dec 2026'!$D16,'2026 Time Off Request'!$L:$L,'Dec 2026'!T$6)</f>
        <v>0</v>
      </c>
      <c r="U16" s="148">
        <f>COUNTIFS('2026 Time Off Request'!$A:$A,'Dec 2026'!$D16,'2026 Time Off Request'!$L:$L,'Dec 2026'!U$6)</f>
        <v>0</v>
      </c>
      <c r="V16" s="148">
        <f>COUNTIFS('2026 Time Off Request'!$A:$A,'Dec 2026'!$D16,'2026 Time Off Request'!$L:$L,'Dec 2026'!V$6)</f>
        <v>0</v>
      </c>
      <c r="W16" s="148">
        <f>COUNTIFS('2026 Time Off Request'!$A:$A,'Dec 2026'!$D16,'2026 Time Off Request'!$L:$L,'Dec 2026'!W$6)</f>
        <v>0</v>
      </c>
      <c r="X16" s="147">
        <f>COUNTIFS('2026 Time Off Request'!$A:$A,'Dec 2026'!$D16,'2026 Time Off Request'!$L:$L,'Dec 2026'!X$6)</f>
        <v>0</v>
      </c>
      <c r="Y16" s="147">
        <f>COUNTIFS('2026 Time Off Request'!$A:$A,'Dec 2026'!$D16,'2026 Time Off Request'!$L:$L,'Dec 2026'!Y$6)</f>
        <v>0</v>
      </c>
      <c r="Z16" s="148">
        <f>COUNTIFS('2026 Time Off Request'!$A:$A,'Dec 2026'!$D16,'2026 Time Off Request'!$L:$L,'Dec 2026'!Z$6)</f>
        <v>0</v>
      </c>
      <c r="AA16" s="148">
        <f>COUNTIFS('2026 Time Off Request'!$A:$A,'Dec 2026'!$D16,'2026 Time Off Request'!$L:$L,'Dec 2026'!AA$6)</f>
        <v>0</v>
      </c>
      <c r="AB16" s="148">
        <f>COUNTIFS('2026 Time Off Request'!$A:$A,'Dec 2026'!$D16,'2026 Time Off Request'!$L:$L,'Dec 2026'!AB$6)</f>
        <v>0</v>
      </c>
      <c r="AC16" s="148">
        <f>COUNTIFS('2026 Time Off Request'!$A:$A,'Dec 2026'!$D16,'2026 Time Off Request'!$L:$L,'Dec 2026'!AC$6)</f>
        <v>0</v>
      </c>
      <c r="AD16" s="224">
        <f>COUNTIFS('2026 Time Off Request'!$A:$A,'Dec 2026'!$D16,'2026 Time Off Request'!$L:$L,'Dec 2026'!AD$6)</f>
        <v>0</v>
      </c>
      <c r="AE16" s="147">
        <f>COUNTIFS('2026 Time Off Request'!$A:$A,'Dec 2026'!$D16,'2026 Time Off Request'!$L:$L,'Dec 2026'!AE$6)</f>
        <v>0</v>
      </c>
      <c r="AF16" s="147">
        <f>COUNTIFS('2026 Time Off Request'!$A:$A,'Dec 2026'!$D16,'2026 Time Off Request'!$L:$L,'Dec 2026'!AF$6)</f>
        <v>0</v>
      </c>
      <c r="AG16" s="224">
        <f>COUNTIFS('2026 Time Off Request'!$A:$A,'Dec 2026'!$D16,'2026 Time Off Request'!$L:$L,'Dec 2026'!AG$6)</f>
        <v>0</v>
      </c>
      <c r="AH16" s="148">
        <f>COUNTIFS('2026 Time Off Request'!$A:$A,'Dec 2026'!$D16,'2026 Time Off Request'!$L:$L,'Dec 2026'!AH$6)</f>
        <v>0</v>
      </c>
      <c r="AI16" s="148">
        <f>COUNTIFS('2026 Time Off Request'!$A:$A,'Dec 2026'!$D16,'2026 Time Off Request'!$L:$L,'Dec 2026'!AI$6)</f>
        <v>0</v>
      </c>
      <c r="AJ16" s="148">
        <f>COUNTIFS('2026 Time Off Request'!$A:$A,'Dec 2026'!$D16,'2026 Time Off Request'!$L:$L,'Dec 2026'!AJ$6)</f>
        <v>0</v>
      </c>
    </row>
    <row r="17" spans="1:36" ht="15.75">
      <c r="A17" s="2">
        <v>10</v>
      </c>
      <c r="B17" s="209" t="s">
        <v>36</v>
      </c>
      <c r="C17" s="210" t="s">
        <v>37</v>
      </c>
      <c r="D17" s="215" t="s">
        <v>41</v>
      </c>
      <c r="E17" s="212">
        <f t="shared" si="2"/>
        <v>0</v>
      </c>
      <c r="F17" s="223">
        <f>COUNTIFS('2026 Time Off Request'!$A:$A,'Dec 2026'!$D17,'2026 Time Off Request'!$L:$L,'Dec 2026'!F$6)</f>
        <v>0</v>
      </c>
      <c r="G17" s="148">
        <f>COUNTIFS('2026 Time Off Request'!$A:$A,'Dec 2026'!$D17,'2026 Time Off Request'!$L:$L,'Dec 2026'!G$6)</f>
        <v>0</v>
      </c>
      <c r="H17" s="148">
        <f>COUNTIFS('2026 Time Off Request'!$A:$A,'Dec 2026'!$D17,'2026 Time Off Request'!$L:$L,'Dec 2026'!H$6)</f>
        <v>0</v>
      </c>
      <c r="I17" s="148">
        <f>COUNTIFS('2026 Time Off Request'!$A:$A,'Dec 2026'!$D17,'2026 Time Off Request'!$L:$L,'Dec 2026'!I$6)</f>
        <v>0</v>
      </c>
      <c r="J17" s="147">
        <f>COUNTIFS('2026 Time Off Request'!$A:$A,'Dec 2026'!$D17,'2026 Time Off Request'!$L:$L,'Dec 2026'!J$6)</f>
        <v>0</v>
      </c>
      <c r="K17" s="147">
        <f>COUNTIFS('2026 Time Off Request'!$A:$A,'Dec 2026'!$D17,'2026 Time Off Request'!$L:$L,'Dec 2026'!K$6)</f>
        <v>0</v>
      </c>
      <c r="L17" s="148">
        <f>COUNTIFS('2026 Time Off Request'!$A:$A,'Dec 2026'!$D17,'2026 Time Off Request'!$L:$L,'Dec 2026'!L$6)</f>
        <v>0</v>
      </c>
      <c r="M17" s="148">
        <f>COUNTIFS('2026 Time Off Request'!$A:$A,'Dec 2026'!$D17,'2026 Time Off Request'!$L:$L,'Dec 2026'!M$6)</f>
        <v>0</v>
      </c>
      <c r="N17" s="148">
        <f>COUNTIFS('2026 Time Off Request'!$A:$A,'Dec 2026'!$D17,'2026 Time Off Request'!$L:$L,'Dec 2026'!N$6)</f>
        <v>0</v>
      </c>
      <c r="O17" s="148">
        <f>COUNTIFS('2026 Time Off Request'!$A:$A,'Dec 2026'!$D17,'2026 Time Off Request'!$L:$L,'Dec 2026'!O$6)</f>
        <v>0</v>
      </c>
      <c r="P17" s="148">
        <f>COUNTIFS('2026 Time Off Request'!$A:$A,'Dec 2026'!$D17,'2026 Time Off Request'!$L:$L,'Dec 2026'!P$6)</f>
        <v>0</v>
      </c>
      <c r="Q17" s="147">
        <f>COUNTIFS('2026 Time Off Request'!$A:$A,'Dec 2026'!$D17,'2026 Time Off Request'!$L:$L,'Dec 2026'!Q$6)</f>
        <v>0</v>
      </c>
      <c r="R17" s="147">
        <f>COUNTIFS('2026 Time Off Request'!$A:$A,'Dec 2026'!$D17,'2026 Time Off Request'!$L:$L,'Dec 2026'!R$6)</f>
        <v>0</v>
      </c>
      <c r="S17" s="148">
        <f>COUNTIFS('2026 Time Off Request'!$A:$A,'Dec 2026'!$D17,'2026 Time Off Request'!$L:$L,'Dec 2026'!S$6)</f>
        <v>0</v>
      </c>
      <c r="T17" s="148">
        <f>COUNTIFS('2026 Time Off Request'!$A:$A,'Dec 2026'!$D17,'2026 Time Off Request'!$L:$L,'Dec 2026'!T$6)</f>
        <v>0</v>
      </c>
      <c r="U17" s="148">
        <f>COUNTIFS('2026 Time Off Request'!$A:$A,'Dec 2026'!$D17,'2026 Time Off Request'!$L:$L,'Dec 2026'!U$6)</f>
        <v>0</v>
      </c>
      <c r="V17" s="148">
        <f>COUNTIFS('2026 Time Off Request'!$A:$A,'Dec 2026'!$D17,'2026 Time Off Request'!$L:$L,'Dec 2026'!V$6)</f>
        <v>0</v>
      </c>
      <c r="W17" s="148">
        <f>COUNTIFS('2026 Time Off Request'!$A:$A,'Dec 2026'!$D17,'2026 Time Off Request'!$L:$L,'Dec 2026'!W$6)</f>
        <v>0</v>
      </c>
      <c r="X17" s="147">
        <f>COUNTIFS('2026 Time Off Request'!$A:$A,'Dec 2026'!$D17,'2026 Time Off Request'!$L:$L,'Dec 2026'!X$6)</f>
        <v>0</v>
      </c>
      <c r="Y17" s="147">
        <f>COUNTIFS('2026 Time Off Request'!$A:$A,'Dec 2026'!$D17,'2026 Time Off Request'!$L:$L,'Dec 2026'!Y$6)</f>
        <v>0</v>
      </c>
      <c r="Z17" s="148">
        <f>COUNTIFS('2026 Time Off Request'!$A:$A,'Dec 2026'!$D17,'2026 Time Off Request'!$L:$L,'Dec 2026'!Z$6)</f>
        <v>0</v>
      </c>
      <c r="AA17" s="148">
        <f>COUNTIFS('2026 Time Off Request'!$A:$A,'Dec 2026'!$D17,'2026 Time Off Request'!$L:$L,'Dec 2026'!AA$6)</f>
        <v>0</v>
      </c>
      <c r="AB17" s="148">
        <f>COUNTIFS('2026 Time Off Request'!$A:$A,'Dec 2026'!$D17,'2026 Time Off Request'!$L:$L,'Dec 2026'!AB$6)</f>
        <v>0</v>
      </c>
      <c r="AC17" s="148">
        <f>COUNTIFS('2026 Time Off Request'!$A:$A,'Dec 2026'!$D17,'2026 Time Off Request'!$L:$L,'Dec 2026'!AC$6)</f>
        <v>0</v>
      </c>
      <c r="AD17" s="224">
        <f>COUNTIFS('2026 Time Off Request'!$A:$A,'Dec 2026'!$D17,'2026 Time Off Request'!$L:$L,'Dec 2026'!AD$6)</f>
        <v>0</v>
      </c>
      <c r="AE17" s="147">
        <f>COUNTIFS('2026 Time Off Request'!$A:$A,'Dec 2026'!$D17,'2026 Time Off Request'!$L:$L,'Dec 2026'!AE$6)</f>
        <v>0</v>
      </c>
      <c r="AF17" s="147">
        <f>COUNTIFS('2026 Time Off Request'!$A:$A,'Dec 2026'!$D17,'2026 Time Off Request'!$L:$L,'Dec 2026'!AF$6)</f>
        <v>0</v>
      </c>
      <c r="AG17" s="224">
        <f>COUNTIFS('2026 Time Off Request'!$A:$A,'Dec 2026'!$D17,'2026 Time Off Request'!$L:$L,'Dec 2026'!AG$6)</f>
        <v>0</v>
      </c>
      <c r="AH17" s="148">
        <f>COUNTIFS('2026 Time Off Request'!$A:$A,'Dec 2026'!$D17,'2026 Time Off Request'!$L:$L,'Dec 2026'!AH$6)</f>
        <v>0</v>
      </c>
      <c r="AI17" s="148">
        <f>COUNTIFS('2026 Time Off Request'!$A:$A,'Dec 2026'!$D17,'2026 Time Off Request'!$L:$L,'Dec 2026'!AI$6)</f>
        <v>0</v>
      </c>
      <c r="AJ17" s="148">
        <f>COUNTIFS('2026 Time Off Request'!$A:$A,'Dec 2026'!$D17,'2026 Time Off Request'!$L:$L,'Dec 2026'!AJ$6)</f>
        <v>0</v>
      </c>
    </row>
    <row r="18" spans="1:36" ht="15.75">
      <c r="A18" s="2">
        <v>11</v>
      </c>
      <c r="B18" s="209" t="s">
        <v>36</v>
      </c>
      <c r="C18" s="210" t="s">
        <v>37</v>
      </c>
      <c r="D18" s="215" t="s">
        <v>42</v>
      </c>
      <c r="E18" s="212">
        <f t="shared" si="2"/>
        <v>0</v>
      </c>
      <c r="F18" s="223">
        <f>COUNTIFS('2026 Time Off Request'!$A:$A,'Dec 2026'!$D18,'2026 Time Off Request'!$L:$L,'Dec 2026'!F$6)</f>
        <v>0</v>
      </c>
      <c r="G18" s="148">
        <f>COUNTIFS('2026 Time Off Request'!$A:$A,'Dec 2026'!$D18,'2026 Time Off Request'!$L:$L,'Dec 2026'!G$6)</f>
        <v>0</v>
      </c>
      <c r="H18" s="148">
        <f>COUNTIFS('2026 Time Off Request'!$A:$A,'Dec 2026'!$D18,'2026 Time Off Request'!$L:$L,'Dec 2026'!H$6)</f>
        <v>0</v>
      </c>
      <c r="I18" s="148">
        <f>COUNTIFS('2026 Time Off Request'!$A:$A,'Dec 2026'!$D18,'2026 Time Off Request'!$L:$L,'Dec 2026'!I$6)</f>
        <v>0</v>
      </c>
      <c r="J18" s="147">
        <f>COUNTIFS('2026 Time Off Request'!$A:$A,'Dec 2026'!$D18,'2026 Time Off Request'!$L:$L,'Dec 2026'!J$6)</f>
        <v>0</v>
      </c>
      <c r="K18" s="147">
        <f>COUNTIFS('2026 Time Off Request'!$A:$A,'Dec 2026'!$D18,'2026 Time Off Request'!$L:$L,'Dec 2026'!K$6)</f>
        <v>0</v>
      </c>
      <c r="L18" s="148">
        <f>COUNTIFS('2026 Time Off Request'!$A:$A,'Dec 2026'!$D18,'2026 Time Off Request'!$L:$L,'Dec 2026'!L$6)</f>
        <v>0</v>
      </c>
      <c r="M18" s="148">
        <f>COUNTIFS('2026 Time Off Request'!$A:$A,'Dec 2026'!$D18,'2026 Time Off Request'!$L:$L,'Dec 2026'!M$6)</f>
        <v>0</v>
      </c>
      <c r="N18" s="148">
        <f>COUNTIFS('2026 Time Off Request'!$A:$A,'Dec 2026'!$D18,'2026 Time Off Request'!$L:$L,'Dec 2026'!N$6)</f>
        <v>0</v>
      </c>
      <c r="O18" s="148">
        <f>COUNTIFS('2026 Time Off Request'!$A:$A,'Dec 2026'!$D18,'2026 Time Off Request'!$L:$L,'Dec 2026'!O$6)</f>
        <v>0</v>
      </c>
      <c r="P18" s="148">
        <f>COUNTIFS('2026 Time Off Request'!$A:$A,'Dec 2026'!$D18,'2026 Time Off Request'!$L:$L,'Dec 2026'!P$6)</f>
        <v>0</v>
      </c>
      <c r="Q18" s="147">
        <f>COUNTIFS('2026 Time Off Request'!$A:$A,'Dec 2026'!$D18,'2026 Time Off Request'!$L:$L,'Dec 2026'!Q$6)</f>
        <v>0</v>
      </c>
      <c r="R18" s="147">
        <f>COUNTIFS('2026 Time Off Request'!$A:$A,'Dec 2026'!$D18,'2026 Time Off Request'!$L:$L,'Dec 2026'!R$6)</f>
        <v>0</v>
      </c>
      <c r="S18" s="148">
        <f>COUNTIFS('2026 Time Off Request'!$A:$A,'Dec 2026'!$D18,'2026 Time Off Request'!$L:$L,'Dec 2026'!S$6)</f>
        <v>0</v>
      </c>
      <c r="T18" s="148">
        <f>COUNTIFS('2026 Time Off Request'!$A:$A,'Dec 2026'!$D18,'2026 Time Off Request'!$L:$L,'Dec 2026'!T$6)</f>
        <v>0</v>
      </c>
      <c r="U18" s="148">
        <f>COUNTIFS('2026 Time Off Request'!$A:$A,'Dec 2026'!$D18,'2026 Time Off Request'!$L:$L,'Dec 2026'!U$6)</f>
        <v>0</v>
      </c>
      <c r="V18" s="148">
        <f>COUNTIFS('2026 Time Off Request'!$A:$A,'Dec 2026'!$D18,'2026 Time Off Request'!$L:$L,'Dec 2026'!V$6)</f>
        <v>0</v>
      </c>
      <c r="W18" s="148">
        <f>COUNTIFS('2026 Time Off Request'!$A:$A,'Dec 2026'!$D18,'2026 Time Off Request'!$L:$L,'Dec 2026'!W$6)</f>
        <v>0</v>
      </c>
      <c r="X18" s="147">
        <f>COUNTIFS('2026 Time Off Request'!$A:$A,'Dec 2026'!$D18,'2026 Time Off Request'!$L:$L,'Dec 2026'!X$6)</f>
        <v>0</v>
      </c>
      <c r="Y18" s="147">
        <f>COUNTIFS('2026 Time Off Request'!$A:$A,'Dec 2026'!$D18,'2026 Time Off Request'!$L:$L,'Dec 2026'!Y$6)</f>
        <v>0</v>
      </c>
      <c r="Z18" s="148">
        <f>COUNTIFS('2026 Time Off Request'!$A:$A,'Dec 2026'!$D18,'2026 Time Off Request'!$L:$L,'Dec 2026'!Z$6)</f>
        <v>0</v>
      </c>
      <c r="AA18" s="148">
        <f>COUNTIFS('2026 Time Off Request'!$A:$A,'Dec 2026'!$D18,'2026 Time Off Request'!$L:$L,'Dec 2026'!AA$6)</f>
        <v>0</v>
      </c>
      <c r="AB18" s="148">
        <f>COUNTIFS('2026 Time Off Request'!$A:$A,'Dec 2026'!$D18,'2026 Time Off Request'!$L:$L,'Dec 2026'!AB$6)</f>
        <v>0</v>
      </c>
      <c r="AC18" s="148">
        <f>COUNTIFS('2026 Time Off Request'!$A:$A,'Dec 2026'!$D18,'2026 Time Off Request'!$L:$L,'Dec 2026'!AC$6)</f>
        <v>0</v>
      </c>
      <c r="AD18" s="224">
        <f>COUNTIFS('2026 Time Off Request'!$A:$A,'Dec 2026'!$D18,'2026 Time Off Request'!$L:$L,'Dec 2026'!AD$6)</f>
        <v>0</v>
      </c>
      <c r="AE18" s="147">
        <f>COUNTIFS('2026 Time Off Request'!$A:$A,'Dec 2026'!$D18,'2026 Time Off Request'!$L:$L,'Dec 2026'!AE$6)</f>
        <v>0</v>
      </c>
      <c r="AF18" s="147">
        <f>COUNTIFS('2026 Time Off Request'!$A:$A,'Dec 2026'!$D18,'2026 Time Off Request'!$L:$L,'Dec 2026'!AF$6)</f>
        <v>0</v>
      </c>
      <c r="AG18" s="224">
        <f>COUNTIFS('2026 Time Off Request'!$A:$A,'Dec 2026'!$D18,'2026 Time Off Request'!$L:$L,'Dec 2026'!AG$6)</f>
        <v>0</v>
      </c>
      <c r="AH18" s="148">
        <f>COUNTIFS('2026 Time Off Request'!$A:$A,'Dec 2026'!$D18,'2026 Time Off Request'!$L:$L,'Dec 2026'!AH$6)</f>
        <v>0</v>
      </c>
      <c r="AI18" s="148">
        <f>COUNTIFS('2026 Time Off Request'!$A:$A,'Dec 2026'!$D18,'2026 Time Off Request'!$L:$L,'Dec 2026'!AI$6)</f>
        <v>0</v>
      </c>
      <c r="AJ18" s="148">
        <f>COUNTIFS('2026 Time Off Request'!$A:$A,'Dec 2026'!$D18,'2026 Time Off Request'!$L:$L,'Dec 2026'!AJ$6)</f>
        <v>0</v>
      </c>
    </row>
    <row r="19" spans="1:36" ht="15.75">
      <c r="A19" s="2">
        <v>12</v>
      </c>
      <c r="B19" s="209" t="s">
        <v>36</v>
      </c>
      <c r="C19" s="210" t="s">
        <v>37</v>
      </c>
      <c r="D19" s="215" t="s">
        <v>43</v>
      </c>
      <c r="E19" s="212">
        <f t="shared" si="2"/>
        <v>0</v>
      </c>
      <c r="F19" s="223">
        <f>COUNTIFS('2026 Time Off Request'!$A:$A,'Dec 2026'!$D19,'2026 Time Off Request'!$L:$L,'Dec 2026'!F$6)</f>
        <v>0</v>
      </c>
      <c r="G19" s="148">
        <f>COUNTIFS('2026 Time Off Request'!$A:$A,'Dec 2026'!$D19,'2026 Time Off Request'!$L:$L,'Dec 2026'!G$6)</f>
        <v>0</v>
      </c>
      <c r="H19" s="148">
        <f>COUNTIFS('2026 Time Off Request'!$A:$A,'Dec 2026'!$D19,'2026 Time Off Request'!$L:$L,'Dec 2026'!H$6)</f>
        <v>0</v>
      </c>
      <c r="I19" s="148">
        <f>COUNTIFS('2026 Time Off Request'!$A:$A,'Dec 2026'!$D19,'2026 Time Off Request'!$L:$L,'Dec 2026'!I$6)</f>
        <v>0</v>
      </c>
      <c r="J19" s="147">
        <f>COUNTIFS('2026 Time Off Request'!$A:$A,'Dec 2026'!$D19,'2026 Time Off Request'!$L:$L,'Dec 2026'!J$6)</f>
        <v>0</v>
      </c>
      <c r="K19" s="147">
        <f>COUNTIFS('2026 Time Off Request'!$A:$A,'Dec 2026'!$D19,'2026 Time Off Request'!$L:$L,'Dec 2026'!K$6)</f>
        <v>0</v>
      </c>
      <c r="L19" s="148">
        <f>COUNTIFS('2026 Time Off Request'!$A:$A,'Dec 2026'!$D19,'2026 Time Off Request'!$L:$L,'Dec 2026'!L$6)</f>
        <v>0</v>
      </c>
      <c r="M19" s="148">
        <f>COUNTIFS('2026 Time Off Request'!$A:$A,'Dec 2026'!$D19,'2026 Time Off Request'!$L:$L,'Dec 2026'!M$6)</f>
        <v>0</v>
      </c>
      <c r="N19" s="148">
        <f>COUNTIFS('2026 Time Off Request'!$A:$A,'Dec 2026'!$D19,'2026 Time Off Request'!$L:$L,'Dec 2026'!N$6)</f>
        <v>0</v>
      </c>
      <c r="O19" s="148">
        <f>COUNTIFS('2026 Time Off Request'!$A:$A,'Dec 2026'!$D19,'2026 Time Off Request'!$L:$L,'Dec 2026'!O$6)</f>
        <v>0</v>
      </c>
      <c r="P19" s="148">
        <f>COUNTIFS('2026 Time Off Request'!$A:$A,'Dec 2026'!$D19,'2026 Time Off Request'!$L:$L,'Dec 2026'!P$6)</f>
        <v>0</v>
      </c>
      <c r="Q19" s="147">
        <f>COUNTIFS('2026 Time Off Request'!$A:$A,'Dec 2026'!$D19,'2026 Time Off Request'!$L:$L,'Dec 2026'!Q$6)</f>
        <v>0</v>
      </c>
      <c r="R19" s="147">
        <f>COUNTIFS('2026 Time Off Request'!$A:$A,'Dec 2026'!$D19,'2026 Time Off Request'!$L:$L,'Dec 2026'!R$6)</f>
        <v>0</v>
      </c>
      <c r="S19" s="148">
        <f>COUNTIFS('2026 Time Off Request'!$A:$A,'Dec 2026'!$D19,'2026 Time Off Request'!$L:$L,'Dec 2026'!S$6)</f>
        <v>0</v>
      </c>
      <c r="T19" s="148">
        <f>COUNTIFS('2026 Time Off Request'!$A:$A,'Dec 2026'!$D19,'2026 Time Off Request'!$L:$L,'Dec 2026'!T$6)</f>
        <v>0</v>
      </c>
      <c r="U19" s="148">
        <f>COUNTIFS('2026 Time Off Request'!$A:$A,'Dec 2026'!$D19,'2026 Time Off Request'!$L:$L,'Dec 2026'!U$6)</f>
        <v>0</v>
      </c>
      <c r="V19" s="148">
        <f>COUNTIFS('2026 Time Off Request'!$A:$A,'Dec 2026'!$D19,'2026 Time Off Request'!$L:$L,'Dec 2026'!V$6)</f>
        <v>0</v>
      </c>
      <c r="W19" s="148">
        <f>COUNTIFS('2026 Time Off Request'!$A:$A,'Dec 2026'!$D19,'2026 Time Off Request'!$L:$L,'Dec 2026'!W$6)</f>
        <v>0</v>
      </c>
      <c r="X19" s="147">
        <f>COUNTIFS('2026 Time Off Request'!$A:$A,'Dec 2026'!$D19,'2026 Time Off Request'!$L:$L,'Dec 2026'!X$6)</f>
        <v>0</v>
      </c>
      <c r="Y19" s="147">
        <f>COUNTIFS('2026 Time Off Request'!$A:$A,'Dec 2026'!$D19,'2026 Time Off Request'!$L:$L,'Dec 2026'!Y$6)</f>
        <v>0</v>
      </c>
      <c r="Z19" s="148">
        <f>COUNTIFS('2026 Time Off Request'!$A:$A,'Dec 2026'!$D19,'2026 Time Off Request'!$L:$L,'Dec 2026'!Z$6)</f>
        <v>0</v>
      </c>
      <c r="AA19" s="148">
        <f>COUNTIFS('2026 Time Off Request'!$A:$A,'Dec 2026'!$D19,'2026 Time Off Request'!$L:$L,'Dec 2026'!AA$6)</f>
        <v>0</v>
      </c>
      <c r="AB19" s="148">
        <f>COUNTIFS('2026 Time Off Request'!$A:$A,'Dec 2026'!$D19,'2026 Time Off Request'!$L:$L,'Dec 2026'!AB$6)</f>
        <v>0</v>
      </c>
      <c r="AC19" s="148">
        <f>COUNTIFS('2026 Time Off Request'!$A:$A,'Dec 2026'!$D19,'2026 Time Off Request'!$L:$L,'Dec 2026'!AC$6)</f>
        <v>0</v>
      </c>
      <c r="AD19" s="224">
        <f>COUNTIFS('2026 Time Off Request'!$A:$A,'Dec 2026'!$D19,'2026 Time Off Request'!$L:$L,'Dec 2026'!AD$6)</f>
        <v>0</v>
      </c>
      <c r="AE19" s="147">
        <f>COUNTIFS('2026 Time Off Request'!$A:$A,'Dec 2026'!$D19,'2026 Time Off Request'!$L:$L,'Dec 2026'!AE$6)</f>
        <v>0</v>
      </c>
      <c r="AF19" s="147">
        <f>COUNTIFS('2026 Time Off Request'!$A:$A,'Dec 2026'!$D19,'2026 Time Off Request'!$L:$L,'Dec 2026'!AF$6)</f>
        <v>0</v>
      </c>
      <c r="AG19" s="224">
        <f>COUNTIFS('2026 Time Off Request'!$A:$A,'Dec 2026'!$D19,'2026 Time Off Request'!$L:$L,'Dec 2026'!AG$6)</f>
        <v>0</v>
      </c>
      <c r="AH19" s="148">
        <f>COUNTIFS('2026 Time Off Request'!$A:$A,'Dec 2026'!$D19,'2026 Time Off Request'!$L:$L,'Dec 2026'!AH$6)</f>
        <v>0</v>
      </c>
      <c r="AI19" s="148">
        <f>COUNTIFS('2026 Time Off Request'!$A:$A,'Dec 2026'!$D19,'2026 Time Off Request'!$L:$L,'Dec 2026'!AI$6)</f>
        <v>0</v>
      </c>
      <c r="AJ19" s="148">
        <f>COUNTIFS('2026 Time Off Request'!$A:$A,'Dec 2026'!$D19,'2026 Time Off Request'!$L:$L,'Dec 2026'!AJ$6)</f>
        <v>0</v>
      </c>
    </row>
    <row r="20" spans="1:36" ht="15.75">
      <c r="A20" s="2">
        <v>13</v>
      </c>
      <c r="B20" s="209" t="s">
        <v>36</v>
      </c>
      <c r="C20" s="210" t="s">
        <v>37</v>
      </c>
      <c r="D20" s="215" t="s">
        <v>44</v>
      </c>
      <c r="E20" s="212">
        <f t="shared" si="2"/>
        <v>0</v>
      </c>
      <c r="F20" s="223">
        <f>COUNTIFS('2026 Time Off Request'!$A:$A,'Dec 2026'!$D20,'2026 Time Off Request'!$L:$L,'Dec 2026'!F$6)</f>
        <v>0</v>
      </c>
      <c r="G20" s="148">
        <f>COUNTIFS('2026 Time Off Request'!$A:$A,'Dec 2026'!$D20,'2026 Time Off Request'!$L:$L,'Dec 2026'!G$6)</f>
        <v>0</v>
      </c>
      <c r="H20" s="148">
        <f>COUNTIFS('2026 Time Off Request'!$A:$A,'Dec 2026'!$D20,'2026 Time Off Request'!$L:$L,'Dec 2026'!H$6)</f>
        <v>0</v>
      </c>
      <c r="I20" s="148">
        <f>COUNTIFS('2026 Time Off Request'!$A:$A,'Dec 2026'!$D20,'2026 Time Off Request'!$L:$L,'Dec 2026'!I$6)</f>
        <v>0</v>
      </c>
      <c r="J20" s="147">
        <f>COUNTIFS('2026 Time Off Request'!$A:$A,'Dec 2026'!$D20,'2026 Time Off Request'!$L:$L,'Dec 2026'!J$6)</f>
        <v>0</v>
      </c>
      <c r="K20" s="147">
        <f>COUNTIFS('2026 Time Off Request'!$A:$A,'Dec 2026'!$D20,'2026 Time Off Request'!$L:$L,'Dec 2026'!K$6)</f>
        <v>0</v>
      </c>
      <c r="L20" s="148">
        <f>COUNTIFS('2026 Time Off Request'!$A:$A,'Dec 2026'!$D20,'2026 Time Off Request'!$L:$L,'Dec 2026'!L$6)</f>
        <v>0</v>
      </c>
      <c r="M20" s="148">
        <f>COUNTIFS('2026 Time Off Request'!$A:$A,'Dec 2026'!$D20,'2026 Time Off Request'!$L:$L,'Dec 2026'!M$6)</f>
        <v>0</v>
      </c>
      <c r="N20" s="148">
        <f>COUNTIFS('2026 Time Off Request'!$A:$A,'Dec 2026'!$D20,'2026 Time Off Request'!$L:$L,'Dec 2026'!N$6)</f>
        <v>0</v>
      </c>
      <c r="O20" s="148">
        <f>COUNTIFS('2026 Time Off Request'!$A:$A,'Dec 2026'!$D20,'2026 Time Off Request'!$L:$L,'Dec 2026'!O$6)</f>
        <v>0</v>
      </c>
      <c r="P20" s="148">
        <f>COUNTIFS('2026 Time Off Request'!$A:$A,'Dec 2026'!$D20,'2026 Time Off Request'!$L:$L,'Dec 2026'!P$6)</f>
        <v>0</v>
      </c>
      <c r="Q20" s="147">
        <f>COUNTIFS('2026 Time Off Request'!$A:$A,'Dec 2026'!$D20,'2026 Time Off Request'!$L:$L,'Dec 2026'!Q$6)</f>
        <v>0</v>
      </c>
      <c r="R20" s="147">
        <f>COUNTIFS('2026 Time Off Request'!$A:$A,'Dec 2026'!$D20,'2026 Time Off Request'!$L:$L,'Dec 2026'!R$6)</f>
        <v>0</v>
      </c>
      <c r="S20" s="148">
        <f>COUNTIFS('2026 Time Off Request'!$A:$A,'Dec 2026'!$D20,'2026 Time Off Request'!$L:$L,'Dec 2026'!S$6)</f>
        <v>0</v>
      </c>
      <c r="T20" s="148">
        <f>COUNTIFS('2026 Time Off Request'!$A:$A,'Dec 2026'!$D20,'2026 Time Off Request'!$L:$L,'Dec 2026'!T$6)</f>
        <v>0</v>
      </c>
      <c r="U20" s="148">
        <f>COUNTIFS('2026 Time Off Request'!$A:$A,'Dec 2026'!$D20,'2026 Time Off Request'!$L:$L,'Dec 2026'!U$6)</f>
        <v>0</v>
      </c>
      <c r="V20" s="148">
        <f>COUNTIFS('2026 Time Off Request'!$A:$A,'Dec 2026'!$D20,'2026 Time Off Request'!$L:$L,'Dec 2026'!V$6)</f>
        <v>0</v>
      </c>
      <c r="W20" s="148">
        <f>COUNTIFS('2026 Time Off Request'!$A:$A,'Dec 2026'!$D20,'2026 Time Off Request'!$L:$L,'Dec 2026'!W$6)</f>
        <v>0</v>
      </c>
      <c r="X20" s="147">
        <f>COUNTIFS('2026 Time Off Request'!$A:$A,'Dec 2026'!$D20,'2026 Time Off Request'!$L:$L,'Dec 2026'!X$6)</f>
        <v>0</v>
      </c>
      <c r="Y20" s="147">
        <f>COUNTIFS('2026 Time Off Request'!$A:$A,'Dec 2026'!$D20,'2026 Time Off Request'!$L:$L,'Dec 2026'!Y$6)</f>
        <v>0</v>
      </c>
      <c r="Z20" s="148">
        <f>COUNTIFS('2026 Time Off Request'!$A:$A,'Dec 2026'!$D20,'2026 Time Off Request'!$L:$L,'Dec 2026'!Z$6)</f>
        <v>0</v>
      </c>
      <c r="AA20" s="148">
        <f>COUNTIFS('2026 Time Off Request'!$A:$A,'Dec 2026'!$D20,'2026 Time Off Request'!$L:$L,'Dec 2026'!AA$6)</f>
        <v>0</v>
      </c>
      <c r="AB20" s="148">
        <f>COUNTIFS('2026 Time Off Request'!$A:$A,'Dec 2026'!$D20,'2026 Time Off Request'!$L:$L,'Dec 2026'!AB$6)</f>
        <v>0</v>
      </c>
      <c r="AC20" s="148">
        <f>COUNTIFS('2026 Time Off Request'!$A:$A,'Dec 2026'!$D20,'2026 Time Off Request'!$L:$L,'Dec 2026'!AC$6)</f>
        <v>0</v>
      </c>
      <c r="AD20" s="224">
        <f>COUNTIFS('2026 Time Off Request'!$A:$A,'Dec 2026'!$D20,'2026 Time Off Request'!$L:$L,'Dec 2026'!AD$6)</f>
        <v>0</v>
      </c>
      <c r="AE20" s="147">
        <f>COUNTIFS('2026 Time Off Request'!$A:$A,'Dec 2026'!$D20,'2026 Time Off Request'!$L:$L,'Dec 2026'!AE$6)</f>
        <v>0</v>
      </c>
      <c r="AF20" s="147">
        <f>COUNTIFS('2026 Time Off Request'!$A:$A,'Dec 2026'!$D20,'2026 Time Off Request'!$L:$L,'Dec 2026'!AF$6)</f>
        <v>0</v>
      </c>
      <c r="AG20" s="224">
        <f>COUNTIFS('2026 Time Off Request'!$A:$A,'Dec 2026'!$D20,'2026 Time Off Request'!$L:$L,'Dec 2026'!AG$6)</f>
        <v>0</v>
      </c>
      <c r="AH20" s="148">
        <f>COUNTIFS('2026 Time Off Request'!$A:$A,'Dec 2026'!$D20,'2026 Time Off Request'!$L:$L,'Dec 2026'!AH$6)</f>
        <v>0</v>
      </c>
      <c r="AI20" s="148">
        <f>COUNTIFS('2026 Time Off Request'!$A:$A,'Dec 2026'!$D20,'2026 Time Off Request'!$L:$L,'Dec 2026'!AI$6)</f>
        <v>0</v>
      </c>
      <c r="AJ20" s="148">
        <f>COUNTIFS('2026 Time Off Request'!$A:$A,'Dec 2026'!$D20,'2026 Time Off Request'!$L:$L,'Dec 2026'!AJ$6)</f>
        <v>0</v>
      </c>
    </row>
    <row r="21" spans="1:36" ht="15.75">
      <c r="A21" s="2">
        <v>14</v>
      </c>
      <c r="B21" s="209" t="s">
        <v>45</v>
      </c>
      <c r="C21" s="210" t="s">
        <v>37</v>
      </c>
      <c r="D21" s="215" t="s">
        <v>46</v>
      </c>
      <c r="E21" s="212">
        <f t="shared" si="2"/>
        <v>0</v>
      </c>
      <c r="F21" s="223">
        <f>COUNTIFS('2026 Time Off Request'!$A:$A,'Dec 2026'!$D21,'2026 Time Off Request'!$L:$L,'Dec 2026'!F$6)</f>
        <v>0</v>
      </c>
      <c r="G21" s="148">
        <f>COUNTIFS('2026 Time Off Request'!$A:$A,'Dec 2026'!$D21,'2026 Time Off Request'!$L:$L,'Dec 2026'!G$6)</f>
        <v>0</v>
      </c>
      <c r="H21" s="148">
        <f>COUNTIFS('2026 Time Off Request'!$A:$A,'Dec 2026'!$D21,'2026 Time Off Request'!$L:$L,'Dec 2026'!H$6)</f>
        <v>0</v>
      </c>
      <c r="I21" s="148">
        <f>COUNTIFS('2026 Time Off Request'!$A:$A,'Dec 2026'!$D21,'2026 Time Off Request'!$L:$L,'Dec 2026'!I$6)</f>
        <v>0</v>
      </c>
      <c r="J21" s="147">
        <f>COUNTIFS('2026 Time Off Request'!$A:$A,'Dec 2026'!$D21,'2026 Time Off Request'!$L:$L,'Dec 2026'!J$6)</f>
        <v>0</v>
      </c>
      <c r="K21" s="147">
        <f>COUNTIFS('2026 Time Off Request'!$A:$A,'Dec 2026'!$D21,'2026 Time Off Request'!$L:$L,'Dec 2026'!K$6)</f>
        <v>0</v>
      </c>
      <c r="L21" s="148">
        <f>COUNTIFS('2026 Time Off Request'!$A:$A,'Dec 2026'!$D21,'2026 Time Off Request'!$L:$L,'Dec 2026'!L$6)</f>
        <v>0</v>
      </c>
      <c r="M21" s="148">
        <f>COUNTIFS('2026 Time Off Request'!$A:$A,'Dec 2026'!$D21,'2026 Time Off Request'!$L:$L,'Dec 2026'!M$6)</f>
        <v>0</v>
      </c>
      <c r="N21" s="148">
        <f>COUNTIFS('2026 Time Off Request'!$A:$A,'Dec 2026'!$D21,'2026 Time Off Request'!$L:$L,'Dec 2026'!N$6)</f>
        <v>0</v>
      </c>
      <c r="O21" s="148">
        <f>COUNTIFS('2026 Time Off Request'!$A:$A,'Dec 2026'!$D21,'2026 Time Off Request'!$L:$L,'Dec 2026'!O$6)</f>
        <v>0</v>
      </c>
      <c r="P21" s="148">
        <f>COUNTIFS('2026 Time Off Request'!$A:$A,'Dec 2026'!$D21,'2026 Time Off Request'!$L:$L,'Dec 2026'!P$6)</f>
        <v>0</v>
      </c>
      <c r="Q21" s="147">
        <f>COUNTIFS('2026 Time Off Request'!$A:$A,'Dec 2026'!$D21,'2026 Time Off Request'!$L:$L,'Dec 2026'!Q$6)</f>
        <v>0</v>
      </c>
      <c r="R21" s="147">
        <f>COUNTIFS('2026 Time Off Request'!$A:$A,'Dec 2026'!$D21,'2026 Time Off Request'!$L:$L,'Dec 2026'!R$6)</f>
        <v>0</v>
      </c>
      <c r="S21" s="148">
        <f>COUNTIFS('2026 Time Off Request'!$A:$A,'Dec 2026'!$D21,'2026 Time Off Request'!$L:$L,'Dec 2026'!S$6)</f>
        <v>0</v>
      </c>
      <c r="T21" s="148">
        <f>COUNTIFS('2026 Time Off Request'!$A:$A,'Dec 2026'!$D21,'2026 Time Off Request'!$L:$L,'Dec 2026'!T$6)</f>
        <v>0</v>
      </c>
      <c r="U21" s="148">
        <f>COUNTIFS('2026 Time Off Request'!$A:$A,'Dec 2026'!$D21,'2026 Time Off Request'!$L:$L,'Dec 2026'!U$6)</f>
        <v>0</v>
      </c>
      <c r="V21" s="148">
        <f>COUNTIFS('2026 Time Off Request'!$A:$A,'Dec 2026'!$D21,'2026 Time Off Request'!$L:$L,'Dec 2026'!V$6)</f>
        <v>0</v>
      </c>
      <c r="W21" s="148">
        <f>COUNTIFS('2026 Time Off Request'!$A:$A,'Dec 2026'!$D21,'2026 Time Off Request'!$L:$L,'Dec 2026'!W$6)</f>
        <v>0</v>
      </c>
      <c r="X21" s="147">
        <f>COUNTIFS('2026 Time Off Request'!$A:$A,'Dec 2026'!$D21,'2026 Time Off Request'!$L:$L,'Dec 2026'!X$6)</f>
        <v>0</v>
      </c>
      <c r="Y21" s="147">
        <f>COUNTIFS('2026 Time Off Request'!$A:$A,'Dec 2026'!$D21,'2026 Time Off Request'!$L:$L,'Dec 2026'!Y$6)</f>
        <v>0</v>
      </c>
      <c r="Z21" s="148">
        <f>COUNTIFS('2026 Time Off Request'!$A:$A,'Dec 2026'!$D21,'2026 Time Off Request'!$L:$L,'Dec 2026'!Z$6)</f>
        <v>0</v>
      </c>
      <c r="AA21" s="148">
        <f>COUNTIFS('2026 Time Off Request'!$A:$A,'Dec 2026'!$D21,'2026 Time Off Request'!$L:$L,'Dec 2026'!AA$6)</f>
        <v>0</v>
      </c>
      <c r="AB21" s="148">
        <f>COUNTIFS('2026 Time Off Request'!$A:$A,'Dec 2026'!$D21,'2026 Time Off Request'!$L:$L,'Dec 2026'!AB$6)</f>
        <v>0</v>
      </c>
      <c r="AC21" s="148">
        <f>COUNTIFS('2026 Time Off Request'!$A:$A,'Dec 2026'!$D21,'2026 Time Off Request'!$L:$L,'Dec 2026'!AC$6)</f>
        <v>0</v>
      </c>
      <c r="AD21" s="224">
        <f>COUNTIFS('2026 Time Off Request'!$A:$A,'Dec 2026'!$D21,'2026 Time Off Request'!$L:$L,'Dec 2026'!AD$6)</f>
        <v>0</v>
      </c>
      <c r="AE21" s="147">
        <f>COUNTIFS('2026 Time Off Request'!$A:$A,'Dec 2026'!$D21,'2026 Time Off Request'!$L:$L,'Dec 2026'!AE$6)</f>
        <v>0</v>
      </c>
      <c r="AF21" s="147">
        <f>COUNTIFS('2026 Time Off Request'!$A:$A,'Dec 2026'!$D21,'2026 Time Off Request'!$L:$L,'Dec 2026'!AF$6)</f>
        <v>0</v>
      </c>
      <c r="AG21" s="224">
        <f>COUNTIFS('2026 Time Off Request'!$A:$A,'Dec 2026'!$D21,'2026 Time Off Request'!$L:$L,'Dec 2026'!AG$6)</f>
        <v>0</v>
      </c>
      <c r="AH21" s="148">
        <f>COUNTIFS('2026 Time Off Request'!$A:$A,'Dec 2026'!$D21,'2026 Time Off Request'!$L:$L,'Dec 2026'!AH$6)</f>
        <v>0</v>
      </c>
      <c r="AI21" s="148">
        <f>COUNTIFS('2026 Time Off Request'!$A:$A,'Dec 2026'!$D21,'2026 Time Off Request'!$L:$L,'Dec 2026'!AI$6)</f>
        <v>0</v>
      </c>
      <c r="AJ21" s="148">
        <f>COUNTIFS('2026 Time Off Request'!$A:$A,'Dec 2026'!$D21,'2026 Time Off Request'!$L:$L,'Dec 2026'!AJ$6)</f>
        <v>0</v>
      </c>
    </row>
    <row r="22" spans="1:36" ht="15.75">
      <c r="A22" s="2">
        <v>15</v>
      </c>
      <c r="B22" s="209" t="s">
        <v>45</v>
      </c>
      <c r="C22" s="210" t="s">
        <v>47</v>
      </c>
      <c r="D22" s="215" t="s">
        <v>48</v>
      </c>
      <c r="E22" s="212">
        <f t="shared" si="2"/>
        <v>0</v>
      </c>
      <c r="F22" s="223">
        <f>COUNTIFS('2026 Time Off Request'!$A:$A,'Dec 2026'!$D22,'2026 Time Off Request'!$L:$L,'Dec 2026'!F$6)</f>
        <v>0</v>
      </c>
      <c r="G22" s="148">
        <f>COUNTIFS('2026 Time Off Request'!$A:$A,'Dec 2026'!$D22,'2026 Time Off Request'!$L:$L,'Dec 2026'!G$6)</f>
        <v>0</v>
      </c>
      <c r="H22" s="148">
        <f>COUNTIFS('2026 Time Off Request'!$A:$A,'Dec 2026'!$D22,'2026 Time Off Request'!$L:$L,'Dec 2026'!H$6)</f>
        <v>0</v>
      </c>
      <c r="I22" s="148">
        <f>COUNTIFS('2026 Time Off Request'!$A:$A,'Dec 2026'!$D22,'2026 Time Off Request'!$L:$L,'Dec 2026'!I$6)</f>
        <v>0</v>
      </c>
      <c r="J22" s="147">
        <f>COUNTIFS('2026 Time Off Request'!$A:$A,'Dec 2026'!$D22,'2026 Time Off Request'!$L:$L,'Dec 2026'!J$6)</f>
        <v>0</v>
      </c>
      <c r="K22" s="147">
        <f>COUNTIFS('2026 Time Off Request'!$A:$A,'Dec 2026'!$D22,'2026 Time Off Request'!$L:$L,'Dec 2026'!K$6)</f>
        <v>0</v>
      </c>
      <c r="L22" s="148">
        <f>COUNTIFS('2026 Time Off Request'!$A:$A,'Dec 2026'!$D22,'2026 Time Off Request'!$L:$L,'Dec 2026'!L$6)</f>
        <v>0</v>
      </c>
      <c r="M22" s="148">
        <f>COUNTIFS('2026 Time Off Request'!$A:$A,'Dec 2026'!$D22,'2026 Time Off Request'!$L:$L,'Dec 2026'!M$6)</f>
        <v>0</v>
      </c>
      <c r="N22" s="148">
        <f>COUNTIFS('2026 Time Off Request'!$A:$A,'Dec 2026'!$D22,'2026 Time Off Request'!$L:$L,'Dec 2026'!N$6)</f>
        <v>0</v>
      </c>
      <c r="O22" s="148">
        <f>COUNTIFS('2026 Time Off Request'!$A:$A,'Dec 2026'!$D22,'2026 Time Off Request'!$L:$L,'Dec 2026'!O$6)</f>
        <v>0</v>
      </c>
      <c r="P22" s="148">
        <f>COUNTIFS('2026 Time Off Request'!$A:$A,'Dec 2026'!$D22,'2026 Time Off Request'!$L:$L,'Dec 2026'!P$6)</f>
        <v>0</v>
      </c>
      <c r="Q22" s="147">
        <f>COUNTIFS('2026 Time Off Request'!$A:$A,'Dec 2026'!$D22,'2026 Time Off Request'!$L:$L,'Dec 2026'!Q$6)</f>
        <v>0</v>
      </c>
      <c r="R22" s="147">
        <f>COUNTIFS('2026 Time Off Request'!$A:$A,'Dec 2026'!$D22,'2026 Time Off Request'!$L:$L,'Dec 2026'!R$6)</f>
        <v>0</v>
      </c>
      <c r="S22" s="148">
        <f>COUNTIFS('2026 Time Off Request'!$A:$A,'Dec 2026'!$D22,'2026 Time Off Request'!$L:$L,'Dec 2026'!S$6)</f>
        <v>0</v>
      </c>
      <c r="T22" s="148">
        <f>COUNTIFS('2026 Time Off Request'!$A:$A,'Dec 2026'!$D22,'2026 Time Off Request'!$L:$L,'Dec 2026'!T$6)</f>
        <v>0</v>
      </c>
      <c r="U22" s="148">
        <f>COUNTIFS('2026 Time Off Request'!$A:$A,'Dec 2026'!$D22,'2026 Time Off Request'!$L:$L,'Dec 2026'!U$6)</f>
        <v>0</v>
      </c>
      <c r="V22" s="148">
        <f>COUNTIFS('2026 Time Off Request'!$A:$A,'Dec 2026'!$D22,'2026 Time Off Request'!$L:$L,'Dec 2026'!V$6)</f>
        <v>0</v>
      </c>
      <c r="W22" s="148">
        <f>COUNTIFS('2026 Time Off Request'!$A:$A,'Dec 2026'!$D22,'2026 Time Off Request'!$L:$L,'Dec 2026'!W$6)</f>
        <v>0</v>
      </c>
      <c r="X22" s="147">
        <f>COUNTIFS('2026 Time Off Request'!$A:$A,'Dec 2026'!$D22,'2026 Time Off Request'!$L:$L,'Dec 2026'!X$6)</f>
        <v>0</v>
      </c>
      <c r="Y22" s="147">
        <f>COUNTIFS('2026 Time Off Request'!$A:$A,'Dec 2026'!$D22,'2026 Time Off Request'!$L:$L,'Dec 2026'!Y$6)</f>
        <v>0</v>
      </c>
      <c r="Z22" s="148">
        <f>COUNTIFS('2026 Time Off Request'!$A:$A,'Dec 2026'!$D22,'2026 Time Off Request'!$L:$L,'Dec 2026'!Z$6)</f>
        <v>0</v>
      </c>
      <c r="AA22" s="148">
        <f>COUNTIFS('2026 Time Off Request'!$A:$A,'Dec 2026'!$D22,'2026 Time Off Request'!$L:$L,'Dec 2026'!AA$6)</f>
        <v>0</v>
      </c>
      <c r="AB22" s="148">
        <f>COUNTIFS('2026 Time Off Request'!$A:$A,'Dec 2026'!$D22,'2026 Time Off Request'!$L:$L,'Dec 2026'!AB$6)</f>
        <v>0</v>
      </c>
      <c r="AC22" s="148">
        <f>COUNTIFS('2026 Time Off Request'!$A:$A,'Dec 2026'!$D22,'2026 Time Off Request'!$L:$L,'Dec 2026'!AC$6)</f>
        <v>0</v>
      </c>
      <c r="AD22" s="224">
        <f>COUNTIFS('2026 Time Off Request'!$A:$A,'Dec 2026'!$D22,'2026 Time Off Request'!$L:$L,'Dec 2026'!AD$6)</f>
        <v>0</v>
      </c>
      <c r="AE22" s="147">
        <f>COUNTIFS('2026 Time Off Request'!$A:$A,'Dec 2026'!$D22,'2026 Time Off Request'!$L:$L,'Dec 2026'!AE$6)</f>
        <v>0</v>
      </c>
      <c r="AF22" s="147">
        <f>COUNTIFS('2026 Time Off Request'!$A:$A,'Dec 2026'!$D22,'2026 Time Off Request'!$L:$L,'Dec 2026'!AF$6)</f>
        <v>0</v>
      </c>
      <c r="AG22" s="224">
        <f>COUNTIFS('2026 Time Off Request'!$A:$A,'Dec 2026'!$D22,'2026 Time Off Request'!$L:$L,'Dec 2026'!AG$6)</f>
        <v>0</v>
      </c>
      <c r="AH22" s="148">
        <f>COUNTIFS('2026 Time Off Request'!$A:$A,'Dec 2026'!$D22,'2026 Time Off Request'!$L:$L,'Dec 2026'!AH$6)</f>
        <v>0</v>
      </c>
      <c r="AI22" s="148">
        <f>COUNTIFS('2026 Time Off Request'!$A:$A,'Dec 2026'!$D22,'2026 Time Off Request'!$L:$L,'Dec 2026'!AI$6)</f>
        <v>0</v>
      </c>
      <c r="AJ22" s="148">
        <f>COUNTIFS('2026 Time Off Request'!$A:$A,'Dec 2026'!$D22,'2026 Time Off Request'!$L:$L,'Dec 2026'!AJ$6)</f>
        <v>0</v>
      </c>
    </row>
    <row r="23" spans="1:36" ht="15.75">
      <c r="A23" s="2">
        <v>16</v>
      </c>
      <c r="B23" s="209" t="s">
        <v>49</v>
      </c>
      <c r="C23" s="210" t="s">
        <v>50</v>
      </c>
      <c r="D23" s="215" t="s">
        <v>51</v>
      </c>
      <c r="E23" s="212">
        <f t="shared" si="2"/>
        <v>0</v>
      </c>
      <c r="F23" s="223">
        <f>COUNTIFS('2026 Time Off Request'!$A:$A,'Dec 2026'!$D23,'2026 Time Off Request'!$L:$L,'Dec 2026'!F$6)</f>
        <v>0</v>
      </c>
      <c r="G23" s="148">
        <f>COUNTIFS('2026 Time Off Request'!$A:$A,'Dec 2026'!$D23,'2026 Time Off Request'!$L:$L,'Dec 2026'!G$6)</f>
        <v>0</v>
      </c>
      <c r="H23" s="148">
        <f>COUNTIFS('2026 Time Off Request'!$A:$A,'Dec 2026'!$D23,'2026 Time Off Request'!$L:$L,'Dec 2026'!H$6)</f>
        <v>0</v>
      </c>
      <c r="I23" s="148">
        <f>COUNTIFS('2026 Time Off Request'!$A:$A,'Dec 2026'!$D23,'2026 Time Off Request'!$L:$L,'Dec 2026'!I$6)</f>
        <v>0</v>
      </c>
      <c r="J23" s="147">
        <f>COUNTIFS('2026 Time Off Request'!$A:$A,'Dec 2026'!$D23,'2026 Time Off Request'!$L:$L,'Dec 2026'!J$6)</f>
        <v>0</v>
      </c>
      <c r="K23" s="147">
        <f>COUNTIFS('2026 Time Off Request'!$A:$A,'Dec 2026'!$D23,'2026 Time Off Request'!$L:$L,'Dec 2026'!K$6)</f>
        <v>0</v>
      </c>
      <c r="L23" s="148">
        <f>COUNTIFS('2026 Time Off Request'!$A:$A,'Dec 2026'!$D23,'2026 Time Off Request'!$L:$L,'Dec 2026'!L$6)</f>
        <v>0</v>
      </c>
      <c r="M23" s="148">
        <f>COUNTIFS('2026 Time Off Request'!$A:$A,'Dec 2026'!$D23,'2026 Time Off Request'!$L:$L,'Dec 2026'!M$6)</f>
        <v>0</v>
      </c>
      <c r="N23" s="148">
        <f>COUNTIFS('2026 Time Off Request'!$A:$A,'Dec 2026'!$D23,'2026 Time Off Request'!$L:$L,'Dec 2026'!N$6)</f>
        <v>0</v>
      </c>
      <c r="O23" s="148">
        <f>COUNTIFS('2026 Time Off Request'!$A:$A,'Dec 2026'!$D23,'2026 Time Off Request'!$L:$L,'Dec 2026'!O$6)</f>
        <v>0</v>
      </c>
      <c r="P23" s="148">
        <f>COUNTIFS('2026 Time Off Request'!$A:$A,'Dec 2026'!$D23,'2026 Time Off Request'!$L:$L,'Dec 2026'!P$6)</f>
        <v>0</v>
      </c>
      <c r="Q23" s="147">
        <f>COUNTIFS('2026 Time Off Request'!$A:$A,'Dec 2026'!$D23,'2026 Time Off Request'!$L:$L,'Dec 2026'!Q$6)</f>
        <v>0</v>
      </c>
      <c r="R23" s="147">
        <f>COUNTIFS('2026 Time Off Request'!$A:$A,'Dec 2026'!$D23,'2026 Time Off Request'!$L:$L,'Dec 2026'!R$6)</f>
        <v>0</v>
      </c>
      <c r="S23" s="148">
        <f>COUNTIFS('2026 Time Off Request'!$A:$A,'Dec 2026'!$D23,'2026 Time Off Request'!$L:$L,'Dec 2026'!S$6)</f>
        <v>0</v>
      </c>
      <c r="T23" s="148">
        <f>COUNTIFS('2026 Time Off Request'!$A:$A,'Dec 2026'!$D23,'2026 Time Off Request'!$L:$L,'Dec 2026'!T$6)</f>
        <v>0</v>
      </c>
      <c r="U23" s="148">
        <f>COUNTIFS('2026 Time Off Request'!$A:$A,'Dec 2026'!$D23,'2026 Time Off Request'!$L:$L,'Dec 2026'!U$6)</f>
        <v>0</v>
      </c>
      <c r="V23" s="148">
        <f>COUNTIFS('2026 Time Off Request'!$A:$A,'Dec 2026'!$D23,'2026 Time Off Request'!$L:$L,'Dec 2026'!V$6)</f>
        <v>0</v>
      </c>
      <c r="W23" s="148">
        <f>COUNTIFS('2026 Time Off Request'!$A:$A,'Dec 2026'!$D23,'2026 Time Off Request'!$L:$L,'Dec 2026'!W$6)</f>
        <v>0</v>
      </c>
      <c r="X23" s="147">
        <f>COUNTIFS('2026 Time Off Request'!$A:$A,'Dec 2026'!$D23,'2026 Time Off Request'!$L:$L,'Dec 2026'!X$6)</f>
        <v>0</v>
      </c>
      <c r="Y23" s="147">
        <f>COUNTIFS('2026 Time Off Request'!$A:$A,'Dec 2026'!$D23,'2026 Time Off Request'!$L:$L,'Dec 2026'!Y$6)</f>
        <v>0</v>
      </c>
      <c r="Z23" s="148">
        <f>COUNTIFS('2026 Time Off Request'!$A:$A,'Dec 2026'!$D23,'2026 Time Off Request'!$L:$L,'Dec 2026'!Z$6)</f>
        <v>0</v>
      </c>
      <c r="AA23" s="148">
        <f>COUNTIFS('2026 Time Off Request'!$A:$A,'Dec 2026'!$D23,'2026 Time Off Request'!$L:$L,'Dec 2026'!AA$6)</f>
        <v>0</v>
      </c>
      <c r="AB23" s="148">
        <f>COUNTIFS('2026 Time Off Request'!$A:$A,'Dec 2026'!$D23,'2026 Time Off Request'!$L:$L,'Dec 2026'!AB$6)</f>
        <v>0</v>
      </c>
      <c r="AC23" s="148">
        <f>COUNTIFS('2026 Time Off Request'!$A:$A,'Dec 2026'!$D23,'2026 Time Off Request'!$L:$L,'Dec 2026'!AC$6)</f>
        <v>0</v>
      </c>
      <c r="AD23" s="224">
        <f>COUNTIFS('2026 Time Off Request'!$A:$A,'Dec 2026'!$D23,'2026 Time Off Request'!$L:$L,'Dec 2026'!AD$6)</f>
        <v>0</v>
      </c>
      <c r="AE23" s="147">
        <f>COUNTIFS('2026 Time Off Request'!$A:$A,'Dec 2026'!$D23,'2026 Time Off Request'!$L:$L,'Dec 2026'!AE$6)</f>
        <v>0</v>
      </c>
      <c r="AF23" s="147">
        <f>COUNTIFS('2026 Time Off Request'!$A:$A,'Dec 2026'!$D23,'2026 Time Off Request'!$L:$L,'Dec 2026'!AF$6)</f>
        <v>0</v>
      </c>
      <c r="AG23" s="224">
        <f>COUNTIFS('2026 Time Off Request'!$A:$A,'Dec 2026'!$D23,'2026 Time Off Request'!$L:$L,'Dec 2026'!AG$6)</f>
        <v>0</v>
      </c>
      <c r="AH23" s="148">
        <f>COUNTIFS('2026 Time Off Request'!$A:$A,'Dec 2026'!$D23,'2026 Time Off Request'!$L:$L,'Dec 2026'!AH$6)</f>
        <v>0</v>
      </c>
      <c r="AI23" s="148">
        <f>COUNTIFS('2026 Time Off Request'!$A:$A,'Dec 2026'!$D23,'2026 Time Off Request'!$L:$L,'Dec 2026'!AI$6)</f>
        <v>0</v>
      </c>
      <c r="AJ23" s="148">
        <f>COUNTIFS('2026 Time Off Request'!$A:$A,'Dec 2026'!$D23,'2026 Time Off Request'!$L:$L,'Dec 2026'!AJ$6)</f>
        <v>0</v>
      </c>
    </row>
    <row r="24" spans="1:36" ht="15.75">
      <c r="A24" s="2">
        <v>17</v>
      </c>
      <c r="B24" s="209" t="s">
        <v>45</v>
      </c>
      <c r="C24" s="210" t="s">
        <v>52</v>
      </c>
      <c r="D24" s="215" t="s">
        <v>53</v>
      </c>
      <c r="E24" s="212">
        <f t="shared" si="2"/>
        <v>0</v>
      </c>
      <c r="F24" s="223">
        <f>COUNTIFS('2026 Time Off Request'!$A:$A,'Dec 2026'!$D24,'2026 Time Off Request'!$L:$L,'Dec 2026'!F$6)</f>
        <v>0</v>
      </c>
      <c r="G24" s="148">
        <f>COUNTIFS('2026 Time Off Request'!$A:$A,'Dec 2026'!$D24,'2026 Time Off Request'!$L:$L,'Dec 2026'!G$6)</f>
        <v>0</v>
      </c>
      <c r="H24" s="148">
        <f>COUNTIFS('2026 Time Off Request'!$A:$A,'Dec 2026'!$D24,'2026 Time Off Request'!$L:$L,'Dec 2026'!H$6)</f>
        <v>0</v>
      </c>
      <c r="I24" s="148">
        <f>COUNTIFS('2026 Time Off Request'!$A:$A,'Dec 2026'!$D24,'2026 Time Off Request'!$L:$L,'Dec 2026'!I$6)</f>
        <v>0</v>
      </c>
      <c r="J24" s="147">
        <f>COUNTIFS('2026 Time Off Request'!$A:$A,'Dec 2026'!$D24,'2026 Time Off Request'!$L:$L,'Dec 2026'!J$6)</f>
        <v>0</v>
      </c>
      <c r="K24" s="147">
        <f>COUNTIFS('2026 Time Off Request'!$A:$A,'Dec 2026'!$D24,'2026 Time Off Request'!$L:$L,'Dec 2026'!K$6)</f>
        <v>0</v>
      </c>
      <c r="L24" s="148">
        <f>COUNTIFS('2026 Time Off Request'!$A:$A,'Dec 2026'!$D24,'2026 Time Off Request'!$L:$L,'Dec 2026'!L$6)</f>
        <v>0</v>
      </c>
      <c r="M24" s="148">
        <f>COUNTIFS('2026 Time Off Request'!$A:$A,'Dec 2026'!$D24,'2026 Time Off Request'!$L:$L,'Dec 2026'!M$6)</f>
        <v>0</v>
      </c>
      <c r="N24" s="148">
        <f>COUNTIFS('2026 Time Off Request'!$A:$A,'Dec 2026'!$D24,'2026 Time Off Request'!$L:$L,'Dec 2026'!N$6)</f>
        <v>0</v>
      </c>
      <c r="O24" s="148">
        <f>COUNTIFS('2026 Time Off Request'!$A:$A,'Dec 2026'!$D24,'2026 Time Off Request'!$L:$L,'Dec 2026'!O$6)</f>
        <v>0</v>
      </c>
      <c r="P24" s="148">
        <f>COUNTIFS('2026 Time Off Request'!$A:$A,'Dec 2026'!$D24,'2026 Time Off Request'!$L:$L,'Dec 2026'!P$6)</f>
        <v>0</v>
      </c>
      <c r="Q24" s="147">
        <f>COUNTIFS('2026 Time Off Request'!$A:$A,'Dec 2026'!$D24,'2026 Time Off Request'!$L:$L,'Dec 2026'!Q$6)</f>
        <v>0</v>
      </c>
      <c r="R24" s="147">
        <f>COUNTIFS('2026 Time Off Request'!$A:$A,'Dec 2026'!$D24,'2026 Time Off Request'!$L:$L,'Dec 2026'!R$6)</f>
        <v>0</v>
      </c>
      <c r="S24" s="148">
        <f>COUNTIFS('2026 Time Off Request'!$A:$A,'Dec 2026'!$D24,'2026 Time Off Request'!$L:$L,'Dec 2026'!S$6)</f>
        <v>0</v>
      </c>
      <c r="T24" s="148">
        <f>COUNTIFS('2026 Time Off Request'!$A:$A,'Dec 2026'!$D24,'2026 Time Off Request'!$L:$L,'Dec 2026'!T$6)</f>
        <v>0</v>
      </c>
      <c r="U24" s="148">
        <f>COUNTIFS('2026 Time Off Request'!$A:$A,'Dec 2026'!$D24,'2026 Time Off Request'!$L:$L,'Dec 2026'!U$6)</f>
        <v>0</v>
      </c>
      <c r="V24" s="148">
        <f>COUNTIFS('2026 Time Off Request'!$A:$A,'Dec 2026'!$D24,'2026 Time Off Request'!$L:$L,'Dec 2026'!V$6)</f>
        <v>0</v>
      </c>
      <c r="W24" s="148">
        <f>COUNTIFS('2026 Time Off Request'!$A:$A,'Dec 2026'!$D24,'2026 Time Off Request'!$L:$L,'Dec 2026'!W$6)</f>
        <v>0</v>
      </c>
      <c r="X24" s="147">
        <f>COUNTIFS('2026 Time Off Request'!$A:$A,'Dec 2026'!$D24,'2026 Time Off Request'!$L:$L,'Dec 2026'!X$6)</f>
        <v>0</v>
      </c>
      <c r="Y24" s="147">
        <f>COUNTIFS('2026 Time Off Request'!$A:$A,'Dec 2026'!$D24,'2026 Time Off Request'!$L:$L,'Dec 2026'!Y$6)</f>
        <v>0</v>
      </c>
      <c r="Z24" s="148">
        <f>COUNTIFS('2026 Time Off Request'!$A:$A,'Dec 2026'!$D24,'2026 Time Off Request'!$L:$L,'Dec 2026'!Z$6)</f>
        <v>0</v>
      </c>
      <c r="AA24" s="148">
        <f>COUNTIFS('2026 Time Off Request'!$A:$A,'Dec 2026'!$D24,'2026 Time Off Request'!$L:$L,'Dec 2026'!AA$6)</f>
        <v>0</v>
      </c>
      <c r="AB24" s="148">
        <f>COUNTIFS('2026 Time Off Request'!$A:$A,'Dec 2026'!$D24,'2026 Time Off Request'!$L:$L,'Dec 2026'!AB$6)</f>
        <v>0</v>
      </c>
      <c r="AC24" s="148">
        <f>COUNTIFS('2026 Time Off Request'!$A:$A,'Dec 2026'!$D24,'2026 Time Off Request'!$L:$L,'Dec 2026'!AC$6)</f>
        <v>0</v>
      </c>
      <c r="AD24" s="224">
        <f>COUNTIFS('2026 Time Off Request'!$A:$A,'Dec 2026'!$D24,'2026 Time Off Request'!$L:$L,'Dec 2026'!AD$6)</f>
        <v>0</v>
      </c>
      <c r="AE24" s="147">
        <f>COUNTIFS('2026 Time Off Request'!$A:$A,'Dec 2026'!$D24,'2026 Time Off Request'!$L:$L,'Dec 2026'!AE$6)</f>
        <v>0</v>
      </c>
      <c r="AF24" s="147">
        <f>COUNTIFS('2026 Time Off Request'!$A:$A,'Dec 2026'!$D24,'2026 Time Off Request'!$L:$L,'Dec 2026'!AF$6)</f>
        <v>0</v>
      </c>
      <c r="AG24" s="224">
        <f>COUNTIFS('2026 Time Off Request'!$A:$A,'Dec 2026'!$D24,'2026 Time Off Request'!$L:$L,'Dec 2026'!AG$6)</f>
        <v>0</v>
      </c>
      <c r="AH24" s="148">
        <f>COUNTIFS('2026 Time Off Request'!$A:$A,'Dec 2026'!$D24,'2026 Time Off Request'!$L:$L,'Dec 2026'!AH$6)</f>
        <v>0</v>
      </c>
      <c r="AI24" s="148">
        <f>COUNTIFS('2026 Time Off Request'!$A:$A,'Dec 2026'!$D24,'2026 Time Off Request'!$L:$L,'Dec 2026'!AI$6)</f>
        <v>0</v>
      </c>
      <c r="AJ24" s="148">
        <f>COUNTIFS('2026 Time Off Request'!$A:$A,'Dec 2026'!$D24,'2026 Time Off Request'!$L:$L,'Dec 2026'!AJ$6)</f>
        <v>0</v>
      </c>
    </row>
    <row r="25" spans="1:36" ht="15.75">
      <c r="A25" s="2"/>
      <c r="B25" s="209" t="s">
        <v>45</v>
      </c>
      <c r="C25" s="210" t="s">
        <v>52</v>
      </c>
      <c r="D25" s="215" t="s">
        <v>54</v>
      </c>
      <c r="E25" s="212">
        <f t="shared" ref="E25:E30" si="3">SUM(F25:AI25)</f>
        <v>0</v>
      </c>
      <c r="F25" s="223">
        <f>COUNTIFS('2026 Time Off Request'!$A:$A,'Dec 2026'!$D25,'2026 Time Off Request'!$L:$L,'Dec 2026'!F$6)</f>
        <v>0</v>
      </c>
      <c r="G25" s="148">
        <f>COUNTIFS('2026 Time Off Request'!$A:$A,'Dec 2026'!$D25,'2026 Time Off Request'!$L:$L,'Dec 2026'!G$6)</f>
        <v>0</v>
      </c>
      <c r="H25" s="148">
        <f>COUNTIFS('2026 Time Off Request'!$A:$A,'Dec 2026'!$D25,'2026 Time Off Request'!$L:$L,'Dec 2026'!H$6)</f>
        <v>0</v>
      </c>
      <c r="I25" s="148">
        <f>COUNTIFS('2026 Time Off Request'!$A:$A,'Dec 2026'!$D25,'2026 Time Off Request'!$L:$L,'Dec 2026'!I$6)</f>
        <v>0</v>
      </c>
      <c r="J25" s="147">
        <f>COUNTIFS('2026 Time Off Request'!$A:$A,'Dec 2026'!$D25,'2026 Time Off Request'!$L:$L,'Dec 2026'!J$6)</f>
        <v>0</v>
      </c>
      <c r="K25" s="147">
        <f>COUNTIFS('2026 Time Off Request'!$A:$A,'Dec 2026'!$D25,'2026 Time Off Request'!$L:$L,'Dec 2026'!K$6)</f>
        <v>0</v>
      </c>
      <c r="L25" s="148">
        <f>COUNTIFS('2026 Time Off Request'!$A:$A,'Dec 2026'!$D25,'2026 Time Off Request'!$L:$L,'Dec 2026'!L$6)</f>
        <v>0</v>
      </c>
      <c r="M25" s="148">
        <f>COUNTIFS('2026 Time Off Request'!$A:$A,'Dec 2026'!$D25,'2026 Time Off Request'!$L:$L,'Dec 2026'!M$6)</f>
        <v>0</v>
      </c>
      <c r="N25" s="148">
        <f>COUNTIFS('2026 Time Off Request'!$A:$A,'Dec 2026'!$D25,'2026 Time Off Request'!$L:$L,'Dec 2026'!N$6)</f>
        <v>0</v>
      </c>
      <c r="O25" s="148">
        <f>COUNTIFS('2026 Time Off Request'!$A:$A,'Dec 2026'!$D25,'2026 Time Off Request'!$L:$L,'Dec 2026'!O$6)</f>
        <v>0</v>
      </c>
      <c r="P25" s="148">
        <f>COUNTIFS('2026 Time Off Request'!$A:$A,'Dec 2026'!$D25,'2026 Time Off Request'!$L:$L,'Dec 2026'!P$6)</f>
        <v>0</v>
      </c>
      <c r="Q25" s="147">
        <f>COUNTIFS('2026 Time Off Request'!$A:$A,'Dec 2026'!$D25,'2026 Time Off Request'!$L:$L,'Dec 2026'!Q$6)</f>
        <v>0</v>
      </c>
      <c r="R25" s="147">
        <f>COUNTIFS('2026 Time Off Request'!$A:$A,'Dec 2026'!$D25,'2026 Time Off Request'!$L:$L,'Dec 2026'!R$6)</f>
        <v>0</v>
      </c>
      <c r="S25" s="148">
        <f>COUNTIFS('2026 Time Off Request'!$A:$A,'Dec 2026'!$D25,'2026 Time Off Request'!$L:$L,'Dec 2026'!S$6)</f>
        <v>0</v>
      </c>
      <c r="T25" s="148">
        <f>COUNTIFS('2026 Time Off Request'!$A:$A,'Dec 2026'!$D25,'2026 Time Off Request'!$L:$L,'Dec 2026'!T$6)</f>
        <v>0</v>
      </c>
      <c r="U25" s="148">
        <f>COUNTIFS('2026 Time Off Request'!$A:$A,'Dec 2026'!$D25,'2026 Time Off Request'!$L:$L,'Dec 2026'!U$6)</f>
        <v>0</v>
      </c>
      <c r="V25" s="148">
        <f>COUNTIFS('2026 Time Off Request'!$A:$A,'Dec 2026'!$D25,'2026 Time Off Request'!$L:$L,'Dec 2026'!V$6)</f>
        <v>0</v>
      </c>
      <c r="W25" s="148">
        <f>COUNTIFS('2026 Time Off Request'!$A:$A,'Dec 2026'!$D25,'2026 Time Off Request'!$L:$L,'Dec 2026'!W$6)</f>
        <v>0</v>
      </c>
      <c r="X25" s="147">
        <f>COUNTIFS('2026 Time Off Request'!$A:$A,'Dec 2026'!$D25,'2026 Time Off Request'!$L:$L,'Dec 2026'!X$6)</f>
        <v>0</v>
      </c>
      <c r="Y25" s="147">
        <f>COUNTIFS('2026 Time Off Request'!$A:$A,'Dec 2026'!$D25,'2026 Time Off Request'!$L:$L,'Dec 2026'!Y$6)</f>
        <v>0</v>
      </c>
      <c r="Z25" s="148">
        <f>COUNTIFS('2026 Time Off Request'!$A:$A,'Dec 2026'!$D25,'2026 Time Off Request'!$L:$L,'Dec 2026'!Z$6)</f>
        <v>0</v>
      </c>
      <c r="AA25" s="148">
        <f>COUNTIFS('2026 Time Off Request'!$A:$A,'Dec 2026'!$D25,'2026 Time Off Request'!$L:$L,'Dec 2026'!AA$6)</f>
        <v>0</v>
      </c>
      <c r="AB25" s="148">
        <f>COUNTIFS('2026 Time Off Request'!$A:$A,'Dec 2026'!$D25,'2026 Time Off Request'!$L:$L,'Dec 2026'!AB$6)</f>
        <v>0</v>
      </c>
      <c r="AC25" s="148">
        <f>COUNTIFS('2026 Time Off Request'!$A:$A,'Dec 2026'!$D25,'2026 Time Off Request'!$L:$L,'Dec 2026'!AC$6)</f>
        <v>0</v>
      </c>
      <c r="AD25" s="224">
        <f>COUNTIFS('2026 Time Off Request'!$A:$A,'Dec 2026'!$D25,'2026 Time Off Request'!$L:$L,'Dec 2026'!AD$6)</f>
        <v>0</v>
      </c>
      <c r="AE25" s="147">
        <f>COUNTIFS('2026 Time Off Request'!$A:$A,'Dec 2026'!$D25,'2026 Time Off Request'!$L:$L,'Dec 2026'!AE$6)</f>
        <v>0</v>
      </c>
      <c r="AF25" s="147">
        <f>COUNTIFS('2026 Time Off Request'!$A:$A,'Dec 2026'!$D25,'2026 Time Off Request'!$L:$L,'Dec 2026'!AF$6)</f>
        <v>0</v>
      </c>
      <c r="AG25" s="224">
        <f>COUNTIFS('2026 Time Off Request'!$A:$A,'Dec 2026'!$D25,'2026 Time Off Request'!$L:$L,'Dec 2026'!AG$6)</f>
        <v>0</v>
      </c>
      <c r="AH25" s="148">
        <f>COUNTIFS('2026 Time Off Request'!$A:$A,'Dec 2026'!$D25,'2026 Time Off Request'!$L:$L,'Dec 2026'!AH$6)</f>
        <v>0</v>
      </c>
      <c r="AI25" s="148">
        <f>COUNTIFS('2026 Time Off Request'!$A:$A,'Dec 2026'!$D25,'2026 Time Off Request'!$L:$L,'Dec 2026'!AI$6)</f>
        <v>0</v>
      </c>
      <c r="AJ25" s="148">
        <f>COUNTIFS('2026 Time Off Request'!$A:$A,'Dec 2026'!$D25,'2026 Time Off Request'!$L:$L,'Dec 2026'!AJ$6)</f>
        <v>0</v>
      </c>
    </row>
    <row r="26" spans="1:36" ht="15.75">
      <c r="A26" s="2">
        <v>18</v>
      </c>
      <c r="B26" s="209" t="s">
        <v>45</v>
      </c>
      <c r="C26" s="210" t="s">
        <v>55</v>
      </c>
      <c r="D26" s="215" t="s">
        <v>56</v>
      </c>
      <c r="E26" s="212">
        <f t="shared" si="3"/>
        <v>0</v>
      </c>
      <c r="F26" s="223">
        <f>COUNTIFS('2026 Time Off Request'!$A:$A,'Dec 2026'!$D26,'2026 Time Off Request'!$L:$L,'Dec 2026'!F$6)</f>
        <v>0</v>
      </c>
      <c r="G26" s="148">
        <f>COUNTIFS('2026 Time Off Request'!$A:$A,'Dec 2026'!$D26,'2026 Time Off Request'!$L:$L,'Dec 2026'!G$6)</f>
        <v>0</v>
      </c>
      <c r="H26" s="148">
        <f>COUNTIFS('2026 Time Off Request'!$A:$A,'Dec 2026'!$D26,'2026 Time Off Request'!$L:$L,'Dec 2026'!H$6)</f>
        <v>0</v>
      </c>
      <c r="I26" s="148">
        <f>COUNTIFS('2026 Time Off Request'!$A:$A,'Dec 2026'!$D26,'2026 Time Off Request'!$L:$L,'Dec 2026'!I$6)</f>
        <v>0</v>
      </c>
      <c r="J26" s="147">
        <f>COUNTIFS('2026 Time Off Request'!$A:$A,'Dec 2026'!$D26,'2026 Time Off Request'!$L:$L,'Dec 2026'!J$6)</f>
        <v>0</v>
      </c>
      <c r="K26" s="147">
        <f>COUNTIFS('2026 Time Off Request'!$A:$A,'Dec 2026'!$D26,'2026 Time Off Request'!$L:$L,'Dec 2026'!K$6)</f>
        <v>0</v>
      </c>
      <c r="L26" s="148">
        <f>COUNTIFS('2026 Time Off Request'!$A:$A,'Dec 2026'!$D26,'2026 Time Off Request'!$L:$L,'Dec 2026'!L$6)</f>
        <v>0</v>
      </c>
      <c r="M26" s="148">
        <f>COUNTIFS('2026 Time Off Request'!$A:$A,'Dec 2026'!$D26,'2026 Time Off Request'!$L:$L,'Dec 2026'!M$6)</f>
        <v>0</v>
      </c>
      <c r="N26" s="148">
        <f>COUNTIFS('2026 Time Off Request'!$A:$A,'Dec 2026'!$D26,'2026 Time Off Request'!$L:$L,'Dec 2026'!N$6)</f>
        <v>0</v>
      </c>
      <c r="O26" s="148">
        <f>COUNTIFS('2026 Time Off Request'!$A:$A,'Dec 2026'!$D26,'2026 Time Off Request'!$L:$L,'Dec 2026'!O$6)</f>
        <v>0</v>
      </c>
      <c r="P26" s="148">
        <f>COUNTIFS('2026 Time Off Request'!$A:$A,'Dec 2026'!$D26,'2026 Time Off Request'!$L:$L,'Dec 2026'!P$6)</f>
        <v>0</v>
      </c>
      <c r="Q26" s="147">
        <f>COUNTIFS('2026 Time Off Request'!$A:$A,'Dec 2026'!$D26,'2026 Time Off Request'!$L:$L,'Dec 2026'!Q$6)</f>
        <v>0</v>
      </c>
      <c r="R26" s="147">
        <f>COUNTIFS('2026 Time Off Request'!$A:$A,'Dec 2026'!$D26,'2026 Time Off Request'!$L:$L,'Dec 2026'!R$6)</f>
        <v>0</v>
      </c>
      <c r="S26" s="148">
        <f>COUNTIFS('2026 Time Off Request'!$A:$A,'Dec 2026'!$D26,'2026 Time Off Request'!$L:$L,'Dec 2026'!S$6)</f>
        <v>0</v>
      </c>
      <c r="T26" s="148">
        <f>COUNTIFS('2026 Time Off Request'!$A:$A,'Dec 2026'!$D26,'2026 Time Off Request'!$L:$L,'Dec 2026'!T$6)</f>
        <v>0</v>
      </c>
      <c r="U26" s="148">
        <f>COUNTIFS('2026 Time Off Request'!$A:$A,'Dec 2026'!$D26,'2026 Time Off Request'!$L:$L,'Dec 2026'!U$6)</f>
        <v>0</v>
      </c>
      <c r="V26" s="148">
        <f>COUNTIFS('2026 Time Off Request'!$A:$A,'Dec 2026'!$D26,'2026 Time Off Request'!$L:$L,'Dec 2026'!V$6)</f>
        <v>0</v>
      </c>
      <c r="W26" s="148">
        <f>COUNTIFS('2026 Time Off Request'!$A:$A,'Dec 2026'!$D26,'2026 Time Off Request'!$L:$L,'Dec 2026'!W$6)</f>
        <v>0</v>
      </c>
      <c r="X26" s="147">
        <f>COUNTIFS('2026 Time Off Request'!$A:$A,'Dec 2026'!$D26,'2026 Time Off Request'!$L:$L,'Dec 2026'!X$6)</f>
        <v>0</v>
      </c>
      <c r="Y26" s="147">
        <f>COUNTIFS('2026 Time Off Request'!$A:$A,'Dec 2026'!$D26,'2026 Time Off Request'!$L:$L,'Dec 2026'!Y$6)</f>
        <v>0</v>
      </c>
      <c r="Z26" s="148">
        <f>COUNTIFS('2026 Time Off Request'!$A:$A,'Dec 2026'!$D26,'2026 Time Off Request'!$L:$L,'Dec 2026'!Z$6)</f>
        <v>0</v>
      </c>
      <c r="AA26" s="148">
        <f>COUNTIFS('2026 Time Off Request'!$A:$A,'Dec 2026'!$D26,'2026 Time Off Request'!$L:$L,'Dec 2026'!AA$6)</f>
        <v>0</v>
      </c>
      <c r="AB26" s="148">
        <f>COUNTIFS('2026 Time Off Request'!$A:$A,'Dec 2026'!$D26,'2026 Time Off Request'!$L:$L,'Dec 2026'!AB$6)</f>
        <v>0</v>
      </c>
      <c r="AC26" s="148">
        <f>COUNTIFS('2026 Time Off Request'!$A:$A,'Dec 2026'!$D26,'2026 Time Off Request'!$L:$L,'Dec 2026'!AC$6)</f>
        <v>0</v>
      </c>
      <c r="AD26" s="224">
        <f>COUNTIFS('2026 Time Off Request'!$A:$A,'Dec 2026'!$D26,'2026 Time Off Request'!$L:$L,'Dec 2026'!AD$6)</f>
        <v>0</v>
      </c>
      <c r="AE26" s="147">
        <f>COUNTIFS('2026 Time Off Request'!$A:$A,'Dec 2026'!$D26,'2026 Time Off Request'!$L:$L,'Dec 2026'!AE$6)</f>
        <v>0</v>
      </c>
      <c r="AF26" s="147">
        <f>COUNTIFS('2026 Time Off Request'!$A:$A,'Dec 2026'!$D26,'2026 Time Off Request'!$L:$L,'Dec 2026'!AF$6)</f>
        <v>0</v>
      </c>
      <c r="AG26" s="224">
        <f>COUNTIFS('2026 Time Off Request'!$A:$A,'Dec 2026'!$D26,'2026 Time Off Request'!$L:$L,'Dec 2026'!AG$6)</f>
        <v>0</v>
      </c>
      <c r="AH26" s="148">
        <f>COUNTIFS('2026 Time Off Request'!$A:$A,'Dec 2026'!$D26,'2026 Time Off Request'!$L:$L,'Dec 2026'!AH$6)</f>
        <v>0</v>
      </c>
      <c r="AI26" s="148">
        <f>COUNTIFS('2026 Time Off Request'!$A:$A,'Dec 2026'!$D26,'2026 Time Off Request'!$L:$L,'Dec 2026'!AI$6)</f>
        <v>0</v>
      </c>
      <c r="AJ26" s="148">
        <f>COUNTIFS('2026 Time Off Request'!$A:$A,'Dec 2026'!$D26,'2026 Time Off Request'!$L:$L,'Dec 2026'!AJ$6)</f>
        <v>0</v>
      </c>
    </row>
    <row r="27" spans="1:36" ht="15.75">
      <c r="A27" s="2"/>
      <c r="B27" s="209" t="s">
        <v>45</v>
      </c>
      <c r="C27" s="210" t="s">
        <v>55</v>
      </c>
      <c r="D27" s="215" t="s">
        <v>57</v>
      </c>
      <c r="E27" s="212">
        <f t="shared" si="3"/>
        <v>0</v>
      </c>
      <c r="F27" s="223">
        <f>COUNTIFS('2026 Time Off Request'!$A:$A,'Dec 2026'!$D27,'2026 Time Off Request'!$L:$L,'Dec 2026'!F$6)</f>
        <v>0</v>
      </c>
      <c r="G27" s="148">
        <f>COUNTIFS('2026 Time Off Request'!$A:$A,'Dec 2026'!$D27,'2026 Time Off Request'!$L:$L,'Dec 2026'!G$6)</f>
        <v>0</v>
      </c>
      <c r="H27" s="148">
        <f>COUNTIFS('2026 Time Off Request'!$A:$A,'Dec 2026'!$D27,'2026 Time Off Request'!$L:$L,'Dec 2026'!H$6)</f>
        <v>0</v>
      </c>
      <c r="I27" s="148">
        <f>COUNTIFS('2026 Time Off Request'!$A:$A,'Dec 2026'!$D27,'2026 Time Off Request'!$L:$L,'Dec 2026'!I$6)</f>
        <v>0</v>
      </c>
      <c r="J27" s="147">
        <f>COUNTIFS('2026 Time Off Request'!$A:$A,'Dec 2026'!$D27,'2026 Time Off Request'!$L:$L,'Dec 2026'!J$6)</f>
        <v>0</v>
      </c>
      <c r="K27" s="147">
        <f>COUNTIFS('2026 Time Off Request'!$A:$A,'Dec 2026'!$D27,'2026 Time Off Request'!$L:$L,'Dec 2026'!K$6)</f>
        <v>0</v>
      </c>
      <c r="L27" s="148">
        <f>COUNTIFS('2026 Time Off Request'!$A:$A,'Dec 2026'!$D27,'2026 Time Off Request'!$L:$L,'Dec 2026'!L$6)</f>
        <v>0</v>
      </c>
      <c r="M27" s="148">
        <f>COUNTIFS('2026 Time Off Request'!$A:$A,'Dec 2026'!$D27,'2026 Time Off Request'!$L:$L,'Dec 2026'!M$6)</f>
        <v>0</v>
      </c>
      <c r="N27" s="148">
        <f>COUNTIFS('2026 Time Off Request'!$A:$A,'Dec 2026'!$D27,'2026 Time Off Request'!$L:$L,'Dec 2026'!N$6)</f>
        <v>0</v>
      </c>
      <c r="O27" s="148">
        <f>COUNTIFS('2026 Time Off Request'!$A:$A,'Dec 2026'!$D27,'2026 Time Off Request'!$L:$L,'Dec 2026'!O$6)</f>
        <v>0</v>
      </c>
      <c r="P27" s="148">
        <f>COUNTIFS('2026 Time Off Request'!$A:$A,'Dec 2026'!$D27,'2026 Time Off Request'!$L:$L,'Dec 2026'!P$6)</f>
        <v>0</v>
      </c>
      <c r="Q27" s="147">
        <f>COUNTIFS('2026 Time Off Request'!$A:$A,'Dec 2026'!$D27,'2026 Time Off Request'!$L:$L,'Dec 2026'!Q$6)</f>
        <v>0</v>
      </c>
      <c r="R27" s="147">
        <f>COUNTIFS('2026 Time Off Request'!$A:$A,'Dec 2026'!$D27,'2026 Time Off Request'!$L:$L,'Dec 2026'!R$6)</f>
        <v>0</v>
      </c>
      <c r="S27" s="148">
        <f>COUNTIFS('2026 Time Off Request'!$A:$A,'Dec 2026'!$D27,'2026 Time Off Request'!$L:$L,'Dec 2026'!S$6)</f>
        <v>0</v>
      </c>
      <c r="T27" s="148">
        <f>COUNTIFS('2026 Time Off Request'!$A:$A,'Dec 2026'!$D27,'2026 Time Off Request'!$L:$L,'Dec 2026'!T$6)</f>
        <v>0</v>
      </c>
      <c r="U27" s="148">
        <f>COUNTIFS('2026 Time Off Request'!$A:$A,'Dec 2026'!$D27,'2026 Time Off Request'!$L:$L,'Dec 2026'!U$6)</f>
        <v>0</v>
      </c>
      <c r="V27" s="148">
        <f>COUNTIFS('2026 Time Off Request'!$A:$A,'Dec 2026'!$D27,'2026 Time Off Request'!$L:$L,'Dec 2026'!V$6)</f>
        <v>0</v>
      </c>
      <c r="W27" s="148">
        <f>COUNTIFS('2026 Time Off Request'!$A:$A,'Dec 2026'!$D27,'2026 Time Off Request'!$L:$L,'Dec 2026'!W$6)</f>
        <v>0</v>
      </c>
      <c r="X27" s="147">
        <f>COUNTIFS('2026 Time Off Request'!$A:$A,'Dec 2026'!$D27,'2026 Time Off Request'!$L:$L,'Dec 2026'!X$6)</f>
        <v>0</v>
      </c>
      <c r="Y27" s="147">
        <f>COUNTIFS('2026 Time Off Request'!$A:$A,'Dec 2026'!$D27,'2026 Time Off Request'!$L:$L,'Dec 2026'!Y$6)</f>
        <v>0</v>
      </c>
      <c r="Z27" s="148">
        <f>COUNTIFS('2026 Time Off Request'!$A:$A,'Dec 2026'!$D27,'2026 Time Off Request'!$L:$L,'Dec 2026'!Z$6)</f>
        <v>0</v>
      </c>
      <c r="AA27" s="148">
        <f>COUNTIFS('2026 Time Off Request'!$A:$A,'Dec 2026'!$D27,'2026 Time Off Request'!$L:$L,'Dec 2026'!AA$6)</f>
        <v>0</v>
      </c>
      <c r="AB27" s="148">
        <f>COUNTIFS('2026 Time Off Request'!$A:$A,'Dec 2026'!$D27,'2026 Time Off Request'!$L:$L,'Dec 2026'!AB$6)</f>
        <v>0</v>
      </c>
      <c r="AC27" s="148">
        <f>COUNTIFS('2026 Time Off Request'!$A:$A,'Dec 2026'!$D27,'2026 Time Off Request'!$L:$L,'Dec 2026'!AC$6)</f>
        <v>0</v>
      </c>
      <c r="AD27" s="224">
        <f>COUNTIFS('2026 Time Off Request'!$A:$A,'Dec 2026'!$D27,'2026 Time Off Request'!$L:$L,'Dec 2026'!AD$6)</f>
        <v>0</v>
      </c>
      <c r="AE27" s="147">
        <f>COUNTIFS('2026 Time Off Request'!$A:$A,'Dec 2026'!$D27,'2026 Time Off Request'!$L:$L,'Dec 2026'!AE$6)</f>
        <v>0</v>
      </c>
      <c r="AF27" s="147">
        <f>COUNTIFS('2026 Time Off Request'!$A:$A,'Dec 2026'!$D27,'2026 Time Off Request'!$L:$L,'Dec 2026'!AF$6)</f>
        <v>0</v>
      </c>
      <c r="AG27" s="224">
        <f>COUNTIFS('2026 Time Off Request'!$A:$A,'Dec 2026'!$D27,'2026 Time Off Request'!$L:$L,'Dec 2026'!AG$6)</f>
        <v>0</v>
      </c>
      <c r="AH27" s="148">
        <f>COUNTIFS('2026 Time Off Request'!$A:$A,'Dec 2026'!$D27,'2026 Time Off Request'!$L:$L,'Dec 2026'!AH$6)</f>
        <v>0</v>
      </c>
      <c r="AI27" s="148">
        <f>COUNTIFS('2026 Time Off Request'!$A:$A,'Dec 2026'!$D27,'2026 Time Off Request'!$L:$L,'Dec 2026'!AI$6)</f>
        <v>0</v>
      </c>
      <c r="AJ27" s="148">
        <f>COUNTIFS('2026 Time Off Request'!$A:$A,'Dec 2026'!$D27,'2026 Time Off Request'!$L:$L,'Dec 2026'!AJ$6)</f>
        <v>0</v>
      </c>
    </row>
    <row r="28" spans="1:36" ht="15.75">
      <c r="A28" s="2">
        <v>19</v>
      </c>
      <c r="B28" s="209" t="s">
        <v>45</v>
      </c>
      <c r="C28" s="210" t="s">
        <v>58</v>
      </c>
      <c r="D28" s="215" t="s">
        <v>59</v>
      </c>
      <c r="E28" s="212">
        <f t="shared" si="3"/>
        <v>0</v>
      </c>
      <c r="F28" s="223">
        <f>COUNTIFS('2026 Time Off Request'!$A:$A,'Dec 2026'!$D28,'2026 Time Off Request'!$L:$L,'Dec 2026'!F$6)</f>
        <v>0</v>
      </c>
      <c r="G28" s="148">
        <f>COUNTIFS('2026 Time Off Request'!$A:$A,'Dec 2026'!$D28,'2026 Time Off Request'!$L:$L,'Dec 2026'!G$6)</f>
        <v>0</v>
      </c>
      <c r="H28" s="148">
        <f>COUNTIFS('2026 Time Off Request'!$A:$A,'Dec 2026'!$D28,'2026 Time Off Request'!$L:$L,'Dec 2026'!H$6)</f>
        <v>0</v>
      </c>
      <c r="I28" s="148">
        <f>COUNTIFS('2026 Time Off Request'!$A:$A,'Dec 2026'!$D28,'2026 Time Off Request'!$L:$L,'Dec 2026'!I$6)</f>
        <v>0</v>
      </c>
      <c r="J28" s="147">
        <f>COUNTIFS('2026 Time Off Request'!$A:$A,'Dec 2026'!$D28,'2026 Time Off Request'!$L:$L,'Dec 2026'!J$6)</f>
        <v>0</v>
      </c>
      <c r="K28" s="147">
        <f>COUNTIFS('2026 Time Off Request'!$A:$A,'Dec 2026'!$D28,'2026 Time Off Request'!$L:$L,'Dec 2026'!K$6)</f>
        <v>0</v>
      </c>
      <c r="L28" s="148">
        <f>COUNTIFS('2026 Time Off Request'!$A:$A,'Dec 2026'!$D28,'2026 Time Off Request'!$L:$L,'Dec 2026'!L$6)</f>
        <v>0</v>
      </c>
      <c r="M28" s="148">
        <f>COUNTIFS('2026 Time Off Request'!$A:$A,'Dec 2026'!$D28,'2026 Time Off Request'!$L:$L,'Dec 2026'!M$6)</f>
        <v>0</v>
      </c>
      <c r="N28" s="148">
        <f>COUNTIFS('2026 Time Off Request'!$A:$A,'Dec 2026'!$D28,'2026 Time Off Request'!$L:$L,'Dec 2026'!N$6)</f>
        <v>0</v>
      </c>
      <c r="O28" s="148">
        <f>COUNTIFS('2026 Time Off Request'!$A:$A,'Dec 2026'!$D28,'2026 Time Off Request'!$L:$L,'Dec 2026'!O$6)</f>
        <v>0</v>
      </c>
      <c r="P28" s="148">
        <f>COUNTIFS('2026 Time Off Request'!$A:$A,'Dec 2026'!$D28,'2026 Time Off Request'!$L:$L,'Dec 2026'!P$6)</f>
        <v>0</v>
      </c>
      <c r="Q28" s="147">
        <f>COUNTIFS('2026 Time Off Request'!$A:$A,'Dec 2026'!$D28,'2026 Time Off Request'!$L:$L,'Dec 2026'!Q$6)</f>
        <v>0</v>
      </c>
      <c r="R28" s="147">
        <f>COUNTIFS('2026 Time Off Request'!$A:$A,'Dec 2026'!$D28,'2026 Time Off Request'!$L:$L,'Dec 2026'!R$6)</f>
        <v>0</v>
      </c>
      <c r="S28" s="148">
        <f>COUNTIFS('2026 Time Off Request'!$A:$A,'Dec 2026'!$D28,'2026 Time Off Request'!$L:$L,'Dec 2026'!S$6)</f>
        <v>0</v>
      </c>
      <c r="T28" s="148">
        <f>COUNTIFS('2026 Time Off Request'!$A:$A,'Dec 2026'!$D28,'2026 Time Off Request'!$L:$L,'Dec 2026'!T$6)</f>
        <v>0</v>
      </c>
      <c r="U28" s="148">
        <f>COUNTIFS('2026 Time Off Request'!$A:$A,'Dec 2026'!$D28,'2026 Time Off Request'!$L:$L,'Dec 2026'!U$6)</f>
        <v>0</v>
      </c>
      <c r="V28" s="148">
        <f>COUNTIFS('2026 Time Off Request'!$A:$A,'Dec 2026'!$D28,'2026 Time Off Request'!$L:$L,'Dec 2026'!V$6)</f>
        <v>0</v>
      </c>
      <c r="W28" s="148">
        <f>COUNTIFS('2026 Time Off Request'!$A:$A,'Dec 2026'!$D28,'2026 Time Off Request'!$L:$L,'Dec 2026'!W$6)</f>
        <v>0</v>
      </c>
      <c r="X28" s="147">
        <f>COUNTIFS('2026 Time Off Request'!$A:$A,'Dec 2026'!$D28,'2026 Time Off Request'!$L:$L,'Dec 2026'!X$6)</f>
        <v>0</v>
      </c>
      <c r="Y28" s="147">
        <f>COUNTIFS('2026 Time Off Request'!$A:$A,'Dec 2026'!$D28,'2026 Time Off Request'!$L:$L,'Dec 2026'!Y$6)</f>
        <v>0</v>
      </c>
      <c r="Z28" s="148">
        <f>COUNTIFS('2026 Time Off Request'!$A:$A,'Dec 2026'!$D28,'2026 Time Off Request'!$L:$L,'Dec 2026'!Z$6)</f>
        <v>0</v>
      </c>
      <c r="AA28" s="148">
        <f>COUNTIFS('2026 Time Off Request'!$A:$A,'Dec 2026'!$D28,'2026 Time Off Request'!$L:$L,'Dec 2026'!AA$6)</f>
        <v>0</v>
      </c>
      <c r="AB28" s="148">
        <f>COUNTIFS('2026 Time Off Request'!$A:$A,'Dec 2026'!$D28,'2026 Time Off Request'!$L:$L,'Dec 2026'!AB$6)</f>
        <v>0</v>
      </c>
      <c r="AC28" s="148">
        <f>COUNTIFS('2026 Time Off Request'!$A:$A,'Dec 2026'!$D28,'2026 Time Off Request'!$L:$L,'Dec 2026'!AC$6)</f>
        <v>0</v>
      </c>
      <c r="AD28" s="224">
        <f>COUNTIFS('2026 Time Off Request'!$A:$A,'Dec 2026'!$D28,'2026 Time Off Request'!$L:$L,'Dec 2026'!AD$6)</f>
        <v>0</v>
      </c>
      <c r="AE28" s="147">
        <f>COUNTIFS('2026 Time Off Request'!$A:$A,'Dec 2026'!$D28,'2026 Time Off Request'!$L:$L,'Dec 2026'!AE$6)</f>
        <v>0</v>
      </c>
      <c r="AF28" s="147">
        <f>COUNTIFS('2026 Time Off Request'!$A:$A,'Dec 2026'!$D28,'2026 Time Off Request'!$L:$L,'Dec 2026'!AF$6)</f>
        <v>0</v>
      </c>
      <c r="AG28" s="224">
        <f>COUNTIFS('2026 Time Off Request'!$A:$A,'Dec 2026'!$D28,'2026 Time Off Request'!$L:$L,'Dec 2026'!AG$6)</f>
        <v>0</v>
      </c>
      <c r="AH28" s="148">
        <f>COUNTIFS('2026 Time Off Request'!$A:$A,'Dec 2026'!$D28,'2026 Time Off Request'!$L:$L,'Dec 2026'!AH$6)</f>
        <v>0</v>
      </c>
      <c r="AI28" s="148">
        <f>COUNTIFS('2026 Time Off Request'!$A:$A,'Dec 2026'!$D28,'2026 Time Off Request'!$L:$L,'Dec 2026'!AI$6)</f>
        <v>0</v>
      </c>
      <c r="AJ28" s="148">
        <f>COUNTIFS('2026 Time Off Request'!$A:$A,'Dec 2026'!$D28,'2026 Time Off Request'!$L:$L,'Dec 2026'!AJ$6)</f>
        <v>0</v>
      </c>
    </row>
    <row r="29" spans="1:36" ht="15.75">
      <c r="A29" s="2">
        <v>20</v>
      </c>
      <c r="B29" s="209" t="s">
        <v>45</v>
      </c>
      <c r="C29" s="210" t="s">
        <v>60</v>
      </c>
      <c r="D29" s="215" t="s">
        <v>61</v>
      </c>
      <c r="E29" s="212">
        <f t="shared" si="3"/>
        <v>0</v>
      </c>
      <c r="F29" s="223">
        <f>COUNTIFS('2026 Time Off Request'!$A:$A,'Dec 2026'!$D29,'2026 Time Off Request'!$L:$L,'Dec 2026'!F$6)</f>
        <v>0</v>
      </c>
      <c r="G29" s="148">
        <f>COUNTIFS('2026 Time Off Request'!$A:$A,'Dec 2026'!$D29,'2026 Time Off Request'!$L:$L,'Dec 2026'!G$6)</f>
        <v>0</v>
      </c>
      <c r="H29" s="148">
        <f>COUNTIFS('2026 Time Off Request'!$A:$A,'Dec 2026'!$D29,'2026 Time Off Request'!$L:$L,'Dec 2026'!H$6)</f>
        <v>0</v>
      </c>
      <c r="I29" s="148">
        <f>COUNTIFS('2026 Time Off Request'!$A:$A,'Dec 2026'!$D29,'2026 Time Off Request'!$L:$L,'Dec 2026'!I$6)</f>
        <v>0</v>
      </c>
      <c r="J29" s="147">
        <f>COUNTIFS('2026 Time Off Request'!$A:$A,'Dec 2026'!$D29,'2026 Time Off Request'!$L:$L,'Dec 2026'!J$6)</f>
        <v>0</v>
      </c>
      <c r="K29" s="147">
        <f>COUNTIFS('2026 Time Off Request'!$A:$A,'Dec 2026'!$D29,'2026 Time Off Request'!$L:$L,'Dec 2026'!K$6)</f>
        <v>0</v>
      </c>
      <c r="L29" s="148">
        <f>COUNTIFS('2026 Time Off Request'!$A:$A,'Dec 2026'!$D29,'2026 Time Off Request'!$L:$L,'Dec 2026'!L$6)</f>
        <v>0</v>
      </c>
      <c r="M29" s="148">
        <f>COUNTIFS('2026 Time Off Request'!$A:$A,'Dec 2026'!$D29,'2026 Time Off Request'!$L:$L,'Dec 2026'!M$6)</f>
        <v>0</v>
      </c>
      <c r="N29" s="148">
        <f>COUNTIFS('2026 Time Off Request'!$A:$A,'Dec 2026'!$D29,'2026 Time Off Request'!$L:$L,'Dec 2026'!N$6)</f>
        <v>0</v>
      </c>
      <c r="O29" s="148">
        <f>COUNTIFS('2026 Time Off Request'!$A:$A,'Dec 2026'!$D29,'2026 Time Off Request'!$L:$L,'Dec 2026'!O$6)</f>
        <v>0</v>
      </c>
      <c r="P29" s="148">
        <f>COUNTIFS('2026 Time Off Request'!$A:$A,'Dec 2026'!$D29,'2026 Time Off Request'!$L:$L,'Dec 2026'!P$6)</f>
        <v>0</v>
      </c>
      <c r="Q29" s="147">
        <f>COUNTIFS('2026 Time Off Request'!$A:$A,'Dec 2026'!$D29,'2026 Time Off Request'!$L:$L,'Dec 2026'!Q$6)</f>
        <v>0</v>
      </c>
      <c r="R29" s="147">
        <f>COUNTIFS('2026 Time Off Request'!$A:$A,'Dec 2026'!$D29,'2026 Time Off Request'!$L:$L,'Dec 2026'!R$6)</f>
        <v>0</v>
      </c>
      <c r="S29" s="148">
        <f>COUNTIFS('2026 Time Off Request'!$A:$A,'Dec 2026'!$D29,'2026 Time Off Request'!$L:$L,'Dec 2026'!S$6)</f>
        <v>0</v>
      </c>
      <c r="T29" s="148">
        <f>COUNTIFS('2026 Time Off Request'!$A:$A,'Dec 2026'!$D29,'2026 Time Off Request'!$L:$L,'Dec 2026'!T$6)</f>
        <v>0</v>
      </c>
      <c r="U29" s="148">
        <f>COUNTIFS('2026 Time Off Request'!$A:$A,'Dec 2026'!$D29,'2026 Time Off Request'!$L:$L,'Dec 2026'!U$6)</f>
        <v>0</v>
      </c>
      <c r="V29" s="148">
        <f>COUNTIFS('2026 Time Off Request'!$A:$A,'Dec 2026'!$D29,'2026 Time Off Request'!$L:$L,'Dec 2026'!V$6)</f>
        <v>0</v>
      </c>
      <c r="W29" s="148">
        <f>COUNTIFS('2026 Time Off Request'!$A:$A,'Dec 2026'!$D29,'2026 Time Off Request'!$L:$L,'Dec 2026'!W$6)</f>
        <v>0</v>
      </c>
      <c r="X29" s="147">
        <f>COUNTIFS('2026 Time Off Request'!$A:$A,'Dec 2026'!$D29,'2026 Time Off Request'!$L:$L,'Dec 2026'!X$6)</f>
        <v>0</v>
      </c>
      <c r="Y29" s="147">
        <f>COUNTIFS('2026 Time Off Request'!$A:$A,'Dec 2026'!$D29,'2026 Time Off Request'!$L:$L,'Dec 2026'!Y$6)</f>
        <v>0</v>
      </c>
      <c r="Z29" s="148">
        <f>COUNTIFS('2026 Time Off Request'!$A:$A,'Dec 2026'!$D29,'2026 Time Off Request'!$L:$L,'Dec 2026'!Z$6)</f>
        <v>0</v>
      </c>
      <c r="AA29" s="148">
        <f>COUNTIFS('2026 Time Off Request'!$A:$A,'Dec 2026'!$D29,'2026 Time Off Request'!$L:$L,'Dec 2026'!AA$6)</f>
        <v>0</v>
      </c>
      <c r="AB29" s="148">
        <f>COUNTIFS('2026 Time Off Request'!$A:$A,'Dec 2026'!$D29,'2026 Time Off Request'!$L:$L,'Dec 2026'!AB$6)</f>
        <v>0</v>
      </c>
      <c r="AC29" s="148">
        <f>COUNTIFS('2026 Time Off Request'!$A:$A,'Dec 2026'!$D29,'2026 Time Off Request'!$L:$L,'Dec 2026'!AC$6)</f>
        <v>0</v>
      </c>
      <c r="AD29" s="224">
        <f>COUNTIFS('2026 Time Off Request'!$A:$A,'Dec 2026'!$D29,'2026 Time Off Request'!$L:$L,'Dec 2026'!AD$6)</f>
        <v>0</v>
      </c>
      <c r="AE29" s="147">
        <f>COUNTIFS('2026 Time Off Request'!$A:$A,'Dec 2026'!$D29,'2026 Time Off Request'!$L:$L,'Dec 2026'!AE$6)</f>
        <v>0</v>
      </c>
      <c r="AF29" s="147">
        <f>COUNTIFS('2026 Time Off Request'!$A:$A,'Dec 2026'!$D29,'2026 Time Off Request'!$L:$L,'Dec 2026'!AF$6)</f>
        <v>0</v>
      </c>
      <c r="AG29" s="224">
        <f>COUNTIFS('2026 Time Off Request'!$A:$A,'Dec 2026'!$D29,'2026 Time Off Request'!$L:$L,'Dec 2026'!AG$6)</f>
        <v>0</v>
      </c>
      <c r="AH29" s="148">
        <f>COUNTIFS('2026 Time Off Request'!$A:$A,'Dec 2026'!$D29,'2026 Time Off Request'!$L:$L,'Dec 2026'!AH$6)</f>
        <v>0</v>
      </c>
      <c r="AI29" s="148">
        <f>COUNTIFS('2026 Time Off Request'!$A:$A,'Dec 2026'!$D29,'2026 Time Off Request'!$L:$L,'Dec 2026'!AI$6)</f>
        <v>0</v>
      </c>
      <c r="AJ29" s="148">
        <f>COUNTIFS('2026 Time Off Request'!$A:$A,'Dec 2026'!$D29,'2026 Time Off Request'!$L:$L,'Dec 2026'!AJ$6)</f>
        <v>0</v>
      </c>
    </row>
    <row r="30" spans="1:36" ht="15.75">
      <c r="A30" s="2"/>
      <c r="B30" s="209" t="s">
        <v>45</v>
      </c>
      <c r="C30" s="210" t="s">
        <v>62</v>
      </c>
      <c r="D30" s="215" t="s">
        <v>63</v>
      </c>
      <c r="E30" s="212">
        <f t="shared" si="3"/>
        <v>0</v>
      </c>
      <c r="F30" s="223">
        <f>COUNTIFS('2026 Time Off Request'!$A:$A,'Dec 2026'!$D30,'2026 Time Off Request'!$L:$L,'Dec 2026'!F$6)</f>
        <v>0</v>
      </c>
      <c r="G30" s="148">
        <f>COUNTIFS('2026 Time Off Request'!$A:$A,'Dec 2026'!$D30,'2026 Time Off Request'!$L:$L,'Dec 2026'!G$6)</f>
        <v>0</v>
      </c>
      <c r="H30" s="148">
        <f>COUNTIFS('2026 Time Off Request'!$A:$A,'Dec 2026'!$D30,'2026 Time Off Request'!$L:$L,'Dec 2026'!H$6)</f>
        <v>0</v>
      </c>
      <c r="I30" s="148">
        <f>COUNTIFS('2026 Time Off Request'!$A:$A,'Dec 2026'!$D30,'2026 Time Off Request'!$L:$L,'Dec 2026'!I$6)</f>
        <v>0</v>
      </c>
      <c r="J30" s="147">
        <f>COUNTIFS('2026 Time Off Request'!$A:$A,'Dec 2026'!$D30,'2026 Time Off Request'!$L:$L,'Dec 2026'!J$6)</f>
        <v>0</v>
      </c>
      <c r="K30" s="147">
        <f>COUNTIFS('2026 Time Off Request'!$A:$A,'Dec 2026'!$D30,'2026 Time Off Request'!$L:$L,'Dec 2026'!K$6)</f>
        <v>0</v>
      </c>
      <c r="L30" s="148">
        <f>COUNTIFS('2026 Time Off Request'!$A:$A,'Dec 2026'!$D30,'2026 Time Off Request'!$L:$L,'Dec 2026'!L$6)</f>
        <v>0</v>
      </c>
      <c r="M30" s="148">
        <f>COUNTIFS('2026 Time Off Request'!$A:$A,'Dec 2026'!$D30,'2026 Time Off Request'!$L:$L,'Dec 2026'!M$6)</f>
        <v>0</v>
      </c>
      <c r="N30" s="148">
        <f>COUNTIFS('2026 Time Off Request'!$A:$A,'Dec 2026'!$D30,'2026 Time Off Request'!$L:$L,'Dec 2026'!N$6)</f>
        <v>0</v>
      </c>
      <c r="O30" s="148">
        <f>COUNTIFS('2026 Time Off Request'!$A:$A,'Dec 2026'!$D30,'2026 Time Off Request'!$L:$L,'Dec 2026'!O$6)</f>
        <v>0</v>
      </c>
      <c r="P30" s="148">
        <f>COUNTIFS('2026 Time Off Request'!$A:$A,'Dec 2026'!$D30,'2026 Time Off Request'!$L:$L,'Dec 2026'!P$6)</f>
        <v>0</v>
      </c>
      <c r="Q30" s="147">
        <f>COUNTIFS('2026 Time Off Request'!$A:$A,'Dec 2026'!$D30,'2026 Time Off Request'!$L:$L,'Dec 2026'!Q$6)</f>
        <v>0</v>
      </c>
      <c r="R30" s="147">
        <f>COUNTIFS('2026 Time Off Request'!$A:$A,'Dec 2026'!$D30,'2026 Time Off Request'!$L:$L,'Dec 2026'!R$6)</f>
        <v>0</v>
      </c>
      <c r="S30" s="148">
        <f>COUNTIFS('2026 Time Off Request'!$A:$A,'Dec 2026'!$D30,'2026 Time Off Request'!$L:$L,'Dec 2026'!S$6)</f>
        <v>0</v>
      </c>
      <c r="T30" s="148">
        <f>COUNTIFS('2026 Time Off Request'!$A:$A,'Dec 2026'!$D30,'2026 Time Off Request'!$L:$L,'Dec 2026'!T$6)</f>
        <v>0</v>
      </c>
      <c r="U30" s="148">
        <f>COUNTIFS('2026 Time Off Request'!$A:$A,'Dec 2026'!$D30,'2026 Time Off Request'!$L:$L,'Dec 2026'!U$6)</f>
        <v>0</v>
      </c>
      <c r="V30" s="148">
        <f>COUNTIFS('2026 Time Off Request'!$A:$A,'Dec 2026'!$D30,'2026 Time Off Request'!$L:$L,'Dec 2026'!V$6)</f>
        <v>0</v>
      </c>
      <c r="W30" s="148">
        <f>COUNTIFS('2026 Time Off Request'!$A:$A,'Dec 2026'!$D30,'2026 Time Off Request'!$L:$L,'Dec 2026'!W$6)</f>
        <v>0</v>
      </c>
      <c r="X30" s="147">
        <f>COUNTIFS('2026 Time Off Request'!$A:$A,'Dec 2026'!$D30,'2026 Time Off Request'!$L:$L,'Dec 2026'!X$6)</f>
        <v>0</v>
      </c>
      <c r="Y30" s="147">
        <f>COUNTIFS('2026 Time Off Request'!$A:$A,'Dec 2026'!$D30,'2026 Time Off Request'!$L:$L,'Dec 2026'!Y$6)</f>
        <v>0</v>
      </c>
      <c r="Z30" s="148">
        <f>COUNTIFS('2026 Time Off Request'!$A:$A,'Dec 2026'!$D30,'2026 Time Off Request'!$L:$L,'Dec 2026'!Z$6)</f>
        <v>0</v>
      </c>
      <c r="AA30" s="148">
        <f>COUNTIFS('2026 Time Off Request'!$A:$A,'Dec 2026'!$D30,'2026 Time Off Request'!$L:$L,'Dec 2026'!AA$6)</f>
        <v>0</v>
      </c>
      <c r="AB30" s="148">
        <f>COUNTIFS('2026 Time Off Request'!$A:$A,'Dec 2026'!$D30,'2026 Time Off Request'!$L:$L,'Dec 2026'!AB$6)</f>
        <v>0</v>
      </c>
      <c r="AC30" s="148">
        <f>COUNTIFS('2026 Time Off Request'!$A:$A,'Dec 2026'!$D30,'2026 Time Off Request'!$L:$L,'Dec 2026'!AC$6)</f>
        <v>0</v>
      </c>
      <c r="AD30" s="224">
        <f>COUNTIFS('2026 Time Off Request'!$A:$A,'Dec 2026'!$D30,'2026 Time Off Request'!$L:$L,'Dec 2026'!AD$6)</f>
        <v>0</v>
      </c>
      <c r="AE30" s="147">
        <f>COUNTIFS('2026 Time Off Request'!$A:$A,'Dec 2026'!$D30,'2026 Time Off Request'!$L:$L,'Dec 2026'!AE$6)</f>
        <v>0</v>
      </c>
      <c r="AF30" s="147">
        <f>COUNTIFS('2026 Time Off Request'!$A:$A,'Dec 2026'!$D30,'2026 Time Off Request'!$L:$L,'Dec 2026'!AF$6)</f>
        <v>0</v>
      </c>
      <c r="AG30" s="224">
        <f>COUNTIFS('2026 Time Off Request'!$A:$A,'Dec 2026'!$D30,'2026 Time Off Request'!$L:$L,'Dec 2026'!AG$6)</f>
        <v>0</v>
      </c>
      <c r="AH30" s="148">
        <f>COUNTIFS('2026 Time Off Request'!$A:$A,'Dec 2026'!$D30,'2026 Time Off Request'!$L:$L,'Dec 2026'!AH$6)</f>
        <v>0</v>
      </c>
      <c r="AI30" s="148">
        <f>COUNTIFS('2026 Time Off Request'!$A:$A,'Dec 2026'!$D30,'2026 Time Off Request'!$L:$L,'Dec 2026'!AI$6)</f>
        <v>0</v>
      </c>
      <c r="AJ30" s="148">
        <f>COUNTIFS('2026 Time Off Request'!$A:$A,'Dec 2026'!$D30,'2026 Time Off Request'!$L:$L,'Dec 2026'!AJ$6)</f>
        <v>0</v>
      </c>
    </row>
    <row r="31" spans="1:36" ht="15.75">
      <c r="A31" s="2">
        <v>21</v>
      </c>
      <c r="B31" s="209" t="s">
        <v>49</v>
      </c>
      <c r="C31" s="210" t="s">
        <v>64</v>
      </c>
      <c r="D31" s="215" t="s">
        <v>65</v>
      </c>
      <c r="E31" s="212">
        <f t="shared" si="2"/>
        <v>0</v>
      </c>
      <c r="F31" s="223">
        <f>COUNTIFS('2026 Time Off Request'!$A:$A,'Dec 2026'!$D31,'2026 Time Off Request'!$L:$L,'Dec 2026'!F$6)</f>
        <v>0</v>
      </c>
      <c r="G31" s="148">
        <f>COUNTIFS('2026 Time Off Request'!$A:$A,'Dec 2026'!$D31,'2026 Time Off Request'!$L:$L,'Dec 2026'!G$6)</f>
        <v>0</v>
      </c>
      <c r="H31" s="148">
        <f>COUNTIFS('2026 Time Off Request'!$A:$A,'Dec 2026'!$D31,'2026 Time Off Request'!$L:$L,'Dec 2026'!H$6)</f>
        <v>0</v>
      </c>
      <c r="I31" s="148">
        <f>COUNTIFS('2026 Time Off Request'!$A:$A,'Dec 2026'!$D31,'2026 Time Off Request'!$L:$L,'Dec 2026'!I$6)</f>
        <v>0</v>
      </c>
      <c r="J31" s="147">
        <f>COUNTIFS('2026 Time Off Request'!$A:$A,'Dec 2026'!$D31,'2026 Time Off Request'!$L:$L,'Dec 2026'!J$6)</f>
        <v>0</v>
      </c>
      <c r="K31" s="147">
        <f>COUNTIFS('2026 Time Off Request'!$A:$A,'Dec 2026'!$D31,'2026 Time Off Request'!$L:$L,'Dec 2026'!K$6)</f>
        <v>0</v>
      </c>
      <c r="L31" s="148">
        <f>COUNTIFS('2026 Time Off Request'!$A:$A,'Dec 2026'!$D31,'2026 Time Off Request'!$L:$L,'Dec 2026'!L$6)</f>
        <v>0</v>
      </c>
      <c r="M31" s="148">
        <f>COUNTIFS('2026 Time Off Request'!$A:$A,'Dec 2026'!$D31,'2026 Time Off Request'!$L:$L,'Dec 2026'!M$6)</f>
        <v>0</v>
      </c>
      <c r="N31" s="148">
        <f>COUNTIFS('2026 Time Off Request'!$A:$A,'Dec 2026'!$D31,'2026 Time Off Request'!$L:$L,'Dec 2026'!N$6)</f>
        <v>0</v>
      </c>
      <c r="O31" s="148">
        <f>COUNTIFS('2026 Time Off Request'!$A:$A,'Dec 2026'!$D31,'2026 Time Off Request'!$L:$L,'Dec 2026'!O$6)</f>
        <v>0</v>
      </c>
      <c r="P31" s="148">
        <f>COUNTIFS('2026 Time Off Request'!$A:$A,'Dec 2026'!$D31,'2026 Time Off Request'!$L:$L,'Dec 2026'!P$6)</f>
        <v>0</v>
      </c>
      <c r="Q31" s="147">
        <f>COUNTIFS('2026 Time Off Request'!$A:$A,'Dec 2026'!$D31,'2026 Time Off Request'!$L:$L,'Dec 2026'!Q$6)</f>
        <v>0</v>
      </c>
      <c r="R31" s="147">
        <f>COUNTIFS('2026 Time Off Request'!$A:$A,'Dec 2026'!$D31,'2026 Time Off Request'!$L:$L,'Dec 2026'!R$6)</f>
        <v>0</v>
      </c>
      <c r="S31" s="148">
        <f>COUNTIFS('2026 Time Off Request'!$A:$A,'Dec 2026'!$D31,'2026 Time Off Request'!$L:$L,'Dec 2026'!S$6)</f>
        <v>0</v>
      </c>
      <c r="T31" s="148">
        <f>COUNTIFS('2026 Time Off Request'!$A:$A,'Dec 2026'!$D31,'2026 Time Off Request'!$L:$L,'Dec 2026'!T$6)</f>
        <v>0</v>
      </c>
      <c r="U31" s="148">
        <f>COUNTIFS('2026 Time Off Request'!$A:$A,'Dec 2026'!$D31,'2026 Time Off Request'!$L:$L,'Dec 2026'!U$6)</f>
        <v>0</v>
      </c>
      <c r="V31" s="148">
        <f>COUNTIFS('2026 Time Off Request'!$A:$A,'Dec 2026'!$D31,'2026 Time Off Request'!$L:$L,'Dec 2026'!V$6)</f>
        <v>0</v>
      </c>
      <c r="W31" s="148">
        <f>COUNTIFS('2026 Time Off Request'!$A:$A,'Dec 2026'!$D31,'2026 Time Off Request'!$L:$L,'Dec 2026'!W$6)</f>
        <v>0</v>
      </c>
      <c r="X31" s="147">
        <f>COUNTIFS('2026 Time Off Request'!$A:$A,'Dec 2026'!$D31,'2026 Time Off Request'!$L:$L,'Dec 2026'!X$6)</f>
        <v>0</v>
      </c>
      <c r="Y31" s="147">
        <f>COUNTIFS('2026 Time Off Request'!$A:$A,'Dec 2026'!$D31,'2026 Time Off Request'!$L:$L,'Dec 2026'!Y$6)</f>
        <v>0</v>
      </c>
      <c r="Z31" s="148">
        <f>COUNTIFS('2026 Time Off Request'!$A:$A,'Dec 2026'!$D31,'2026 Time Off Request'!$L:$L,'Dec 2026'!Z$6)</f>
        <v>0</v>
      </c>
      <c r="AA31" s="148">
        <f>COUNTIFS('2026 Time Off Request'!$A:$A,'Dec 2026'!$D31,'2026 Time Off Request'!$L:$L,'Dec 2026'!AA$6)</f>
        <v>0</v>
      </c>
      <c r="AB31" s="148">
        <f>COUNTIFS('2026 Time Off Request'!$A:$A,'Dec 2026'!$D31,'2026 Time Off Request'!$L:$L,'Dec 2026'!AB$6)</f>
        <v>0</v>
      </c>
      <c r="AC31" s="148">
        <f>COUNTIFS('2026 Time Off Request'!$A:$A,'Dec 2026'!$D31,'2026 Time Off Request'!$L:$L,'Dec 2026'!AC$6)</f>
        <v>0</v>
      </c>
      <c r="AD31" s="224">
        <f>COUNTIFS('2026 Time Off Request'!$A:$A,'Dec 2026'!$D31,'2026 Time Off Request'!$L:$L,'Dec 2026'!AD$6)</f>
        <v>0</v>
      </c>
      <c r="AE31" s="147">
        <f>COUNTIFS('2026 Time Off Request'!$A:$A,'Dec 2026'!$D31,'2026 Time Off Request'!$L:$L,'Dec 2026'!AE$6)</f>
        <v>0</v>
      </c>
      <c r="AF31" s="147">
        <f>COUNTIFS('2026 Time Off Request'!$A:$A,'Dec 2026'!$D31,'2026 Time Off Request'!$L:$L,'Dec 2026'!AF$6)</f>
        <v>0</v>
      </c>
      <c r="AG31" s="224">
        <f>COUNTIFS('2026 Time Off Request'!$A:$A,'Dec 2026'!$D31,'2026 Time Off Request'!$L:$L,'Dec 2026'!AG$6)</f>
        <v>0</v>
      </c>
      <c r="AH31" s="148">
        <f>COUNTIFS('2026 Time Off Request'!$A:$A,'Dec 2026'!$D31,'2026 Time Off Request'!$L:$L,'Dec 2026'!AH$6)</f>
        <v>0</v>
      </c>
      <c r="AI31" s="148">
        <f>COUNTIFS('2026 Time Off Request'!$A:$A,'Dec 2026'!$D31,'2026 Time Off Request'!$L:$L,'Dec 2026'!AI$6)</f>
        <v>0</v>
      </c>
      <c r="AJ31" s="148">
        <f>COUNTIFS('2026 Time Off Request'!$A:$A,'Dec 2026'!$D31,'2026 Time Off Request'!$L:$L,'Dec 2026'!AJ$6)</f>
        <v>0</v>
      </c>
    </row>
    <row r="32" spans="1:36" ht="15.75">
      <c r="A32" s="2">
        <v>22</v>
      </c>
      <c r="B32" s="209" t="s">
        <v>49</v>
      </c>
      <c r="C32" s="210" t="s">
        <v>66</v>
      </c>
      <c r="D32" s="215" t="s">
        <v>67</v>
      </c>
      <c r="E32" s="212">
        <f t="shared" si="2"/>
        <v>0</v>
      </c>
      <c r="F32" s="223">
        <f>COUNTIFS('2026 Time Off Request'!$A:$A,'Dec 2026'!$D32,'2026 Time Off Request'!$L:$L,'Dec 2026'!F$6)</f>
        <v>0</v>
      </c>
      <c r="G32" s="148">
        <f>COUNTIFS('2026 Time Off Request'!$A:$A,'Dec 2026'!$D32,'2026 Time Off Request'!$L:$L,'Dec 2026'!G$6)</f>
        <v>0</v>
      </c>
      <c r="H32" s="148">
        <f>COUNTIFS('2026 Time Off Request'!$A:$A,'Dec 2026'!$D32,'2026 Time Off Request'!$L:$L,'Dec 2026'!H$6)</f>
        <v>0</v>
      </c>
      <c r="I32" s="148">
        <f>COUNTIFS('2026 Time Off Request'!$A:$A,'Dec 2026'!$D32,'2026 Time Off Request'!$L:$L,'Dec 2026'!I$6)</f>
        <v>0</v>
      </c>
      <c r="J32" s="147">
        <f>COUNTIFS('2026 Time Off Request'!$A:$A,'Dec 2026'!$D32,'2026 Time Off Request'!$L:$L,'Dec 2026'!J$6)</f>
        <v>0</v>
      </c>
      <c r="K32" s="147">
        <f>COUNTIFS('2026 Time Off Request'!$A:$A,'Dec 2026'!$D32,'2026 Time Off Request'!$L:$L,'Dec 2026'!K$6)</f>
        <v>0</v>
      </c>
      <c r="L32" s="148">
        <f>COUNTIFS('2026 Time Off Request'!$A:$A,'Dec 2026'!$D32,'2026 Time Off Request'!$L:$L,'Dec 2026'!L$6)</f>
        <v>0</v>
      </c>
      <c r="M32" s="148">
        <f>COUNTIFS('2026 Time Off Request'!$A:$A,'Dec 2026'!$D32,'2026 Time Off Request'!$L:$L,'Dec 2026'!M$6)</f>
        <v>0</v>
      </c>
      <c r="N32" s="148">
        <f>COUNTIFS('2026 Time Off Request'!$A:$A,'Dec 2026'!$D32,'2026 Time Off Request'!$L:$L,'Dec 2026'!N$6)</f>
        <v>0</v>
      </c>
      <c r="O32" s="148">
        <f>COUNTIFS('2026 Time Off Request'!$A:$A,'Dec 2026'!$D32,'2026 Time Off Request'!$L:$L,'Dec 2026'!O$6)</f>
        <v>0</v>
      </c>
      <c r="P32" s="148">
        <f>COUNTIFS('2026 Time Off Request'!$A:$A,'Dec 2026'!$D32,'2026 Time Off Request'!$L:$L,'Dec 2026'!P$6)</f>
        <v>0</v>
      </c>
      <c r="Q32" s="147">
        <f>COUNTIFS('2026 Time Off Request'!$A:$A,'Dec 2026'!$D32,'2026 Time Off Request'!$L:$L,'Dec 2026'!Q$6)</f>
        <v>0</v>
      </c>
      <c r="R32" s="147">
        <f>COUNTIFS('2026 Time Off Request'!$A:$A,'Dec 2026'!$D32,'2026 Time Off Request'!$L:$L,'Dec 2026'!R$6)</f>
        <v>0</v>
      </c>
      <c r="S32" s="148">
        <f>COUNTIFS('2026 Time Off Request'!$A:$A,'Dec 2026'!$D32,'2026 Time Off Request'!$L:$L,'Dec 2026'!S$6)</f>
        <v>0</v>
      </c>
      <c r="T32" s="148">
        <f>COUNTIFS('2026 Time Off Request'!$A:$A,'Dec 2026'!$D32,'2026 Time Off Request'!$L:$L,'Dec 2026'!T$6)</f>
        <v>0</v>
      </c>
      <c r="U32" s="148">
        <f>COUNTIFS('2026 Time Off Request'!$A:$A,'Dec 2026'!$D32,'2026 Time Off Request'!$L:$L,'Dec 2026'!U$6)</f>
        <v>0</v>
      </c>
      <c r="V32" s="148">
        <f>COUNTIFS('2026 Time Off Request'!$A:$A,'Dec 2026'!$D32,'2026 Time Off Request'!$L:$L,'Dec 2026'!V$6)</f>
        <v>0</v>
      </c>
      <c r="W32" s="148">
        <f>COUNTIFS('2026 Time Off Request'!$A:$A,'Dec 2026'!$D32,'2026 Time Off Request'!$L:$L,'Dec 2026'!W$6)</f>
        <v>0</v>
      </c>
      <c r="X32" s="147">
        <f>COUNTIFS('2026 Time Off Request'!$A:$A,'Dec 2026'!$D32,'2026 Time Off Request'!$L:$L,'Dec 2026'!X$6)</f>
        <v>0</v>
      </c>
      <c r="Y32" s="147">
        <f>COUNTIFS('2026 Time Off Request'!$A:$A,'Dec 2026'!$D32,'2026 Time Off Request'!$L:$L,'Dec 2026'!Y$6)</f>
        <v>0</v>
      </c>
      <c r="Z32" s="148">
        <f>COUNTIFS('2026 Time Off Request'!$A:$A,'Dec 2026'!$D32,'2026 Time Off Request'!$L:$L,'Dec 2026'!Z$6)</f>
        <v>0</v>
      </c>
      <c r="AA32" s="148">
        <f>COUNTIFS('2026 Time Off Request'!$A:$A,'Dec 2026'!$D32,'2026 Time Off Request'!$L:$L,'Dec 2026'!AA$6)</f>
        <v>0</v>
      </c>
      <c r="AB32" s="148">
        <f>COUNTIFS('2026 Time Off Request'!$A:$A,'Dec 2026'!$D32,'2026 Time Off Request'!$L:$L,'Dec 2026'!AB$6)</f>
        <v>0</v>
      </c>
      <c r="AC32" s="148">
        <f>COUNTIFS('2026 Time Off Request'!$A:$A,'Dec 2026'!$D32,'2026 Time Off Request'!$L:$L,'Dec 2026'!AC$6)</f>
        <v>0</v>
      </c>
      <c r="AD32" s="224">
        <f>COUNTIFS('2026 Time Off Request'!$A:$A,'Dec 2026'!$D32,'2026 Time Off Request'!$L:$L,'Dec 2026'!AD$6)</f>
        <v>0</v>
      </c>
      <c r="AE32" s="147">
        <f>COUNTIFS('2026 Time Off Request'!$A:$A,'Dec 2026'!$D32,'2026 Time Off Request'!$L:$L,'Dec 2026'!AE$6)</f>
        <v>0</v>
      </c>
      <c r="AF32" s="147">
        <f>COUNTIFS('2026 Time Off Request'!$A:$A,'Dec 2026'!$D32,'2026 Time Off Request'!$L:$L,'Dec 2026'!AF$6)</f>
        <v>0</v>
      </c>
      <c r="AG32" s="224">
        <f>COUNTIFS('2026 Time Off Request'!$A:$A,'Dec 2026'!$D32,'2026 Time Off Request'!$L:$L,'Dec 2026'!AG$6)</f>
        <v>0</v>
      </c>
      <c r="AH32" s="148">
        <f>COUNTIFS('2026 Time Off Request'!$A:$A,'Dec 2026'!$D32,'2026 Time Off Request'!$L:$L,'Dec 2026'!AH$6)</f>
        <v>0</v>
      </c>
      <c r="AI32" s="148">
        <f>COUNTIFS('2026 Time Off Request'!$A:$A,'Dec 2026'!$D32,'2026 Time Off Request'!$L:$L,'Dec 2026'!AI$6)</f>
        <v>0</v>
      </c>
      <c r="AJ32" s="148">
        <f>COUNTIFS('2026 Time Off Request'!$A:$A,'Dec 2026'!$D32,'2026 Time Off Request'!$L:$L,'Dec 2026'!AJ$6)</f>
        <v>0</v>
      </c>
    </row>
    <row r="33" spans="1:36" ht="15.75">
      <c r="A33" s="2">
        <v>23</v>
      </c>
      <c r="B33" s="209" t="s">
        <v>45</v>
      </c>
      <c r="C33" s="210" t="s">
        <v>68</v>
      </c>
      <c r="D33" s="215" t="s">
        <v>69</v>
      </c>
      <c r="E33" s="212">
        <f t="shared" si="2"/>
        <v>0</v>
      </c>
      <c r="F33" s="223">
        <f>COUNTIFS('2026 Time Off Request'!$A:$A,'Dec 2026'!$D33,'2026 Time Off Request'!$L:$L,'Dec 2026'!F$6)</f>
        <v>0</v>
      </c>
      <c r="G33" s="148">
        <f>COUNTIFS('2026 Time Off Request'!$A:$A,'Dec 2026'!$D33,'2026 Time Off Request'!$L:$L,'Dec 2026'!G$6)</f>
        <v>0</v>
      </c>
      <c r="H33" s="148">
        <f>COUNTIFS('2026 Time Off Request'!$A:$A,'Dec 2026'!$D33,'2026 Time Off Request'!$L:$L,'Dec 2026'!H$6)</f>
        <v>0</v>
      </c>
      <c r="I33" s="148">
        <f>COUNTIFS('2026 Time Off Request'!$A:$A,'Dec 2026'!$D33,'2026 Time Off Request'!$L:$L,'Dec 2026'!I$6)</f>
        <v>0</v>
      </c>
      <c r="J33" s="147">
        <f>COUNTIFS('2026 Time Off Request'!$A:$A,'Dec 2026'!$D33,'2026 Time Off Request'!$L:$L,'Dec 2026'!J$6)</f>
        <v>0</v>
      </c>
      <c r="K33" s="147">
        <f>COUNTIFS('2026 Time Off Request'!$A:$A,'Dec 2026'!$D33,'2026 Time Off Request'!$L:$L,'Dec 2026'!K$6)</f>
        <v>0</v>
      </c>
      <c r="L33" s="148">
        <f>COUNTIFS('2026 Time Off Request'!$A:$A,'Dec 2026'!$D33,'2026 Time Off Request'!$L:$L,'Dec 2026'!L$6)</f>
        <v>0</v>
      </c>
      <c r="M33" s="148">
        <f>COUNTIFS('2026 Time Off Request'!$A:$A,'Dec 2026'!$D33,'2026 Time Off Request'!$L:$L,'Dec 2026'!M$6)</f>
        <v>0</v>
      </c>
      <c r="N33" s="148">
        <f>COUNTIFS('2026 Time Off Request'!$A:$A,'Dec 2026'!$D33,'2026 Time Off Request'!$L:$L,'Dec 2026'!N$6)</f>
        <v>0</v>
      </c>
      <c r="O33" s="148">
        <f>COUNTIFS('2026 Time Off Request'!$A:$A,'Dec 2026'!$D33,'2026 Time Off Request'!$L:$L,'Dec 2026'!O$6)</f>
        <v>0</v>
      </c>
      <c r="P33" s="148">
        <f>COUNTIFS('2026 Time Off Request'!$A:$A,'Dec 2026'!$D33,'2026 Time Off Request'!$L:$L,'Dec 2026'!P$6)</f>
        <v>0</v>
      </c>
      <c r="Q33" s="147">
        <f>COUNTIFS('2026 Time Off Request'!$A:$A,'Dec 2026'!$D33,'2026 Time Off Request'!$L:$L,'Dec 2026'!Q$6)</f>
        <v>0</v>
      </c>
      <c r="R33" s="147">
        <f>COUNTIFS('2026 Time Off Request'!$A:$A,'Dec 2026'!$D33,'2026 Time Off Request'!$L:$L,'Dec 2026'!R$6)</f>
        <v>0</v>
      </c>
      <c r="S33" s="148">
        <f>COUNTIFS('2026 Time Off Request'!$A:$A,'Dec 2026'!$D33,'2026 Time Off Request'!$L:$L,'Dec 2026'!S$6)</f>
        <v>0</v>
      </c>
      <c r="T33" s="148">
        <f>COUNTIFS('2026 Time Off Request'!$A:$A,'Dec 2026'!$D33,'2026 Time Off Request'!$L:$L,'Dec 2026'!T$6)</f>
        <v>0</v>
      </c>
      <c r="U33" s="148">
        <f>COUNTIFS('2026 Time Off Request'!$A:$A,'Dec 2026'!$D33,'2026 Time Off Request'!$L:$L,'Dec 2026'!U$6)</f>
        <v>0</v>
      </c>
      <c r="V33" s="148">
        <f>COUNTIFS('2026 Time Off Request'!$A:$A,'Dec 2026'!$D33,'2026 Time Off Request'!$L:$L,'Dec 2026'!V$6)</f>
        <v>0</v>
      </c>
      <c r="W33" s="148">
        <f>COUNTIFS('2026 Time Off Request'!$A:$A,'Dec 2026'!$D33,'2026 Time Off Request'!$L:$L,'Dec 2026'!W$6)</f>
        <v>0</v>
      </c>
      <c r="X33" s="147">
        <f>COUNTIFS('2026 Time Off Request'!$A:$A,'Dec 2026'!$D33,'2026 Time Off Request'!$L:$L,'Dec 2026'!X$6)</f>
        <v>0</v>
      </c>
      <c r="Y33" s="147">
        <f>COUNTIFS('2026 Time Off Request'!$A:$A,'Dec 2026'!$D33,'2026 Time Off Request'!$L:$L,'Dec 2026'!Y$6)</f>
        <v>0</v>
      </c>
      <c r="Z33" s="148">
        <f>COUNTIFS('2026 Time Off Request'!$A:$A,'Dec 2026'!$D33,'2026 Time Off Request'!$L:$L,'Dec 2026'!Z$6)</f>
        <v>0</v>
      </c>
      <c r="AA33" s="148">
        <f>COUNTIFS('2026 Time Off Request'!$A:$A,'Dec 2026'!$D33,'2026 Time Off Request'!$L:$L,'Dec 2026'!AA$6)</f>
        <v>0</v>
      </c>
      <c r="AB33" s="148">
        <f>COUNTIFS('2026 Time Off Request'!$A:$A,'Dec 2026'!$D33,'2026 Time Off Request'!$L:$L,'Dec 2026'!AB$6)</f>
        <v>0</v>
      </c>
      <c r="AC33" s="148">
        <f>COUNTIFS('2026 Time Off Request'!$A:$A,'Dec 2026'!$D33,'2026 Time Off Request'!$L:$L,'Dec 2026'!AC$6)</f>
        <v>0</v>
      </c>
      <c r="AD33" s="224">
        <f>COUNTIFS('2026 Time Off Request'!$A:$A,'Dec 2026'!$D33,'2026 Time Off Request'!$L:$L,'Dec 2026'!AD$6)</f>
        <v>0</v>
      </c>
      <c r="AE33" s="147">
        <f>COUNTIFS('2026 Time Off Request'!$A:$A,'Dec 2026'!$D33,'2026 Time Off Request'!$L:$L,'Dec 2026'!AE$6)</f>
        <v>0</v>
      </c>
      <c r="AF33" s="147">
        <f>COUNTIFS('2026 Time Off Request'!$A:$A,'Dec 2026'!$D33,'2026 Time Off Request'!$L:$L,'Dec 2026'!AF$6)</f>
        <v>0</v>
      </c>
      <c r="AG33" s="224">
        <f>COUNTIFS('2026 Time Off Request'!$A:$A,'Dec 2026'!$D33,'2026 Time Off Request'!$L:$L,'Dec 2026'!AG$6)</f>
        <v>0</v>
      </c>
      <c r="AH33" s="148">
        <f>COUNTIFS('2026 Time Off Request'!$A:$A,'Dec 2026'!$D33,'2026 Time Off Request'!$L:$L,'Dec 2026'!AH$6)</f>
        <v>0</v>
      </c>
      <c r="AI33" s="148">
        <f>COUNTIFS('2026 Time Off Request'!$A:$A,'Dec 2026'!$D33,'2026 Time Off Request'!$L:$L,'Dec 2026'!AI$6)</f>
        <v>0</v>
      </c>
      <c r="AJ33" s="148">
        <f>COUNTIFS('2026 Time Off Request'!$A:$A,'Dec 2026'!$D33,'2026 Time Off Request'!$L:$L,'Dec 2026'!AJ$6)</f>
        <v>0</v>
      </c>
    </row>
    <row r="34" spans="1:36" ht="15.75">
      <c r="A34" s="2">
        <v>24</v>
      </c>
      <c r="B34" s="209" t="s">
        <v>45</v>
      </c>
      <c r="C34" s="210" t="s">
        <v>70</v>
      </c>
      <c r="D34" s="215" t="s">
        <v>71</v>
      </c>
      <c r="E34" s="212">
        <f t="shared" si="2"/>
        <v>0</v>
      </c>
      <c r="F34" s="223">
        <f>COUNTIFS('2026 Time Off Request'!$A:$A,'Dec 2026'!$D34,'2026 Time Off Request'!$L:$L,'Dec 2026'!F$6)</f>
        <v>0</v>
      </c>
      <c r="G34" s="148">
        <f>COUNTIFS('2026 Time Off Request'!$A:$A,'Dec 2026'!$D34,'2026 Time Off Request'!$L:$L,'Dec 2026'!G$6)</f>
        <v>0</v>
      </c>
      <c r="H34" s="148">
        <f>COUNTIFS('2026 Time Off Request'!$A:$A,'Dec 2026'!$D34,'2026 Time Off Request'!$L:$L,'Dec 2026'!H$6)</f>
        <v>0</v>
      </c>
      <c r="I34" s="148">
        <f>COUNTIFS('2026 Time Off Request'!$A:$A,'Dec 2026'!$D34,'2026 Time Off Request'!$L:$L,'Dec 2026'!I$6)</f>
        <v>0</v>
      </c>
      <c r="J34" s="147">
        <f>COUNTIFS('2026 Time Off Request'!$A:$A,'Dec 2026'!$D34,'2026 Time Off Request'!$L:$L,'Dec 2026'!J$6)</f>
        <v>0</v>
      </c>
      <c r="K34" s="147">
        <f>COUNTIFS('2026 Time Off Request'!$A:$A,'Dec 2026'!$D34,'2026 Time Off Request'!$L:$L,'Dec 2026'!K$6)</f>
        <v>0</v>
      </c>
      <c r="L34" s="148">
        <f>COUNTIFS('2026 Time Off Request'!$A:$A,'Dec 2026'!$D34,'2026 Time Off Request'!$L:$L,'Dec 2026'!L$6)</f>
        <v>0</v>
      </c>
      <c r="M34" s="148">
        <f>COUNTIFS('2026 Time Off Request'!$A:$A,'Dec 2026'!$D34,'2026 Time Off Request'!$L:$L,'Dec 2026'!M$6)</f>
        <v>0</v>
      </c>
      <c r="N34" s="148">
        <f>COUNTIFS('2026 Time Off Request'!$A:$A,'Dec 2026'!$D34,'2026 Time Off Request'!$L:$L,'Dec 2026'!N$6)</f>
        <v>0</v>
      </c>
      <c r="O34" s="148">
        <f>COUNTIFS('2026 Time Off Request'!$A:$A,'Dec 2026'!$D34,'2026 Time Off Request'!$L:$L,'Dec 2026'!O$6)</f>
        <v>0</v>
      </c>
      <c r="P34" s="148">
        <f>COUNTIFS('2026 Time Off Request'!$A:$A,'Dec 2026'!$D34,'2026 Time Off Request'!$L:$L,'Dec 2026'!P$6)</f>
        <v>0</v>
      </c>
      <c r="Q34" s="147">
        <f>COUNTIFS('2026 Time Off Request'!$A:$A,'Dec 2026'!$D34,'2026 Time Off Request'!$L:$L,'Dec 2026'!Q$6)</f>
        <v>0</v>
      </c>
      <c r="R34" s="147">
        <f>COUNTIFS('2026 Time Off Request'!$A:$A,'Dec 2026'!$D34,'2026 Time Off Request'!$L:$L,'Dec 2026'!R$6)</f>
        <v>0</v>
      </c>
      <c r="S34" s="148">
        <f>COUNTIFS('2026 Time Off Request'!$A:$A,'Dec 2026'!$D34,'2026 Time Off Request'!$L:$L,'Dec 2026'!S$6)</f>
        <v>0</v>
      </c>
      <c r="T34" s="148">
        <f>COUNTIFS('2026 Time Off Request'!$A:$A,'Dec 2026'!$D34,'2026 Time Off Request'!$L:$L,'Dec 2026'!T$6)</f>
        <v>0</v>
      </c>
      <c r="U34" s="148">
        <f>COUNTIFS('2026 Time Off Request'!$A:$A,'Dec 2026'!$D34,'2026 Time Off Request'!$L:$L,'Dec 2026'!U$6)</f>
        <v>0</v>
      </c>
      <c r="V34" s="148">
        <f>COUNTIFS('2026 Time Off Request'!$A:$A,'Dec 2026'!$D34,'2026 Time Off Request'!$L:$L,'Dec 2026'!V$6)</f>
        <v>0</v>
      </c>
      <c r="W34" s="148">
        <f>COUNTIFS('2026 Time Off Request'!$A:$A,'Dec 2026'!$D34,'2026 Time Off Request'!$L:$L,'Dec 2026'!W$6)</f>
        <v>0</v>
      </c>
      <c r="X34" s="147">
        <f>COUNTIFS('2026 Time Off Request'!$A:$A,'Dec 2026'!$D34,'2026 Time Off Request'!$L:$L,'Dec 2026'!X$6)</f>
        <v>0</v>
      </c>
      <c r="Y34" s="147">
        <f>COUNTIFS('2026 Time Off Request'!$A:$A,'Dec 2026'!$D34,'2026 Time Off Request'!$L:$L,'Dec 2026'!Y$6)</f>
        <v>0</v>
      </c>
      <c r="Z34" s="148">
        <f>COUNTIFS('2026 Time Off Request'!$A:$A,'Dec 2026'!$D34,'2026 Time Off Request'!$L:$L,'Dec 2026'!Z$6)</f>
        <v>0</v>
      </c>
      <c r="AA34" s="148">
        <f>COUNTIFS('2026 Time Off Request'!$A:$A,'Dec 2026'!$D34,'2026 Time Off Request'!$L:$L,'Dec 2026'!AA$6)</f>
        <v>0</v>
      </c>
      <c r="AB34" s="148">
        <f>COUNTIFS('2026 Time Off Request'!$A:$A,'Dec 2026'!$D34,'2026 Time Off Request'!$L:$L,'Dec 2026'!AB$6)</f>
        <v>0</v>
      </c>
      <c r="AC34" s="148">
        <f>COUNTIFS('2026 Time Off Request'!$A:$A,'Dec 2026'!$D34,'2026 Time Off Request'!$L:$L,'Dec 2026'!AC$6)</f>
        <v>0</v>
      </c>
      <c r="AD34" s="224">
        <f>COUNTIFS('2026 Time Off Request'!$A:$A,'Dec 2026'!$D34,'2026 Time Off Request'!$L:$L,'Dec 2026'!AD$6)</f>
        <v>0</v>
      </c>
      <c r="AE34" s="147">
        <f>COUNTIFS('2026 Time Off Request'!$A:$A,'Dec 2026'!$D34,'2026 Time Off Request'!$L:$L,'Dec 2026'!AE$6)</f>
        <v>0</v>
      </c>
      <c r="AF34" s="147">
        <f>COUNTIFS('2026 Time Off Request'!$A:$A,'Dec 2026'!$D34,'2026 Time Off Request'!$L:$L,'Dec 2026'!AF$6)</f>
        <v>0</v>
      </c>
      <c r="AG34" s="224">
        <f>COUNTIFS('2026 Time Off Request'!$A:$A,'Dec 2026'!$D34,'2026 Time Off Request'!$L:$L,'Dec 2026'!AG$6)</f>
        <v>0</v>
      </c>
      <c r="AH34" s="148">
        <f>COUNTIFS('2026 Time Off Request'!$A:$A,'Dec 2026'!$D34,'2026 Time Off Request'!$L:$L,'Dec 2026'!AH$6)</f>
        <v>0</v>
      </c>
      <c r="AI34" s="148">
        <f>COUNTIFS('2026 Time Off Request'!$A:$A,'Dec 2026'!$D34,'2026 Time Off Request'!$L:$L,'Dec 2026'!AI$6)</f>
        <v>0</v>
      </c>
      <c r="AJ34" s="148">
        <f>COUNTIFS('2026 Time Off Request'!$A:$A,'Dec 2026'!$D34,'2026 Time Off Request'!$L:$L,'Dec 2026'!AJ$6)</f>
        <v>0</v>
      </c>
    </row>
    <row r="35" spans="1:36" ht="15.75">
      <c r="A35" s="2">
        <v>25</v>
      </c>
      <c r="B35" s="209" t="s">
        <v>45</v>
      </c>
      <c r="C35" s="210" t="s">
        <v>70</v>
      </c>
      <c r="D35" s="215" t="s">
        <v>72</v>
      </c>
      <c r="E35" s="212">
        <f t="shared" si="2"/>
        <v>0</v>
      </c>
      <c r="F35" s="223">
        <f>COUNTIFS('2026 Time Off Request'!$A:$A,'Dec 2026'!$D35,'2026 Time Off Request'!$L:$L,'Dec 2026'!F$6)</f>
        <v>0</v>
      </c>
      <c r="G35" s="148">
        <f>COUNTIFS('2026 Time Off Request'!$A:$A,'Dec 2026'!$D35,'2026 Time Off Request'!$L:$L,'Dec 2026'!G$6)</f>
        <v>0</v>
      </c>
      <c r="H35" s="148">
        <f>COUNTIFS('2026 Time Off Request'!$A:$A,'Dec 2026'!$D35,'2026 Time Off Request'!$L:$L,'Dec 2026'!H$6)</f>
        <v>0</v>
      </c>
      <c r="I35" s="148">
        <f>COUNTIFS('2026 Time Off Request'!$A:$A,'Dec 2026'!$D35,'2026 Time Off Request'!$L:$L,'Dec 2026'!I$6)</f>
        <v>0</v>
      </c>
      <c r="J35" s="147">
        <f>COUNTIFS('2026 Time Off Request'!$A:$A,'Dec 2026'!$D35,'2026 Time Off Request'!$L:$L,'Dec 2026'!J$6)</f>
        <v>0</v>
      </c>
      <c r="K35" s="147">
        <f>COUNTIFS('2026 Time Off Request'!$A:$A,'Dec 2026'!$D35,'2026 Time Off Request'!$L:$L,'Dec 2026'!K$6)</f>
        <v>0</v>
      </c>
      <c r="L35" s="148">
        <f>COUNTIFS('2026 Time Off Request'!$A:$A,'Dec 2026'!$D35,'2026 Time Off Request'!$L:$L,'Dec 2026'!L$6)</f>
        <v>0</v>
      </c>
      <c r="M35" s="148">
        <f>COUNTIFS('2026 Time Off Request'!$A:$A,'Dec 2026'!$D35,'2026 Time Off Request'!$L:$L,'Dec 2026'!M$6)</f>
        <v>0</v>
      </c>
      <c r="N35" s="148">
        <f>COUNTIFS('2026 Time Off Request'!$A:$A,'Dec 2026'!$D35,'2026 Time Off Request'!$L:$L,'Dec 2026'!N$6)</f>
        <v>0</v>
      </c>
      <c r="O35" s="148">
        <f>COUNTIFS('2026 Time Off Request'!$A:$A,'Dec 2026'!$D35,'2026 Time Off Request'!$L:$L,'Dec 2026'!O$6)</f>
        <v>0</v>
      </c>
      <c r="P35" s="148">
        <f>COUNTIFS('2026 Time Off Request'!$A:$A,'Dec 2026'!$D35,'2026 Time Off Request'!$L:$L,'Dec 2026'!P$6)</f>
        <v>0</v>
      </c>
      <c r="Q35" s="147">
        <f>COUNTIFS('2026 Time Off Request'!$A:$A,'Dec 2026'!$D35,'2026 Time Off Request'!$L:$L,'Dec 2026'!Q$6)</f>
        <v>0</v>
      </c>
      <c r="R35" s="147">
        <f>COUNTIFS('2026 Time Off Request'!$A:$A,'Dec 2026'!$D35,'2026 Time Off Request'!$L:$L,'Dec 2026'!R$6)</f>
        <v>0</v>
      </c>
      <c r="S35" s="148">
        <f>COUNTIFS('2026 Time Off Request'!$A:$A,'Dec 2026'!$D35,'2026 Time Off Request'!$L:$L,'Dec 2026'!S$6)</f>
        <v>0</v>
      </c>
      <c r="T35" s="148">
        <f>COUNTIFS('2026 Time Off Request'!$A:$A,'Dec 2026'!$D35,'2026 Time Off Request'!$L:$L,'Dec 2026'!T$6)</f>
        <v>0</v>
      </c>
      <c r="U35" s="148">
        <f>COUNTIFS('2026 Time Off Request'!$A:$A,'Dec 2026'!$D35,'2026 Time Off Request'!$L:$L,'Dec 2026'!U$6)</f>
        <v>0</v>
      </c>
      <c r="V35" s="148">
        <f>COUNTIFS('2026 Time Off Request'!$A:$A,'Dec 2026'!$D35,'2026 Time Off Request'!$L:$L,'Dec 2026'!V$6)</f>
        <v>0</v>
      </c>
      <c r="W35" s="148">
        <f>COUNTIFS('2026 Time Off Request'!$A:$A,'Dec 2026'!$D35,'2026 Time Off Request'!$L:$L,'Dec 2026'!W$6)</f>
        <v>0</v>
      </c>
      <c r="X35" s="147">
        <f>COUNTIFS('2026 Time Off Request'!$A:$A,'Dec 2026'!$D35,'2026 Time Off Request'!$L:$L,'Dec 2026'!X$6)</f>
        <v>0</v>
      </c>
      <c r="Y35" s="147">
        <f>COUNTIFS('2026 Time Off Request'!$A:$A,'Dec 2026'!$D35,'2026 Time Off Request'!$L:$L,'Dec 2026'!Y$6)</f>
        <v>0</v>
      </c>
      <c r="Z35" s="148">
        <f>COUNTIFS('2026 Time Off Request'!$A:$A,'Dec 2026'!$D35,'2026 Time Off Request'!$L:$L,'Dec 2026'!Z$6)</f>
        <v>0</v>
      </c>
      <c r="AA35" s="148">
        <f>COUNTIFS('2026 Time Off Request'!$A:$A,'Dec 2026'!$D35,'2026 Time Off Request'!$L:$L,'Dec 2026'!AA$6)</f>
        <v>0</v>
      </c>
      <c r="AB35" s="148">
        <f>COUNTIFS('2026 Time Off Request'!$A:$A,'Dec 2026'!$D35,'2026 Time Off Request'!$L:$L,'Dec 2026'!AB$6)</f>
        <v>0</v>
      </c>
      <c r="AC35" s="148">
        <f>COUNTIFS('2026 Time Off Request'!$A:$A,'Dec 2026'!$D35,'2026 Time Off Request'!$L:$L,'Dec 2026'!AC$6)</f>
        <v>0</v>
      </c>
      <c r="AD35" s="224">
        <f>COUNTIFS('2026 Time Off Request'!$A:$A,'Dec 2026'!$D35,'2026 Time Off Request'!$L:$L,'Dec 2026'!AD$6)</f>
        <v>0</v>
      </c>
      <c r="AE35" s="147">
        <f>COUNTIFS('2026 Time Off Request'!$A:$A,'Dec 2026'!$D35,'2026 Time Off Request'!$L:$L,'Dec 2026'!AE$6)</f>
        <v>0</v>
      </c>
      <c r="AF35" s="147">
        <f>COUNTIFS('2026 Time Off Request'!$A:$A,'Dec 2026'!$D35,'2026 Time Off Request'!$L:$L,'Dec 2026'!AF$6)</f>
        <v>0</v>
      </c>
      <c r="AG35" s="224">
        <f>COUNTIFS('2026 Time Off Request'!$A:$A,'Dec 2026'!$D35,'2026 Time Off Request'!$L:$L,'Dec 2026'!AG$6)</f>
        <v>0</v>
      </c>
      <c r="AH35" s="148">
        <f>COUNTIFS('2026 Time Off Request'!$A:$A,'Dec 2026'!$D35,'2026 Time Off Request'!$L:$L,'Dec 2026'!AH$6)</f>
        <v>0</v>
      </c>
      <c r="AI35" s="148">
        <f>COUNTIFS('2026 Time Off Request'!$A:$A,'Dec 2026'!$D35,'2026 Time Off Request'!$L:$L,'Dec 2026'!AI$6)</f>
        <v>0</v>
      </c>
      <c r="AJ35" s="148">
        <f>COUNTIFS('2026 Time Off Request'!$A:$A,'Dec 2026'!$D35,'2026 Time Off Request'!$L:$L,'Dec 2026'!AJ$6)</f>
        <v>0</v>
      </c>
    </row>
    <row r="36" spans="1:36" ht="15.75">
      <c r="A36" s="2">
        <v>26</v>
      </c>
      <c r="B36" s="209" t="s">
        <v>45</v>
      </c>
      <c r="C36" s="210" t="s">
        <v>70</v>
      </c>
      <c r="D36" s="215" t="s">
        <v>74</v>
      </c>
      <c r="E36" s="212">
        <f t="shared" ref="E36" si="4">SUM(F36:AI36)</f>
        <v>0</v>
      </c>
      <c r="F36" s="223">
        <f>COUNTIFS('2026 Time Off Request'!$A:$A,'Dec 2026'!$D36,'2026 Time Off Request'!$L:$L,'Dec 2026'!F$6)</f>
        <v>0</v>
      </c>
      <c r="G36" s="148">
        <f>COUNTIFS('2026 Time Off Request'!$A:$A,'Dec 2026'!$D36,'2026 Time Off Request'!$L:$L,'Dec 2026'!G$6)</f>
        <v>0</v>
      </c>
      <c r="H36" s="148">
        <f>COUNTIFS('2026 Time Off Request'!$A:$A,'Dec 2026'!$D36,'2026 Time Off Request'!$L:$L,'Dec 2026'!H$6)</f>
        <v>0</v>
      </c>
      <c r="I36" s="148">
        <f>COUNTIFS('2026 Time Off Request'!$A:$A,'Dec 2026'!$D36,'2026 Time Off Request'!$L:$L,'Dec 2026'!I$6)</f>
        <v>0</v>
      </c>
      <c r="J36" s="147">
        <f>COUNTIFS('2026 Time Off Request'!$A:$A,'Dec 2026'!$D36,'2026 Time Off Request'!$L:$L,'Dec 2026'!J$6)</f>
        <v>0</v>
      </c>
      <c r="K36" s="147">
        <f>COUNTIFS('2026 Time Off Request'!$A:$A,'Dec 2026'!$D36,'2026 Time Off Request'!$L:$L,'Dec 2026'!K$6)</f>
        <v>0</v>
      </c>
      <c r="L36" s="148">
        <f>COUNTIFS('2026 Time Off Request'!$A:$A,'Dec 2026'!$D36,'2026 Time Off Request'!$L:$L,'Dec 2026'!L$6)</f>
        <v>0</v>
      </c>
      <c r="M36" s="148">
        <f>COUNTIFS('2026 Time Off Request'!$A:$A,'Dec 2026'!$D36,'2026 Time Off Request'!$L:$L,'Dec 2026'!M$6)</f>
        <v>0</v>
      </c>
      <c r="N36" s="148">
        <f>COUNTIFS('2026 Time Off Request'!$A:$A,'Dec 2026'!$D36,'2026 Time Off Request'!$L:$L,'Dec 2026'!N$6)</f>
        <v>0</v>
      </c>
      <c r="O36" s="148">
        <f>COUNTIFS('2026 Time Off Request'!$A:$A,'Dec 2026'!$D36,'2026 Time Off Request'!$L:$L,'Dec 2026'!O$6)</f>
        <v>0</v>
      </c>
      <c r="P36" s="148">
        <f>COUNTIFS('2026 Time Off Request'!$A:$A,'Dec 2026'!$D36,'2026 Time Off Request'!$L:$L,'Dec 2026'!P$6)</f>
        <v>0</v>
      </c>
      <c r="Q36" s="147">
        <f>COUNTIFS('2026 Time Off Request'!$A:$A,'Dec 2026'!$D36,'2026 Time Off Request'!$L:$L,'Dec 2026'!Q$6)</f>
        <v>0</v>
      </c>
      <c r="R36" s="147">
        <f>COUNTIFS('2026 Time Off Request'!$A:$A,'Dec 2026'!$D36,'2026 Time Off Request'!$L:$L,'Dec 2026'!R$6)</f>
        <v>0</v>
      </c>
      <c r="S36" s="148">
        <f>COUNTIFS('2026 Time Off Request'!$A:$A,'Dec 2026'!$D36,'2026 Time Off Request'!$L:$L,'Dec 2026'!S$6)</f>
        <v>0</v>
      </c>
      <c r="T36" s="148">
        <f>COUNTIFS('2026 Time Off Request'!$A:$A,'Dec 2026'!$D36,'2026 Time Off Request'!$L:$L,'Dec 2026'!T$6)</f>
        <v>0</v>
      </c>
      <c r="U36" s="148">
        <f>COUNTIFS('2026 Time Off Request'!$A:$A,'Dec 2026'!$D36,'2026 Time Off Request'!$L:$L,'Dec 2026'!U$6)</f>
        <v>0</v>
      </c>
      <c r="V36" s="148">
        <f>COUNTIFS('2026 Time Off Request'!$A:$A,'Dec 2026'!$D36,'2026 Time Off Request'!$L:$L,'Dec 2026'!V$6)</f>
        <v>0</v>
      </c>
      <c r="W36" s="148">
        <f>COUNTIFS('2026 Time Off Request'!$A:$A,'Dec 2026'!$D36,'2026 Time Off Request'!$L:$L,'Dec 2026'!W$6)</f>
        <v>0</v>
      </c>
      <c r="X36" s="147">
        <f>COUNTIFS('2026 Time Off Request'!$A:$A,'Dec 2026'!$D36,'2026 Time Off Request'!$L:$L,'Dec 2026'!X$6)</f>
        <v>0</v>
      </c>
      <c r="Y36" s="147">
        <f>COUNTIFS('2026 Time Off Request'!$A:$A,'Dec 2026'!$D36,'2026 Time Off Request'!$L:$L,'Dec 2026'!Y$6)</f>
        <v>0</v>
      </c>
      <c r="Z36" s="148">
        <f>COUNTIFS('2026 Time Off Request'!$A:$A,'Dec 2026'!$D36,'2026 Time Off Request'!$L:$L,'Dec 2026'!Z$6)</f>
        <v>0</v>
      </c>
      <c r="AA36" s="148">
        <f>COUNTIFS('2026 Time Off Request'!$A:$A,'Dec 2026'!$D36,'2026 Time Off Request'!$L:$L,'Dec 2026'!AA$6)</f>
        <v>0</v>
      </c>
      <c r="AB36" s="148">
        <f>COUNTIFS('2026 Time Off Request'!$A:$A,'Dec 2026'!$D36,'2026 Time Off Request'!$L:$L,'Dec 2026'!AB$6)</f>
        <v>0</v>
      </c>
      <c r="AC36" s="148">
        <f>COUNTIFS('2026 Time Off Request'!$A:$A,'Dec 2026'!$D36,'2026 Time Off Request'!$L:$L,'Dec 2026'!AC$6)</f>
        <v>0</v>
      </c>
      <c r="AD36" s="224">
        <f>COUNTIFS('2026 Time Off Request'!$A:$A,'Dec 2026'!$D36,'2026 Time Off Request'!$L:$L,'Dec 2026'!AD$6)</f>
        <v>0</v>
      </c>
      <c r="AE36" s="147">
        <f>COUNTIFS('2026 Time Off Request'!$A:$A,'Dec 2026'!$D36,'2026 Time Off Request'!$L:$L,'Dec 2026'!AE$6)</f>
        <v>0</v>
      </c>
      <c r="AF36" s="147">
        <f>COUNTIFS('2026 Time Off Request'!$A:$A,'Dec 2026'!$D36,'2026 Time Off Request'!$L:$L,'Dec 2026'!AF$6)</f>
        <v>0</v>
      </c>
      <c r="AG36" s="224">
        <f>COUNTIFS('2026 Time Off Request'!$A:$A,'Dec 2026'!$D36,'2026 Time Off Request'!$L:$L,'Dec 2026'!AG$6)</f>
        <v>0</v>
      </c>
      <c r="AH36" s="148">
        <f>COUNTIFS('2026 Time Off Request'!$A:$A,'Dec 2026'!$D36,'2026 Time Off Request'!$L:$L,'Dec 2026'!AH$6)</f>
        <v>0</v>
      </c>
      <c r="AI36" s="148">
        <f>COUNTIFS('2026 Time Off Request'!$A:$A,'Dec 2026'!$D36,'2026 Time Off Request'!$L:$L,'Dec 2026'!AI$6)</f>
        <v>0</v>
      </c>
      <c r="AJ36" s="148">
        <f>COUNTIFS('2026 Time Off Request'!$A:$A,'Dec 2026'!$D36,'2026 Time Off Request'!$L:$L,'Dec 2026'!AJ$6)</f>
        <v>0</v>
      </c>
    </row>
    <row r="37" spans="1:36" ht="15.75">
      <c r="A37" s="2">
        <v>27</v>
      </c>
      <c r="B37" s="209" t="s">
        <v>49</v>
      </c>
      <c r="C37" s="210" t="s">
        <v>75</v>
      </c>
      <c r="D37" s="215" t="s">
        <v>76</v>
      </c>
      <c r="E37" s="212">
        <f t="shared" si="2"/>
        <v>0</v>
      </c>
      <c r="F37" s="223">
        <f>COUNTIFS('2026 Time Off Request'!$A:$A,'Dec 2026'!$D37,'2026 Time Off Request'!$L:$L,'Dec 2026'!F$6)</f>
        <v>0</v>
      </c>
      <c r="G37" s="148">
        <f>COUNTIFS('2026 Time Off Request'!$A:$A,'Dec 2026'!$D37,'2026 Time Off Request'!$L:$L,'Dec 2026'!G$6)</f>
        <v>0</v>
      </c>
      <c r="H37" s="148">
        <f>COUNTIFS('2026 Time Off Request'!$A:$A,'Dec 2026'!$D37,'2026 Time Off Request'!$L:$L,'Dec 2026'!H$6)</f>
        <v>0</v>
      </c>
      <c r="I37" s="148">
        <f>COUNTIFS('2026 Time Off Request'!$A:$A,'Dec 2026'!$D37,'2026 Time Off Request'!$L:$L,'Dec 2026'!I$6)</f>
        <v>0</v>
      </c>
      <c r="J37" s="147">
        <f>COUNTIFS('2026 Time Off Request'!$A:$A,'Dec 2026'!$D37,'2026 Time Off Request'!$L:$L,'Dec 2026'!J$6)</f>
        <v>0</v>
      </c>
      <c r="K37" s="147">
        <f>COUNTIFS('2026 Time Off Request'!$A:$A,'Dec 2026'!$D37,'2026 Time Off Request'!$L:$L,'Dec 2026'!K$6)</f>
        <v>0</v>
      </c>
      <c r="L37" s="148">
        <f>COUNTIFS('2026 Time Off Request'!$A:$A,'Dec 2026'!$D37,'2026 Time Off Request'!$L:$L,'Dec 2026'!L$6)</f>
        <v>0</v>
      </c>
      <c r="M37" s="148">
        <f>COUNTIFS('2026 Time Off Request'!$A:$A,'Dec 2026'!$D37,'2026 Time Off Request'!$L:$L,'Dec 2026'!M$6)</f>
        <v>0</v>
      </c>
      <c r="N37" s="148">
        <f>COUNTIFS('2026 Time Off Request'!$A:$A,'Dec 2026'!$D37,'2026 Time Off Request'!$L:$L,'Dec 2026'!N$6)</f>
        <v>0</v>
      </c>
      <c r="O37" s="148">
        <f>COUNTIFS('2026 Time Off Request'!$A:$A,'Dec 2026'!$D37,'2026 Time Off Request'!$L:$L,'Dec 2026'!O$6)</f>
        <v>0</v>
      </c>
      <c r="P37" s="148">
        <f>COUNTIFS('2026 Time Off Request'!$A:$A,'Dec 2026'!$D37,'2026 Time Off Request'!$L:$L,'Dec 2026'!P$6)</f>
        <v>0</v>
      </c>
      <c r="Q37" s="147">
        <f>COUNTIFS('2026 Time Off Request'!$A:$A,'Dec 2026'!$D37,'2026 Time Off Request'!$L:$L,'Dec 2026'!Q$6)</f>
        <v>0</v>
      </c>
      <c r="R37" s="147">
        <f>COUNTIFS('2026 Time Off Request'!$A:$A,'Dec 2026'!$D37,'2026 Time Off Request'!$L:$L,'Dec 2026'!R$6)</f>
        <v>0</v>
      </c>
      <c r="S37" s="148">
        <f>COUNTIFS('2026 Time Off Request'!$A:$A,'Dec 2026'!$D37,'2026 Time Off Request'!$L:$L,'Dec 2026'!S$6)</f>
        <v>0</v>
      </c>
      <c r="T37" s="148">
        <f>COUNTIFS('2026 Time Off Request'!$A:$A,'Dec 2026'!$D37,'2026 Time Off Request'!$L:$L,'Dec 2026'!T$6)</f>
        <v>0</v>
      </c>
      <c r="U37" s="148">
        <f>COUNTIFS('2026 Time Off Request'!$A:$A,'Dec 2026'!$D37,'2026 Time Off Request'!$L:$L,'Dec 2026'!U$6)</f>
        <v>0</v>
      </c>
      <c r="V37" s="148">
        <f>COUNTIFS('2026 Time Off Request'!$A:$A,'Dec 2026'!$D37,'2026 Time Off Request'!$L:$L,'Dec 2026'!V$6)</f>
        <v>0</v>
      </c>
      <c r="W37" s="148">
        <f>COUNTIFS('2026 Time Off Request'!$A:$A,'Dec 2026'!$D37,'2026 Time Off Request'!$L:$L,'Dec 2026'!W$6)</f>
        <v>0</v>
      </c>
      <c r="X37" s="147">
        <f>COUNTIFS('2026 Time Off Request'!$A:$A,'Dec 2026'!$D37,'2026 Time Off Request'!$L:$L,'Dec 2026'!X$6)</f>
        <v>0</v>
      </c>
      <c r="Y37" s="147">
        <f>COUNTIFS('2026 Time Off Request'!$A:$A,'Dec 2026'!$D37,'2026 Time Off Request'!$L:$L,'Dec 2026'!Y$6)</f>
        <v>0</v>
      </c>
      <c r="Z37" s="148">
        <f>COUNTIFS('2026 Time Off Request'!$A:$A,'Dec 2026'!$D37,'2026 Time Off Request'!$L:$L,'Dec 2026'!Z$6)</f>
        <v>0</v>
      </c>
      <c r="AA37" s="148">
        <f>COUNTIFS('2026 Time Off Request'!$A:$A,'Dec 2026'!$D37,'2026 Time Off Request'!$L:$L,'Dec 2026'!AA$6)</f>
        <v>0</v>
      </c>
      <c r="AB37" s="148">
        <f>COUNTIFS('2026 Time Off Request'!$A:$A,'Dec 2026'!$D37,'2026 Time Off Request'!$L:$L,'Dec 2026'!AB$6)</f>
        <v>0</v>
      </c>
      <c r="AC37" s="148">
        <f>COUNTIFS('2026 Time Off Request'!$A:$A,'Dec 2026'!$D37,'2026 Time Off Request'!$L:$L,'Dec 2026'!AC$6)</f>
        <v>0</v>
      </c>
      <c r="AD37" s="224">
        <f>COUNTIFS('2026 Time Off Request'!$A:$A,'Dec 2026'!$D37,'2026 Time Off Request'!$L:$L,'Dec 2026'!AD$6)</f>
        <v>0</v>
      </c>
      <c r="AE37" s="147">
        <f>COUNTIFS('2026 Time Off Request'!$A:$A,'Dec 2026'!$D37,'2026 Time Off Request'!$L:$L,'Dec 2026'!AE$6)</f>
        <v>0</v>
      </c>
      <c r="AF37" s="147">
        <f>COUNTIFS('2026 Time Off Request'!$A:$A,'Dec 2026'!$D37,'2026 Time Off Request'!$L:$L,'Dec 2026'!AF$6)</f>
        <v>0</v>
      </c>
      <c r="AG37" s="224">
        <f>COUNTIFS('2026 Time Off Request'!$A:$A,'Dec 2026'!$D37,'2026 Time Off Request'!$L:$L,'Dec 2026'!AG$6)</f>
        <v>0</v>
      </c>
      <c r="AH37" s="148">
        <f>COUNTIFS('2026 Time Off Request'!$A:$A,'Dec 2026'!$D37,'2026 Time Off Request'!$L:$L,'Dec 2026'!AH$6)</f>
        <v>0</v>
      </c>
      <c r="AI37" s="148">
        <f>COUNTIFS('2026 Time Off Request'!$A:$A,'Dec 2026'!$D37,'2026 Time Off Request'!$L:$L,'Dec 2026'!AI$6)</f>
        <v>0</v>
      </c>
      <c r="AJ37" s="148">
        <f>COUNTIFS('2026 Time Off Request'!$A:$A,'Dec 2026'!$D37,'2026 Time Off Request'!$L:$L,'Dec 2026'!AJ$6)</f>
        <v>0</v>
      </c>
    </row>
    <row r="38" spans="1:36" ht="15.75">
      <c r="A38" s="2">
        <v>28</v>
      </c>
      <c r="B38" s="209" t="s">
        <v>45</v>
      </c>
      <c r="C38" s="210" t="s">
        <v>77</v>
      </c>
      <c r="D38" s="215" t="s">
        <v>78</v>
      </c>
      <c r="E38" s="212">
        <f t="shared" si="2"/>
        <v>0</v>
      </c>
      <c r="F38" s="223">
        <f>COUNTIFS('2026 Time Off Request'!$A:$A,'Dec 2026'!$D38,'2026 Time Off Request'!$L:$L,'Dec 2026'!F$6)</f>
        <v>0</v>
      </c>
      <c r="G38" s="148">
        <f>COUNTIFS('2026 Time Off Request'!$A:$A,'Dec 2026'!$D38,'2026 Time Off Request'!$L:$L,'Dec 2026'!G$6)</f>
        <v>0</v>
      </c>
      <c r="H38" s="148">
        <f>COUNTIFS('2026 Time Off Request'!$A:$A,'Dec 2026'!$D38,'2026 Time Off Request'!$L:$L,'Dec 2026'!H$6)</f>
        <v>0</v>
      </c>
      <c r="I38" s="148">
        <f>COUNTIFS('2026 Time Off Request'!$A:$A,'Dec 2026'!$D38,'2026 Time Off Request'!$L:$L,'Dec 2026'!I$6)</f>
        <v>0</v>
      </c>
      <c r="J38" s="147">
        <f>COUNTIFS('2026 Time Off Request'!$A:$A,'Dec 2026'!$D38,'2026 Time Off Request'!$L:$L,'Dec 2026'!J$6)</f>
        <v>0</v>
      </c>
      <c r="K38" s="147">
        <f>COUNTIFS('2026 Time Off Request'!$A:$A,'Dec 2026'!$D38,'2026 Time Off Request'!$L:$L,'Dec 2026'!K$6)</f>
        <v>0</v>
      </c>
      <c r="L38" s="148">
        <f>COUNTIFS('2026 Time Off Request'!$A:$A,'Dec 2026'!$D38,'2026 Time Off Request'!$L:$L,'Dec 2026'!L$6)</f>
        <v>0</v>
      </c>
      <c r="M38" s="148">
        <f>COUNTIFS('2026 Time Off Request'!$A:$A,'Dec 2026'!$D38,'2026 Time Off Request'!$L:$L,'Dec 2026'!M$6)</f>
        <v>0</v>
      </c>
      <c r="N38" s="148">
        <f>COUNTIFS('2026 Time Off Request'!$A:$A,'Dec 2026'!$D38,'2026 Time Off Request'!$L:$L,'Dec 2026'!N$6)</f>
        <v>0</v>
      </c>
      <c r="O38" s="148">
        <f>COUNTIFS('2026 Time Off Request'!$A:$A,'Dec 2026'!$D38,'2026 Time Off Request'!$L:$L,'Dec 2026'!O$6)</f>
        <v>0</v>
      </c>
      <c r="P38" s="148">
        <f>COUNTIFS('2026 Time Off Request'!$A:$A,'Dec 2026'!$D38,'2026 Time Off Request'!$L:$L,'Dec 2026'!P$6)</f>
        <v>0</v>
      </c>
      <c r="Q38" s="147">
        <f>COUNTIFS('2026 Time Off Request'!$A:$A,'Dec 2026'!$D38,'2026 Time Off Request'!$L:$L,'Dec 2026'!Q$6)</f>
        <v>0</v>
      </c>
      <c r="R38" s="147">
        <f>COUNTIFS('2026 Time Off Request'!$A:$A,'Dec 2026'!$D38,'2026 Time Off Request'!$L:$L,'Dec 2026'!R$6)</f>
        <v>0</v>
      </c>
      <c r="S38" s="148">
        <f>COUNTIFS('2026 Time Off Request'!$A:$A,'Dec 2026'!$D38,'2026 Time Off Request'!$L:$L,'Dec 2026'!S$6)</f>
        <v>0</v>
      </c>
      <c r="T38" s="148">
        <f>COUNTIFS('2026 Time Off Request'!$A:$A,'Dec 2026'!$D38,'2026 Time Off Request'!$L:$L,'Dec 2026'!T$6)</f>
        <v>0</v>
      </c>
      <c r="U38" s="148">
        <f>COUNTIFS('2026 Time Off Request'!$A:$A,'Dec 2026'!$D38,'2026 Time Off Request'!$L:$L,'Dec 2026'!U$6)</f>
        <v>0</v>
      </c>
      <c r="V38" s="148">
        <f>COUNTIFS('2026 Time Off Request'!$A:$A,'Dec 2026'!$D38,'2026 Time Off Request'!$L:$L,'Dec 2026'!V$6)</f>
        <v>0</v>
      </c>
      <c r="W38" s="148">
        <f>COUNTIFS('2026 Time Off Request'!$A:$A,'Dec 2026'!$D38,'2026 Time Off Request'!$L:$L,'Dec 2026'!W$6)</f>
        <v>0</v>
      </c>
      <c r="X38" s="147">
        <f>COUNTIFS('2026 Time Off Request'!$A:$A,'Dec 2026'!$D38,'2026 Time Off Request'!$L:$L,'Dec 2026'!X$6)</f>
        <v>0</v>
      </c>
      <c r="Y38" s="147">
        <f>COUNTIFS('2026 Time Off Request'!$A:$A,'Dec 2026'!$D38,'2026 Time Off Request'!$L:$L,'Dec 2026'!Y$6)</f>
        <v>0</v>
      </c>
      <c r="Z38" s="148">
        <f>COUNTIFS('2026 Time Off Request'!$A:$A,'Dec 2026'!$D38,'2026 Time Off Request'!$L:$L,'Dec 2026'!Z$6)</f>
        <v>0</v>
      </c>
      <c r="AA38" s="148">
        <f>COUNTIFS('2026 Time Off Request'!$A:$A,'Dec 2026'!$D38,'2026 Time Off Request'!$L:$L,'Dec 2026'!AA$6)</f>
        <v>0</v>
      </c>
      <c r="AB38" s="148">
        <f>COUNTIFS('2026 Time Off Request'!$A:$A,'Dec 2026'!$D38,'2026 Time Off Request'!$L:$L,'Dec 2026'!AB$6)</f>
        <v>0</v>
      </c>
      <c r="AC38" s="148">
        <f>COUNTIFS('2026 Time Off Request'!$A:$A,'Dec 2026'!$D38,'2026 Time Off Request'!$L:$L,'Dec 2026'!AC$6)</f>
        <v>0</v>
      </c>
      <c r="AD38" s="224">
        <f>COUNTIFS('2026 Time Off Request'!$A:$A,'Dec 2026'!$D38,'2026 Time Off Request'!$L:$L,'Dec 2026'!AD$6)</f>
        <v>0</v>
      </c>
      <c r="AE38" s="147">
        <f>COUNTIFS('2026 Time Off Request'!$A:$A,'Dec 2026'!$D38,'2026 Time Off Request'!$L:$L,'Dec 2026'!AE$6)</f>
        <v>0</v>
      </c>
      <c r="AF38" s="147">
        <f>COUNTIFS('2026 Time Off Request'!$A:$A,'Dec 2026'!$D38,'2026 Time Off Request'!$L:$L,'Dec 2026'!AF$6)</f>
        <v>0</v>
      </c>
      <c r="AG38" s="224">
        <f>COUNTIFS('2026 Time Off Request'!$A:$A,'Dec 2026'!$D38,'2026 Time Off Request'!$L:$L,'Dec 2026'!AG$6)</f>
        <v>0</v>
      </c>
      <c r="AH38" s="148">
        <f>COUNTIFS('2026 Time Off Request'!$A:$A,'Dec 2026'!$D38,'2026 Time Off Request'!$L:$L,'Dec 2026'!AH$6)</f>
        <v>0</v>
      </c>
      <c r="AI38" s="148">
        <f>COUNTIFS('2026 Time Off Request'!$A:$A,'Dec 2026'!$D38,'2026 Time Off Request'!$L:$L,'Dec 2026'!AI$6)</f>
        <v>0</v>
      </c>
      <c r="AJ38" s="148">
        <f>COUNTIFS('2026 Time Off Request'!$A:$A,'Dec 2026'!$D38,'2026 Time Off Request'!$L:$L,'Dec 2026'!AJ$6)</f>
        <v>0</v>
      </c>
    </row>
    <row r="39" spans="1:36" ht="15.75">
      <c r="A39" s="2">
        <v>29</v>
      </c>
      <c r="B39" s="209" t="s">
        <v>45</v>
      </c>
      <c r="C39" s="210" t="s">
        <v>77</v>
      </c>
      <c r="D39" s="215" t="s">
        <v>79</v>
      </c>
      <c r="E39" s="212">
        <f t="shared" si="2"/>
        <v>0</v>
      </c>
      <c r="F39" s="223">
        <f>COUNTIFS('2026 Time Off Request'!$A:$A,'Dec 2026'!$D39,'2026 Time Off Request'!$L:$L,'Dec 2026'!F$6)</f>
        <v>0</v>
      </c>
      <c r="G39" s="148">
        <f>COUNTIFS('2026 Time Off Request'!$A:$A,'Dec 2026'!$D39,'2026 Time Off Request'!$L:$L,'Dec 2026'!G$6)</f>
        <v>0</v>
      </c>
      <c r="H39" s="148">
        <f>COUNTIFS('2026 Time Off Request'!$A:$A,'Dec 2026'!$D39,'2026 Time Off Request'!$L:$L,'Dec 2026'!H$6)</f>
        <v>0</v>
      </c>
      <c r="I39" s="148">
        <f>COUNTIFS('2026 Time Off Request'!$A:$A,'Dec 2026'!$D39,'2026 Time Off Request'!$L:$L,'Dec 2026'!I$6)</f>
        <v>0</v>
      </c>
      <c r="J39" s="147">
        <f>COUNTIFS('2026 Time Off Request'!$A:$A,'Dec 2026'!$D39,'2026 Time Off Request'!$L:$L,'Dec 2026'!J$6)</f>
        <v>0</v>
      </c>
      <c r="K39" s="147">
        <f>COUNTIFS('2026 Time Off Request'!$A:$A,'Dec 2026'!$D39,'2026 Time Off Request'!$L:$L,'Dec 2026'!K$6)</f>
        <v>0</v>
      </c>
      <c r="L39" s="148">
        <f>COUNTIFS('2026 Time Off Request'!$A:$A,'Dec 2026'!$D39,'2026 Time Off Request'!$L:$L,'Dec 2026'!L$6)</f>
        <v>0</v>
      </c>
      <c r="M39" s="148">
        <f>COUNTIFS('2026 Time Off Request'!$A:$A,'Dec 2026'!$D39,'2026 Time Off Request'!$L:$L,'Dec 2026'!M$6)</f>
        <v>0</v>
      </c>
      <c r="N39" s="148">
        <f>COUNTIFS('2026 Time Off Request'!$A:$A,'Dec 2026'!$D39,'2026 Time Off Request'!$L:$L,'Dec 2026'!N$6)</f>
        <v>0</v>
      </c>
      <c r="O39" s="148">
        <f>COUNTIFS('2026 Time Off Request'!$A:$A,'Dec 2026'!$D39,'2026 Time Off Request'!$L:$L,'Dec 2026'!O$6)</f>
        <v>0</v>
      </c>
      <c r="P39" s="148">
        <f>COUNTIFS('2026 Time Off Request'!$A:$A,'Dec 2026'!$D39,'2026 Time Off Request'!$L:$L,'Dec 2026'!P$6)</f>
        <v>0</v>
      </c>
      <c r="Q39" s="147">
        <f>COUNTIFS('2026 Time Off Request'!$A:$A,'Dec 2026'!$D39,'2026 Time Off Request'!$L:$L,'Dec 2026'!Q$6)</f>
        <v>0</v>
      </c>
      <c r="R39" s="147">
        <f>COUNTIFS('2026 Time Off Request'!$A:$A,'Dec 2026'!$D39,'2026 Time Off Request'!$L:$L,'Dec 2026'!R$6)</f>
        <v>0</v>
      </c>
      <c r="S39" s="148">
        <f>COUNTIFS('2026 Time Off Request'!$A:$A,'Dec 2026'!$D39,'2026 Time Off Request'!$L:$L,'Dec 2026'!S$6)</f>
        <v>0</v>
      </c>
      <c r="T39" s="148">
        <f>COUNTIFS('2026 Time Off Request'!$A:$A,'Dec 2026'!$D39,'2026 Time Off Request'!$L:$L,'Dec 2026'!T$6)</f>
        <v>0</v>
      </c>
      <c r="U39" s="148">
        <f>COUNTIFS('2026 Time Off Request'!$A:$A,'Dec 2026'!$D39,'2026 Time Off Request'!$L:$L,'Dec 2026'!U$6)</f>
        <v>0</v>
      </c>
      <c r="V39" s="148">
        <f>COUNTIFS('2026 Time Off Request'!$A:$A,'Dec 2026'!$D39,'2026 Time Off Request'!$L:$L,'Dec 2026'!V$6)</f>
        <v>0</v>
      </c>
      <c r="W39" s="148">
        <f>COUNTIFS('2026 Time Off Request'!$A:$A,'Dec 2026'!$D39,'2026 Time Off Request'!$L:$L,'Dec 2026'!W$6)</f>
        <v>0</v>
      </c>
      <c r="X39" s="147">
        <f>COUNTIFS('2026 Time Off Request'!$A:$A,'Dec 2026'!$D39,'2026 Time Off Request'!$L:$L,'Dec 2026'!X$6)</f>
        <v>0</v>
      </c>
      <c r="Y39" s="147">
        <f>COUNTIFS('2026 Time Off Request'!$A:$A,'Dec 2026'!$D39,'2026 Time Off Request'!$L:$L,'Dec 2026'!Y$6)</f>
        <v>0</v>
      </c>
      <c r="Z39" s="148">
        <f>COUNTIFS('2026 Time Off Request'!$A:$A,'Dec 2026'!$D39,'2026 Time Off Request'!$L:$L,'Dec 2026'!Z$6)</f>
        <v>0</v>
      </c>
      <c r="AA39" s="148">
        <f>COUNTIFS('2026 Time Off Request'!$A:$A,'Dec 2026'!$D39,'2026 Time Off Request'!$L:$L,'Dec 2026'!AA$6)</f>
        <v>0</v>
      </c>
      <c r="AB39" s="148">
        <f>COUNTIFS('2026 Time Off Request'!$A:$A,'Dec 2026'!$D39,'2026 Time Off Request'!$L:$L,'Dec 2026'!AB$6)</f>
        <v>0</v>
      </c>
      <c r="AC39" s="148">
        <f>COUNTIFS('2026 Time Off Request'!$A:$A,'Dec 2026'!$D39,'2026 Time Off Request'!$L:$L,'Dec 2026'!AC$6)</f>
        <v>0</v>
      </c>
      <c r="AD39" s="224">
        <f>COUNTIFS('2026 Time Off Request'!$A:$A,'Dec 2026'!$D39,'2026 Time Off Request'!$L:$L,'Dec 2026'!AD$6)</f>
        <v>0</v>
      </c>
      <c r="AE39" s="147">
        <f>COUNTIFS('2026 Time Off Request'!$A:$A,'Dec 2026'!$D39,'2026 Time Off Request'!$L:$L,'Dec 2026'!AE$6)</f>
        <v>0</v>
      </c>
      <c r="AF39" s="147">
        <f>COUNTIFS('2026 Time Off Request'!$A:$A,'Dec 2026'!$D39,'2026 Time Off Request'!$L:$L,'Dec 2026'!AF$6)</f>
        <v>0</v>
      </c>
      <c r="AG39" s="224">
        <f>COUNTIFS('2026 Time Off Request'!$A:$A,'Dec 2026'!$D39,'2026 Time Off Request'!$L:$L,'Dec 2026'!AG$6)</f>
        <v>0</v>
      </c>
      <c r="AH39" s="148">
        <f>COUNTIFS('2026 Time Off Request'!$A:$A,'Dec 2026'!$D39,'2026 Time Off Request'!$L:$L,'Dec 2026'!AH$6)</f>
        <v>0</v>
      </c>
      <c r="AI39" s="148">
        <f>COUNTIFS('2026 Time Off Request'!$A:$A,'Dec 2026'!$D39,'2026 Time Off Request'!$L:$L,'Dec 2026'!AI$6)</f>
        <v>0</v>
      </c>
      <c r="AJ39" s="148">
        <f>COUNTIFS('2026 Time Off Request'!$A:$A,'Dec 2026'!$D39,'2026 Time Off Request'!$L:$L,'Dec 2026'!AJ$6)</f>
        <v>0</v>
      </c>
    </row>
    <row r="40" spans="1:36" ht="15.75">
      <c r="A40" s="2">
        <v>30</v>
      </c>
      <c r="B40" s="209" t="s">
        <v>45</v>
      </c>
      <c r="C40" s="210" t="s">
        <v>77</v>
      </c>
      <c r="D40" s="215" t="s">
        <v>80</v>
      </c>
      <c r="E40" s="212">
        <f t="shared" si="2"/>
        <v>0</v>
      </c>
      <c r="F40" s="223">
        <f>COUNTIFS('2026 Time Off Request'!$A:$A,'Dec 2026'!$D40,'2026 Time Off Request'!$L:$L,'Dec 2026'!F$6)</f>
        <v>0</v>
      </c>
      <c r="G40" s="148">
        <f>COUNTIFS('2026 Time Off Request'!$A:$A,'Dec 2026'!$D40,'2026 Time Off Request'!$L:$L,'Dec 2026'!G$6)</f>
        <v>0</v>
      </c>
      <c r="H40" s="148">
        <f>COUNTIFS('2026 Time Off Request'!$A:$A,'Dec 2026'!$D40,'2026 Time Off Request'!$L:$L,'Dec 2026'!H$6)</f>
        <v>0</v>
      </c>
      <c r="I40" s="148">
        <f>COUNTIFS('2026 Time Off Request'!$A:$A,'Dec 2026'!$D40,'2026 Time Off Request'!$L:$L,'Dec 2026'!I$6)</f>
        <v>0</v>
      </c>
      <c r="J40" s="147">
        <f>COUNTIFS('2026 Time Off Request'!$A:$A,'Dec 2026'!$D40,'2026 Time Off Request'!$L:$L,'Dec 2026'!J$6)</f>
        <v>0</v>
      </c>
      <c r="K40" s="147">
        <f>COUNTIFS('2026 Time Off Request'!$A:$A,'Dec 2026'!$D40,'2026 Time Off Request'!$L:$L,'Dec 2026'!K$6)</f>
        <v>0</v>
      </c>
      <c r="L40" s="148">
        <f>COUNTIFS('2026 Time Off Request'!$A:$A,'Dec 2026'!$D40,'2026 Time Off Request'!$L:$L,'Dec 2026'!L$6)</f>
        <v>0</v>
      </c>
      <c r="M40" s="148">
        <f>COUNTIFS('2026 Time Off Request'!$A:$A,'Dec 2026'!$D40,'2026 Time Off Request'!$L:$L,'Dec 2026'!M$6)</f>
        <v>0</v>
      </c>
      <c r="N40" s="148">
        <f>COUNTIFS('2026 Time Off Request'!$A:$A,'Dec 2026'!$D40,'2026 Time Off Request'!$L:$L,'Dec 2026'!N$6)</f>
        <v>0</v>
      </c>
      <c r="O40" s="148">
        <f>COUNTIFS('2026 Time Off Request'!$A:$A,'Dec 2026'!$D40,'2026 Time Off Request'!$L:$L,'Dec 2026'!O$6)</f>
        <v>0</v>
      </c>
      <c r="P40" s="148">
        <f>COUNTIFS('2026 Time Off Request'!$A:$A,'Dec 2026'!$D40,'2026 Time Off Request'!$L:$L,'Dec 2026'!P$6)</f>
        <v>0</v>
      </c>
      <c r="Q40" s="147">
        <f>COUNTIFS('2026 Time Off Request'!$A:$A,'Dec 2026'!$D40,'2026 Time Off Request'!$L:$L,'Dec 2026'!Q$6)</f>
        <v>0</v>
      </c>
      <c r="R40" s="147">
        <f>COUNTIFS('2026 Time Off Request'!$A:$A,'Dec 2026'!$D40,'2026 Time Off Request'!$L:$L,'Dec 2026'!R$6)</f>
        <v>0</v>
      </c>
      <c r="S40" s="148">
        <f>COUNTIFS('2026 Time Off Request'!$A:$A,'Dec 2026'!$D40,'2026 Time Off Request'!$L:$L,'Dec 2026'!S$6)</f>
        <v>0</v>
      </c>
      <c r="T40" s="148">
        <f>COUNTIFS('2026 Time Off Request'!$A:$A,'Dec 2026'!$D40,'2026 Time Off Request'!$L:$L,'Dec 2026'!T$6)</f>
        <v>0</v>
      </c>
      <c r="U40" s="148">
        <f>COUNTIFS('2026 Time Off Request'!$A:$A,'Dec 2026'!$D40,'2026 Time Off Request'!$L:$L,'Dec 2026'!U$6)</f>
        <v>0</v>
      </c>
      <c r="V40" s="148">
        <f>COUNTIFS('2026 Time Off Request'!$A:$A,'Dec 2026'!$D40,'2026 Time Off Request'!$L:$L,'Dec 2026'!V$6)</f>
        <v>0</v>
      </c>
      <c r="W40" s="148">
        <f>COUNTIFS('2026 Time Off Request'!$A:$A,'Dec 2026'!$D40,'2026 Time Off Request'!$L:$L,'Dec 2026'!W$6)</f>
        <v>0</v>
      </c>
      <c r="X40" s="147">
        <f>COUNTIFS('2026 Time Off Request'!$A:$A,'Dec 2026'!$D40,'2026 Time Off Request'!$L:$L,'Dec 2026'!X$6)</f>
        <v>0</v>
      </c>
      <c r="Y40" s="147">
        <f>COUNTIFS('2026 Time Off Request'!$A:$A,'Dec 2026'!$D40,'2026 Time Off Request'!$L:$L,'Dec 2026'!Y$6)</f>
        <v>0</v>
      </c>
      <c r="Z40" s="148">
        <f>COUNTIFS('2026 Time Off Request'!$A:$A,'Dec 2026'!$D40,'2026 Time Off Request'!$L:$L,'Dec 2026'!Z$6)</f>
        <v>0</v>
      </c>
      <c r="AA40" s="148">
        <f>COUNTIFS('2026 Time Off Request'!$A:$A,'Dec 2026'!$D40,'2026 Time Off Request'!$L:$L,'Dec 2026'!AA$6)</f>
        <v>0</v>
      </c>
      <c r="AB40" s="148">
        <f>COUNTIFS('2026 Time Off Request'!$A:$A,'Dec 2026'!$D40,'2026 Time Off Request'!$L:$L,'Dec 2026'!AB$6)</f>
        <v>0</v>
      </c>
      <c r="AC40" s="148">
        <f>COUNTIFS('2026 Time Off Request'!$A:$A,'Dec 2026'!$D40,'2026 Time Off Request'!$L:$L,'Dec 2026'!AC$6)</f>
        <v>0</v>
      </c>
      <c r="AD40" s="224">
        <f>COUNTIFS('2026 Time Off Request'!$A:$A,'Dec 2026'!$D40,'2026 Time Off Request'!$L:$L,'Dec 2026'!AD$6)</f>
        <v>0</v>
      </c>
      <c r="AE40" s="147">
        <f>COUNTIFS('2026 Time Off Request'!$A:$A,'Dec 2026'!$D40,'2026 Time Off Request'!$L:$L,'Dec 2026'!AE$6)</f>
        <v>0</v>
      </c>
      <c r="AF40" s="147">
        <f>COUNTIFS('2026 Time Off Request'!$A:$A,'Dec 2026'!$D40,'2026 Time Off Request'!$L:$L,'Dec 2026'!AF$6)</f>
        <v>0</v>
      </c>
      <c r="AG40" s="224">
        <f>COUNTIFS('2026 Time Off Request'!$A:$A,'Dec 2026'!$D40,'2026 Time Off Request'!$L:$L,'Dec 2026'!AG$6)</f>
        <v>0</v>
      </c>
      <c r="AH40" s="148">
        <f>COUNTIFS('2026 Time Off Request'!$A:$A,'Dec 2026'!$D40,'2026 Time Off Request'!$L:$L,'Dec 2026'!AH$6)</f>
        <v>0</v>
      </c>
      <c r="AI40" s="148">
        <f>COUNTIFS('2026 Time Off Request'!$A:$A,'Dec 2026'!$D40,'2026 Time Off Request'!$L:$L,'Dec 2026'!AI$6)</f>
        <v>0</v>
      </c>
      <c r="AJ40" s="148">
        <f>COUNTIFS('2026 Time Off Request'!$A:$A,'Dec 2026'!$D40,'2026 Time Off Request'!$L:$L,'Dec 2026'!AJ$6)</f>
        <v>0</v>
      </c>
    </row>
    <row r="41" spans="1:36" ht="15.75">
      <c r="A41" s="2">
        <v>31</v>
      </c>
      <c r="B41" s="209" t="s">
        <v>49</v>
      </c>
      <c r="C41" s="210" t="s">
        <v>81</v>
      </c>
      <c r="D41" s="215" t="s">
        <v>82</v>
      </c>
      <c r="E41" s="212">
        <f t="shared" si="2"/>
        <v>0</v>
      </c>
      <c r="F41" s="223">
        <f>COUNTIFS('2026 Time Off Request'!$A:$A,'Dec 2026'!$D41,'2026 Time Off Request'!$L:$L,'Dec 2026'!F$6)</f>
        <v>0</v>
      </c>
      <c r="G41" s="148">
        <f>COUNTIFS('2026 Time Off Request'!$A:$A,'Dec 2026'!$D41,'2026 Time Off Request'!$L:$L,'Dec 2026'!G$6)</f>
        <v>0</v>
      </c>
      <c r="H41" s="148">
        <f>COUNTIFS('2026 Time Off Request'!$A:$A,'Dec 2026'!$D41,'2026 Time Off Request'!$L:$L,'Dec 2026'!H$6)</f>
        <v>0</v>
      </c>
      <c r="I41" s="148">
        <f>COUNTIFS('2026 Time Off Request'!$A:$A,'Dec 2026'!$D41,'2026 Time Off Request'!$L:$L,'Dec 2026'!I$6)</f>
        <v>0</v>
      </c>
      <c r="J41" s="147">
        <f>COUNTIFS('2026 Time Off Request'!$A:$A,'Dec 2026'!$D41,'2026 Time Off Request'!$L:$L,'Dec 2026'!J$6)</f>
        <v>0</v>
      </c>
      <c r="K41" s="147">
        <f>COUNTIFS('2026 Time Off Request'!$A:$A,'Dec 2026'!$D41,'2026 Time Off Request'!$L:$L,'Dec 2026'!K$6)</f>
        <v>0</v>
      </c>
      <c r="L41" s="148">
        <f>COUNTIFS('2026 Time Off Request'!$A:$A,'Dec 2026'!$D41,'2026 Time Off Request'!$L:$L,'Dec 2026'!L$6)</f>
        <v>0</v>
      </c>
      <c r="M41" s="148">
        <f>COUNTIFS('2026 Time Off Request'!$A:$A,'Dec 2026'!$D41,'2026 Time Off Request'!$L:$L,'Dec 2026'!M$6)</f>
        <v>0</v>
      </c>
      <c r="N41" s="148">
        <f>COUNTIFS('2026 Time Off Request'!$A:$A,'Dec 2026'!$D41,'2026 Time Off Request'!$L:$L,'Dec 2026'!N$6)</f>
        <v>0</v>
      </c>
      <c r="O41" s="148">
        <f>COUNTIFS('2026 Time Off Request'!$A:$A,'Dec 2026'!$D41,'2026 Time Off Request'!$L:$L,'Dec 2026'!O$6)</f>
        <v>0</v>
      </c>
      <c r="P41" s="148">
        <f>COUNTIFS('2026 Time Off Request'!$A:$A,'Dec 2026'!$D41,'2026 Time Off Request'!$L:$L,'Dec 2026'!P$6)</f>
        <v>0</v>
      </c>
      <c r="Q41" s="147">
        <f>COUNTIFS('2026 Time Off Request'!$A:$A,'Dec 2026'!$D41,'2026 Time Off Request'!$L:$L,'Dec 2026'!Q$6)</f>
        <v>0</v>
      </c>
      <c r="R41" s="147">
        <f>COUNTIFS('2026 Time Off Request'!$A:$A,'Dec 2026'!$D41,'2026 Time Off Request'!$L:$L,'Dec 2026'!R$6)</f>
        <v>0</v>
      </c>
      <c r="S41" s="148">
        <f>COUNTIFS('2026 Time Off Request'!$A:$A,'Dec 2026'!$D41,'2026 Time Off Request'!$L:$L,'Dec 2026'!S$6)</f>
        <v>0</v>
      </c>
      <c r="T41" s="148">
        <f>COUNTIFS('2026 Time Off Request'!$A:$A,'Dec 2026'!$D41,'2026 Time Off Request'!$L:$L,'Dec 2026'!T$6)</f>
        <v>0</v>
      </c>
      <c r="U41" s="148">
        <f>COUNTIFS('2026 Time Off Request'!$A:$A,'Dec 2026'!$D41,'2026 Time Off Request'!$L:$L,'Dec 2026'!U$6)</f>
        <v>0</v>
      </c>
      <c r="V41" s="148">
        <f>COUNTIFS('2026 Time Off Request'!$A:$A,'Dec 2026'!$D41,'2026 Time Off Request'!$L:$L,'Dec 2026'!V$6)</f>
        <v>0</v>
      </c>
      <c r="W41" s="148">
        <f>COUNTIFS('2026 Time Off Request'!$A:$A,'Dec 2026'!$D41,'2026 Time Off Request'!$L:$L,'Dec 2026'!W$6)</f>
        <v>0</v>
      </c>
      <c r="X41" s="147">
        <f>COUNTIFS('2026 Time Off Request'!$A:$A,'Dec 2026'!$D41,'2026 Time Off Request'!$L:$L,'Dec 2026'!X$6)</f>
        <v>0</v>
      </c>
      <c r="Y41" s="147">
        <f>COUNTIFS('2026 Time Off Request'!$A:$A,'Dec 2026'!$D41,'2026 Time Off Request'!$L:$L,'Dec 2026'!Y$6)</f>
        <v>0</v>
      </c>
      <c r="Z41" s="148">
        <f>COUNTIFS('2026 Time Off Request'!$A:$A,'Dec 2026'!$D41,'2026 Time Off Request'!$L:$L,'Dec 2026'!Z$6)</f>
        <v>0</v>
      </c>
      <c r="AA41" s="148">
        <f>COUNTIFS('2026 Time Off Request'!$A:$A,'Dec 2026'!$D41,'2026 Time Off Request'!$L:$L,'Dec 2026'!AA$6)</f>
        <v>0</v>
      </c>
      <c r="AB41" s="148">
        <f>COUNTIFS('2026 Time Off Request'!$A:$A,'Dec 2026'!$D41,'2026 Time Off Request'!$L:$L,'Dec 2026'!AB$6)</f>
        <v>0</v>
      </c>
      <c r="AC41" s="148">
        <f>COUNTIFS('2026 Time Off Request'!$A:$A,'Dec 2026'!$D41,'2026 Time Off Request'!$L:$L,'Dec 2026'!AC$6)</f>
        <v>0</v>
      </c>
      <c r="AD41" s="224">
        <f>COUNTIFS('2026 Time Off Request'!$A:$A,'Dec 2026'!$D41,'2026 Time Off Request'!$L:$L,'Dec 2026'!AD$6)</f>
        <v>0</v>
      </c>
      <c r="AE41" s="147">
        <f>COUNTIFS('2026 Time Off Request'!$A:$A,'Dec 2026'!$D41,'2026 Time Off Request'!$L:$L,'Dec 2026'!AE$6)</f>
        <v>0</v>
      </c>
      <c r="AF41" s="147">
        <f>COUNTIFS('2026 Time Off Request'!$A:$A,'Dec 2026'!$D41,'2026 Time Off Request'!$L:$L,'Dec 2026'!AF$6)</f>
        <v>0</v>
      </c>
      <c r="AG41" s="224">
        <f>COUNTIFS('2026 Time Off Request'!$A:$A,'Dec 2026'!$D41,'2026 Time Off Request'!$L:$L,'Dec 2026'!AG$6)</f>
        <v>0</v>
      </c>
      <c r="AH41" s="148">
        <f>COUNTIFS('2026 Time Off Request'!$A:$A,'Dec 2026'!$D41,'2026 Time Off Request'!$L:$L,'Dec 2026'!AH$6)</f>
        <v>0</v>
      </c>
      <c r="AI41" s="148">
        <f>COUNTIFS('2026 Time Off Request'!$A:$A,'Dec 2026'!$D41,'2026 Time Off Request'!$L:$L,'Dec 2026'!AI$6)</f>
        <v>0</v>
      </c>
      <c r="AJ41" s="148">
        <f>COUNTIFS('2026 Time Off Request'!$A:$A,'Dec 2026'!$D41,'2026 Time Off Request'!$L:$L,'Dec 2026'!AJ$6)</f>
        <v>0</v>
      </c>
    </row>
    <row r="42" spans="1:36" ht="15.75">
      <c r="A42" s="2">
        <v>32</v>
      </c>
      <c r="B42" s="209" t="s">
        <v>45</v>
      </c>
      <c r="C42" s="210" t="s">
        <v>83</v>
      </c>
      <c r="D42" s="215" t="s">
        <v>84</v>
      </c>
      <c r="E42" s="212">
        <f t="shared" si="2"/>
        <v>0</v>
      </c>
      <c r="F42" s="223">
        <f>COUNTIFS('2026 Time Off Request'!$A:$A,'Dec 2026'!$D42,'2026 Time Off Request'!$L:$L,'Dec 2026'!F$6)</f>
        <v>0</v>
      </c>
      <c r="G42" s="148">
        <f>COUNTIFS('2026 Time Off Request'!$A:$A,'Dec 2026'!$D42,'2026 Time Off Request'!$L:$L,'Dec 2026'!G$6)</f>
        <v>0</v>
      </c>
      <c r="H42" s="148">
        <f>COUNTIFS('2026 Time Off Request'!$A:$A,'Dec 2026'!$D42,'2026 Time Off Request'!$L:$L,'Dec 2026'!H$6)</f>
        <v>0</v>
      </c>
      <c r="I42" s="148">
        <f>COUNTIFS('2026 Time Off Request'!$A:$A,'Dec 2026'!$D42,'2026 Time Off Request'!$L:$L,'Dec 2026'!I$6)</f>
        <v>0</v>
      </c>
      <c r="J42" s="147">
        <f>COUNTIFS('2026 Time Off Request'!$A:$A,'Dec 2026'!$D42,'2026 Time Off Request'!$L:$L,'Dec 2026'!J$6)</f>
        <v>0</v>
      </c>
      <c r="K42" s="147">
        <f>COUNTIFS('2026 Time Off Request'!$A:$A,'Dec 2026'!$D42,'2026 Time Off Request'!$L:$L,'Dec 2026'!K$6)</f>
        <v>0</v>
      </c>
      <c r="L42" s="148">
        <f>COUNTIFS('2026 Time Off Request'!$A:$A,'Dec 2026'!$D42,'2026 Time Off Request'!$L:$L,'Dec 2026'!L$6)</f>
        <v>0</v>
      </c>
      <c r="M42" s="148">
        <f>COUNTIFS('2026 Time Off Request'!$A:$A,'Dec 2026'!$D42,'2026 Time Off Request'!$L:$L,'Dec 2026'!M$6)</f>
        <v>0</v>
      </c>
      <c r="N42" s="148">
        <f>COUNTIFS('2026 Time Off Request'!$A:$A,'Dec 2026'!$D42,'2026 Time Off Request'!$L:$L,'Dec 2026'!N$6)</f>
        <v>0</v>
      </c>
      <c r="O42" s="148">
        <f>COUNTIFS('2026 Time Off Request'!$A:$A,'Dec 2026'!$D42,'2026 Time Off Request'!$L:$L,'Dec 2026'!O$6)</f>
        <v>0</v>
      </c>
      <c r="P42" s="148">
        <f>COUNTIFS('2026 Time Off Request'!$A:$A,'Dec 2026'!$D42,'2026 Time Off Request'!$L:$L,'Dec 2026'!P$6)</f>
        <v>0</v>
      </c>
      <c r="Q42" s="147">
        <f>COUNTIFS('2026 Time Off Request'!$A:$A,'Dec 2026'!$D42,'2026 Time Off Request'!$L:$L,'Dec 2026'!Q$6)</f>
        <v>0</v>
      </c>
      <c r="R42" s="147">
        <f>COUNTIFS('2026 Time Off Request'!$A:$A,'Dec 2026'!$D42,'2026 Time Off Request'!$L:$L,'Dec 2026'!R$6)</f>
        <v>0</v>
      </c>
      <c r="S42" s="148">
        <f>COUNTIFS('2026 Time Off Request'!$A:$A,'Dec 2026'!$D42,'2026 Time Off Request'!$L:$L,'Dec 2026'!S$6)</f>
        <v>0</v>
      </c>
      <c r="T42" s="148">
        <f>COUNTIFS('2026 Time Off Request'!$A:$A,'Dec 2026'!$D42,'2026 Time Off Request'!$L:$L,'Dec 2026'!T$6)</f>
        <v>0</v>
      </c>
      <c r="U42" s="148">
        <f>COUNTIFS('2026 Time Off Request'!$A:$A,'Dec 2026'!$D42,'2026 Time Off Request'!$L:$L,'Dec 2026'!U$6)</f>
        <v>0</v>
      </c>
      <c r="V42" s="148">
        <f>COUNTIFS('2026 Time Off Request'!$A:$A,'Dec 2026'!$D42,'2026 Time Off Request'!$L:$L,'Dec 2026'!V$6)</f>
        <v>0</v>
      </c>
      <c r="W42" s="148">
        <f>COUNTIFS('2026 Time Off Request'!$A:$A,'Dec 2026'!$D42,'2026 Time Off Request'!$L:$L,'Dec 2026'!W$6)</f>
        <v>0</v>
      </c>
      <c r="X42" s="147">
        <f>COUNTIFS('2026 Time Off Request'!$A:$A,'Dec 2026'!$D42,'2026 Time Off Request'!$L:$L,'Dec 2026'!X$6)</f>
        <v>0</v>
      </c>
      <c r="Y42" s="147">
        <f>COUNTIFS('2026 Time Off Request'!$A:$A,'Dec 2026'!$D42,'2026 Time Off Request'!$L:$L,'Dec 2026'!Y$6)</f>
        <v>0</v>
      </c>
      <c r="Z42" s="148">
        <f>COUNTIFS('2026 Time Off Request'!$A:$A,'Dec 2026'!$D42,'2026 Time Off Request'!$L:$L,'Dec 2026'!Z$6)</f>
        <v>0</v>
      </c>
      <c r="AA42" s="148">
        <f>COUNTIFS('2026 Time Off Request'!$A:$A,'Dec 2026'!$D42,'2026 Time Off Request'!$L:$L,'Dec 2026'!AA$6)</f>
        <v>0</v>
      </c>
      <c r="AB42" s="148">
        <f>COUNTIFS('2026 Time Off Request'!$A:$A,'Dec 2026'!$D42,'2026 Time Off Request'!$L:$L,'Dec 2026'!AB$6)</f>
        <v>0</v>
      </c>
      <c r="AC42" s="148">
        <f>COUNTIFS('2026 Time Off Request'!$A:$A,'Dec 2026'!$D42,'2026 Time Off Request'!$L:$L,'Dec 2026'!AC$6)</f>
        <v>0</v>
      </c>
      <c r="AD42" s="224">
        <f>COUNTIFS('2026 Time Off Request'!$A:$A,'Dec 2026'!$D42,'2026 Time Off Request'!$L:$L,'Dec 2026'!AD$6)</f>
        <v>0</v>
      </c>
      <c r="AE42" s="147">
        <f>COUNTIFS('2026 Time Off Request'!$A:$A,'Dec 2026'!$D42,'2026 Time Off Request'!$L:$L,'Dec 2026'!AE$6)</f>
        <v>0</v>
      </c>
      <c r="AF42" s="147">
        <f>COUNTIFS('2026 Time Off Request'!$A:$A,'Dec 2026'!$D42,'2026 Time Off Request'!$L:$L,'Dec 2026'!AF$6)</f>
        <v>0</v>
      </c>
      <c r="AG42" s="224">
        <f>COUNTIFS('2026 Time Off Request'!$A:$A,'Dec 2026'!$D42,'2026 Time Off Request'!$L:$L,'Dec 2026'!AG$6)</f>
        <v>0</v>
      </c>
      <c r="AH42" s="148">
        <f>COUNTIFS('2026 Time Off Request'!$A:$A,'Dec 2026'!$D42,'2026 Time Off Request'!$L:$L,'Dec 2026'!AH$6)</f>
        <v>0</v>
      </c>
      <c r="AI42" s="148">
        <f>COUNTIFS('2026 Time Off Request'!$A:$A,'Dec 2026'!$D42,'2026 Time Off Request'!$L:$L,'Dec 2026'!AI$6)</f>
        <v>0</v>
      </c>
      <c r="AJ42" s="148">
        <f>COUNTIFS('2026 Time Off Request'!$A:$A,'Dec 2026'!$D42,'2026 Time Off Request'!$L:$L,'Dec 2026'!AJ$6)</f>
        <v>0</v>
      </c>
    </row>
    <row r="43" spans="1:36" ht="15.75">
      <c r="A43" s="2">
        <v>33</v>
      </c>
      <c r="B43" s="209" t="s">
        <v>45</v>
      </c>
      <c r="C43" s="210" t="s">
        <v>85</v>
      </c>
      <c r="D43" s="215" t="s">
        <v>86</v>
      </c>
      <c r="E43" s="212">
        <f t="shared" si="2"/>
        <v>0</v>
      </c>
      <c r="F43" s="223">
        <f>COUNTIFS('2026 Time Off Request'!$A:$A,'Dec 2026'!$D43,'2026 Time Off Request'!$L:$L,'Dec 2026'!F$6)</f>
        <v>0</v>
      </c>
      <c r="G43" s="148">
        <f>COUNTIFS('2026 Time Off Request'!$A:$A,'Dec 2026'!$D43,'2026 Time Off Request'!$L:$L,'Dec 2026'!G$6)</f>
        <v>0</v>
      </c>
      <c r="H43" s="148">
        <f>COUNTIFS('2026 Time Off Request'!$A:$A,'Dec 2026'!$D43,'2026 Time Off Request'!$L:$L,'Dec 2026'!H$6)</f>
        <v>0</v>
      </c>
      <c r="I43" s="148">
        <f>COUNTIFS('2026 Time Off Request'!$A:$A,'Dec 2026'!$D43,'2026 Time Off Request'!$L:$L,'Dec 2026'!I$6)</f>
        <v>0</v>
      </c>
      <c r="J43" s="147">
        <f>COUNTIFS('2026 Time Off Request'!$A:$A,'Dec 2026'!$D43,'2026 Time Off Request'!$L:$L,'Dec 2026'!J$6)</f>
        <v>0</v>
      </c>
      <c r="K43" s="147">
        <f>COUNTIFS('2026 Time Off Request'!$A:$A,'Dec 2026'!$D43,'2026 Time Off Request'!$L:$L,'Dec 2026'!K$6)</f>
        <v>0</v>
      </c>
      <c r="L43" s="148">
        <f>COUNTIFS('2026 Time Off Request'!$A:$A,'Dec 2026'!$D43,'2026 Time Off Request'!$L:$L,'Dec 2026'!L$6)</f>
        <v>0</v>
      </c>
      <c r="M43" s="148">
        <f>COUNTIFS('2026 Time Off Request'!$A:$A,'Dec 2026'!$D43,'2026 Time Off Request'!$L:$L,'Dec 2026'!M$6)</f>
        <v>0</v>
      </c>
      <c r="N43" s="148">
        <f>COUNTIFS('2026 Time Off Request'!$A:$A,'Dec 2026'!$D43,'2026 Time Off Request'!$L:$L,'Dec 2026'!N$6)</f>
        <v>0</v>
      </c>
      <c r="O43" s="148">
        <f>COUNTIFS('2026 Time Off Request'!$A:$A,'Dec 2026'!$D43,'2026 Time Off Request'!$L:$L,'Dec 2026'!O$6)</f>
        <v>0</v>
      </c>
      <c r="P43" s="148">
        <f>COUNTIFS('2026 Time Off Request'!$A:$A,'Dec 2026'!$D43,'2026 Time Off Request'!$L:$L,'Dec 2026'!P$6)</f>
        <v>0</v>
      </c>
      <c r="Q43" s="147">
        <f>COUNTIFS('2026 Time Off Request'!$A:$A,'Dec 2026'!$D43,'2026 Time Off Request'!$L:$L,'Dec 2026'!Q$6)</f>
        <v>0</v>
      </c>
      <c r="R43" s="147">
        <f>COUNTIFS('2026 Time Off Request'!$A:$A,'Dec 2026'!$D43,'2026 Time Off Request'!$L:$L,'Dec 2026'!R$6)</f>
        <v>0</v>
      </c>
      <c r="S43" s="148">
        <f>COUNTIFS('2026 Time Off Request'!$A:$A,'Dec 2026'!$D43,'2026 Time Off Request'!$L:$L,'Dec 2026'!S$6)</f>
        <v>0</v>
      </c>
      <c r="T43" s="148">
        <f>COUNTIFS('2026 Time Off Request'!$A:$A,'Dec 2026'!$D43,'2026 Time Off Request'!$L:$L,'Dec 2026'!T$6)</f>
        <v>0</v>
      </c>
      <c r="U43" s="148">
        <f>COUNTIFS('2026 Time Off Request'!$A:$A,'Dec 2026'!$D43,'2026 Time Off Request'!$L:$L,'Dec 2026'!U$6)</f>
        <v>0</v>
      </c>
      <c r="V43" s="148">
        <f>COUNTIFS('2026 Time Off Request'!$A:$A,'Dec 2026'!$D43,'2026 Time Off Request'!$L:$L,'Dec 2026'!V$6)</f>
        <v>0</v>
      </c>
      <c r="W43" s="148">
        <f>COUNTIFS('2026 Time Off Request'!$A:$A,'Dec 2026'!$D43,'2026 Time Off Request'!$L:$L,'Dec 2026'!W$6)</f>
        <v>0</v>
      </c>
      <c r="X43" s="147">
        <f>COUNTIFS('2026 Time Off Request'!$A:$A,'Dec 2026'!$D43,'2026 Time Off Request'!$L:$L,'Dec 2026'!X$6)</f>
        <v>0</v>
      </c>
      <c r="Y43" s="147">
        <f>COUNTIFS('2026 Time Off Request'!$A:$A,'Dec 2026'!$D43,'2026 Time Off Request'!$L:$L,'Dec 2026'!Y$6)</f>
        <v>0</v>
      </c>
      <c r="Z43" s="148">
        <f>COUNTIFS('2026 Time Off Request'!$A:$A,'Dec 2026'!$D43,'2026 Time Off Request'!$L:$L,'Dec 2026'!Z$6)</f>
        <v>0</v>
      </c>
      <c r="AA43" s="148">
        <f>COUNTIFS('2026 Time Off Request'!$A:$A,'Dec 2026'!$D43,'2026 Time Off Request'!$L:$L,'Dec 2026'!AA$6)</f>
        <v>0</v>
      </c>
      <c r="AB43" s="148">
        <f>COUNTIFS('2026 Time Off Request'!$A:$A,'Dec 2026'!$D43,'2026 Time Off Request'!$L:$L,'Dec 2026'!AB$6)</f>
        <v>0</v>
      </c>
      <c r="AC43" s="148">
        <f>COUNTIFS('2026 Time Off Request'!$A:$A,'Dec 2026'!$D43,'2026 Time Off Request'!$L:$L,'Dec 2026'!AC$6)</f>
        <v>0</v>
      </c>
      <c r="AD43" s="224">
        <f>COUNTIFS('2026 Time Off Request'!$A:$A,'Dec 2026'!$D43,'2026 Time Off Request'!$L:$L,'Dec 2026'!AD$6)</f>
        <v>0</v>
      </c>
      <c r="AE43" s="147">
        <f>COUNTIFS('2026 Time Off Request'!$A:$A,'Dec 2026'!$D43,'2026 Time Off Request'!$L:$L,'Dec 2026'!AE$6)</f>
        <v>0</v>
      </c>
      <c r="AF43" s="147">
        <f>COUNTIFS('2026 Time Off Request'!$A:$A,'Dec 2026'!$D43,'2026 Time Off Request'!$L:$L,'Dec 2026'!AF$6)</f>
        <v>0</v>
      </c>
      <c r="AG43" s="224">
        <f>COUNTIFS('2026 Time Off Request'!$A:$A,'Dec 2026'!$D43,'2026 Time Off Request'!$L:$L,'Dec 2026'!AG$6)</f>
        <v>0</v>
      </c>
      <c r="AH43" s="148">
        <f>COUNTIFS('2026 Time Off Request'!$A:$A,'Dec 2026'!$D43,'2026 Time Off Request'!$L:$L,'Dec 2026'!AH$6)</f>
        <v>0</v>
      </c>
      <c r="AI43" s="148">
        <f>COUNTIFS('2026 Time Off Request'!$A:$A,'Dec 2026'!$D43,'2026 Time Off Request'!$L:$L,'Dec 2026'!AI$6)</f>
        <v>0</v>
      </c>
      <c r="AJ43" s="148">
        <f>COUNTIFS('2026 Time Off Request'!$A:$A,'Dec 2026'!$D43,'2026 Time Off Request'!$L:$L,'Dec 2026'!AJ$6)</f>
        <v>0</v>
      </c>
    </row>
    <row r="44" spans="1:36" ht="15.75">
      <c r="A44" s="2">
        <v>34</v>
      </c>
      <c r="B44" s="209" t="s">
        <v>45</v>
      </c>
      <c r="C44" s="210" t="s">
        <v>87</v>
      </c>
      <c r="D44" s="215" t="s">
        <v>88</v>
      </c>
      <c r="E44" s="212">
        <f t="shared" si="2"/>
        <v>0</v>
      </c>
      <c r="F44" s="223">
        <f>COUNTIFS('2026 Time Off Request'!$A:$A,'Dec 2026'!$D44,'2026 Time Off Request'!$L:$L,'Dec 2026'!F$6)</f>
        <v>0</v>
      </c>
      <c r="G44" s="148">
        <f>COUNTIFS('2026 Time Off Request'!$A:$A,'Dec 2026'!$D44,'2026 Time Off Request'!$L:$L,'Dec 2026'!G$6)</f>
        <v>0</v>
      </c>
      <c r="H44" s="148">
        <f>COUNTIFS('2026 Time Off Request'!$A:$A,'Dec 2026'!$D44,'2026 Time Off Request'!$L:$L,'Dec 2026'!H$6)</f>
        <v>0</v>
      </c>
      <c r="I44" s="148">
        <f>COUNTIFS('2026 Time Off Request'!$A:$A,'Dec 2026'!$D44,'2026 Time Off Request'!$L:$L,'Dec 2026'!I$6)</f>
        <v>0</v>
      </c>
      <c r="J44" s="147">
        <f>COUNTIFS('2026 Time Off Request'!$A:$A,'Dec 2026'!$D44,'2026 Time Off Request'!$L:$L,'Dec 2026'!J$6)</f>
        <v>0</v>
      </c>
      <c r="K44" s="147">
        <f>COUNTIFS('2026 Time Off Request'!$A:$A,'Dec 2026'!$D44,'2026 Time Off Request'!$L:$L,'Dec 2026'!K$6)</f>
        <v>0</v>
      </c>
      <c r="L44" s="148">
        <f>COUNTIFS('2026 Time Off Request'!$A:$A,'Dec 2026'!$D44,'2026 Time Off Request'!$L:$L,'Dec 2026'!L$6)</f>
        <v>0</v>
      </c>
      <c r="M44" s="148">
        <f>COUNTIFS('2026 Time Off Request'!$A:$A,'Dec 2026'!$D44,'2026 Time Off Request'!$L:$L,'Dec 2026'!M$6)</f>
        <v>0</v>
      </c>
      <c r="N44" s="148">
        <f>COUNTIFS('2026 Time Off Request'!$A:$A,'Dec 2026'!$D44,'2026 Time Off Request'!$L:$L,'Dec 2026'!N$6)</f>
        <v>0</v>
      </c>
      <c r="O44" s="148">
        <f>COUNTIFS('2026 Time Off Request'!$A:$A,'Dec 2026'!$D44,'2026 Time Off Request'!$L:$L,'Dec 2026'!O$6)</f>
        <v>0</v>
      </c>
      <c r="P44" s="148">
        <f>COUNTIFS('2026 Time Off Request'!$A:$A,'Dec 2026'!$D44,'2026 Time Off Request'!$L:$L,'Dec 2026'!P$6)</f>
        <v>0</v>
      </c>
      <c r="Q44" s="147">
        <f>COUNTIFS('2026 Time Off Request'!$A:$A,'Dec 2026'!$D44,'2026 Time Off Request'!$L:$L,'Dec 2026'!Q$6)</f>
        <v>0</v>
      </c>
      <c r="R44" s="147">
        <f>COUNTIFS('2026 Time Off Request'!$A:$A,'Dec 2026'!$D44,'2026 Time Off Request'!$L:$L,'Dec 2026'!R$6)</f>
        <v>0</v>
      </c>
      <c r="S44" s="148">
        <f>COUNTIFS('2026 Time Off Request'!$A:$A,'Dec 2026'!$D44,'2026 Time Off Request'!$L:$L,'Dec 2026'!S$6)</f>
        <v>0</v>
      </c>
      <c r="T44" s="148">
        <f>COUNTIFS('2026 Time Off Request'!$A:$A,'Dec 2026'!$D44,'2026 Time Off Request'!$L:$L,'Dec 2026'!T$6)</f>
        <v>0</v>
      </c>
      <c r="U44" s="148">
        <f>COUNTIFS('2026 Time Off Request'!$A:$A,'Dec 2026'!$D44,'2026 Time Off Request'!$L:$L,'Dec 2026'!U$6)</f>
        <v>0</v>
      </c>
      <c r="V44" s="148">
        <f>COUNTIFS('2026 Time Off Request'!$A:$A,'Dec 2026'!$D44,'2026 Time Off Request'!$L:$L,'Dec 2026'!V$6)</f>
        <v>0</v>
      </c>
      <c r="W44" s="148">
        <f>COUNTIFS('2026 Time Off Request'!$A:$A,'Dec 2026'!$D44,'2026 Time Off Request'!$L:$L,'Dec 2026'!W$6)</f>
        <v>0</v>
      </c>
      <c r="X44" s="147">
        <f>COUNTIFS('2026 Time Off Request'!$A:$A,'Dec 2026'!$D44,'2026 Time Off Request'!$L:$L,'Dec 2026'!X$6)</f>
        <v>0</v>
      </c>
      <c r="Y44" s="147">
        <f>COUNTIFS('2026 Time Off Request'!$A:$A,'Dec 2026'!$D44,'2026 Time Off Request'!$L:$L,'Dec 2026'!Y$6)</f>
        <v>0</v>
      </c>
      <c r="Z44" s="148">
        <f>COUNTIFS('2026 Time Off Request'!$A:$A,'Dec 2026'!$D44,'2026 Time Off Request'!$L:$L,'Dec 2026'!Z$6)</f>
        <v>0</v>
      </c>
      <c r="AA44" s="148">
        <f>COUNTIFS('2026 Time Off Request'!$A:$A,'Dec 2026'!$D44,'2026 Time Off Request'!$L:$L,'Dec 2026'!AA$6)</f>
        <v>0</v>
      </c>
      <c r="AB44" s="148">
        <f>COUNTIFS('2026 Time Off Request'!$A:$A,'Dec 2026'!$D44,'2026 Time Off Request'!$L:$L,'Dec 2026'!AB$6)</f>
        <v>0</v>
      </c>
      <c r="AC44" s="148">
        <f>COUNTIFS('2026 Time Off Request'!$A:$A,'Dec 2026'!$D44,'2026 Time Off Request'!$L:$L,'Dec 2026'!AC$6)</f>
        <v>0</v>
      </c>
      <c r="AD44" s="224">
        <f>COUNTIFS('2026 Time Off Request'!$A:$A,'Dec 2026'!$D44,'2026 Time Off Request'!$L:$L,'Dec 2026'!AD$6)</f>
        <v>0</v>
      </c>
      <c r="AE44" s="147">
        <f>COUNTIFS('2026 Time Off Request'!$A:$A,'Dec 2026'!$D44,'2026 Time Off Request'!$L:$L,'Dec 2026'!AE$6)</f>
        <v>0</v>
      </c>
      <c r="AF44" s="147">
        <f>COUNTIFS('2026 Time Off Request'!$A:$A,'Dec 2026'!$D44,'2026 Time Off Request'!$L:$L,'Dec 2026'!AF$6)</f>
        <v>0</v>
      </c>
      <c r="AG44" s="224">
        <f>COUNTIFS('2026 Time Off Request'!$A:$A,'Dec 2026'!$D44,'2026 Time Off Request'!$L:$L,'Dec 2026'!AG$6)</f>
        <v>0</v>
      </c>
      <c r="AH44" s="148">
        <f>COUNTIFS('2026 Time Off Request'!$A:$A,'Dec 2026'!$D44,'2026 Time Off Request'!$L:$L,'Dec 2026'!AH$6)</f>
        <v>0</v>
      </c>
      <c r="AI44" s="148">
        <f>COUNTIFS('2026 Time Off Request'!$A:$A,'Dec 2026'!$D44,'2026 Time Off Request'!$L:$L,'Dec 2026'!AI$6)</f>
        <v>0</v>
      </c>
      <c r="AJ44" s="148">
        <f>COUNTIFS('2026 Time Off Request'!$A:$A,'Dec 2026'!$D44,'2026 Time Off Request'!$L:$L,'Dec 2026'!AJ$6)</f>
        <v>0</v>
      </c>
    </row>
    <row r="45" spans="1:36" ht="15.75">
      <c r="A45" s="2">
        <v>35</v>
      </c>
      <c r="B45" s="209" t="s">
        <v>45</v>
      </c>
      <c r="C45" s="210" t="s">
        <v>89</v>
      </c>
      <c r="D45" s="215" t="s">
        <v>90</v>
      </c>
      <c r="E45" s="212">
        <f t="shared" si="2"/>
        <v>0</v>
      </c>
      <c r="F45" s="223">
        <f>COUNTIFS('2026 Time Off Request'!$A:$A,'Dec 2026'!$D45,'2026 Time Off Request'!$L:$L,'Dec 2026'!F$6)</f>
        <v>0</v>
      </c>
      <c r="G45" s="148">
        <f>COUNTIFS('2026 Time Off Request'!$A:$A,'Dec 2026'!$D45,'2026 Time Off Request'!$L:$L,'Dec 2026'!G$6)</f>
        <v>0</v>
      </c>
      <c r="H45" s="148">
        <f>COUNTIFS('2026 Time Off Request'!$A:$A,'Dec 2026'!$D45,'2026 Time Off Request'!$L:$L,'Dec 2026'!H$6)</f>
        <v>0</v>
      </c>
      <c r="I45" s="148">
        <f>COUNTIFS('2026 Time Off Request'!$A:$A,'Dec 2026'!$D45,'2026 Time Off Request'!$L:$L,'Dec 2026'!I$6)</f>
        <v>0</v>
      </c>
      <c r="J45" s="147">
        <f>COUNTIFS('2026 Time Off Request'!$A:$A,'Dec 2026'!$D45,'2026 Time Off Request'!$L:$L,'Dec 2026'!J$6)</f>
        <v>0</v>
      </c>
      <c r="K45" s="147">
        <f>COUNTIFS('2026 Time Off Request'!$A:$A,'Dec 2026'!$D45,'2026 Time Off Request'!$L:$L,'Dec 2026'!K$6)</f>
        <v>0</v>
      </c>
      <c r="L45" s="148">
        <f>COUNTIFS('2026 Time Off Request'!$A:$A,'Dec 2026'!$D45,'2026 Time Off Request'!$L:$L,'Dec 2026'!L$6)</f>
        <v>0</v>
      </c>
      <c r="M45" s="148">
        <f>COUNTIFS('2026 Time Off Request'!$A:$A,'Dec 2026'!$D45,'2026 Time Off Request'!$L:$L,'Dec 2026'!M$6)</f>
        <v>0</v>
      </c>
      <c r="N45" s="148">
        <f>COUNTIFS('2026 Time Off Request'!$A:$A,'Dec 2026'!$D45,'2026 Time Off Request'!$L:$L,'Dec 2026'!N$6)</f>
        <v>0</v>
      </c>
      <c r="O45" s="148">
        <f>COUNTIFS('2026 Time Off Request'!$A:$A,'Dec 2026'!$D45,'2026 Time Off Request'!$L:$L,'Dec 2026'!O$6)</f>
        <v>0</v>
      </c>
      <c r="P45" s="148">
        <f>COUNTIFS('2026 Time Off Request'!$A:$A,'Dec 2026'!$D45,'2026 Time Off Request'!$L:$L,'Dec 2026'!P$6)</f>
        <v>0</v>
      </c>
      <c r="Q45" s="147">
        <f>COUNTIFS('2026 Time Off Request'!$A:$A,'Dec 2026'!$D45,'2026 Time Off Request'!$L:$L,'Dec 2026'!Q$6)</f>
        <v>0</v>
      </c>
      <c r="R45" s="147">
        <f>COUNTIFS('2026 Time Off Request'!$A:$A,'Dec 2026'!$D45,'2026 Time Off Request'!$L:$L,'Dec 2026'!R$6)</f>
        <v>0</v>
      </c>
      <c r="S45" s="148">
        <f>COUNTIFS('2026 Time Off Request'!$A:$A,'Dec 2026'!$D45,'2026 Time Off Request'!$L:$L,'Dec 2026'!S$6)</f>
        <v>0</v>
      </c>
      <c r="T45" s="148">
        <f>COUNTIFS('2026 Time Off Request'!$A:$A,'Dec 2026'!$D45,'2026 Time Off Request'!$L:$L,'Dec 2026'!T$6)</f>
        <v>0</v>
      </c>
      <c r="U45" s="148">
        <f>COUNTIFS('2026 Time Off Request'!$A:$A,'Dec 2026'!$D45,'2026 Time Off Request'!$L:$L,'Dec 2026'!U$6)</f>
        <v>0</v>
      </c>
      <c r="V45" s="148">
        <f>COUNTIFS('2026 Time Off Request'!$A:$A,'Dec 2026'!$D45,'2026 Time Off Request'!$L:$L,'Dec 2026'!V$6)</f>
        <v>0</v>
      </c>
      <c r="W45" s="148">
        <f>COUNTIFS('2026 Time Off Request'!$A:$A,'Dec 2026'!$D45,'2026 Time Off Request'!$L:$L,'Dec 2026'!W$6)</f>
        <v>0</v>
      </c>
      <c r="X45" s="147">
        <f>COUNTIFS('2026 Time Off Request'!$A:$A,'Dec 2026'!$D45,'2026 Time Off Request'!$L:$L,'Dec 2026'!X$6)</f>
        <v>0</v>
      </c>
      <c r="Y45" s="147">
        <f>COUNTIFS('2026 Time Off Request'!$A:$A,'Dec 2026'!$D45,'2026 Time Off Request'!$L:$L,'Dec 2026'!Y$6)</f>
        <v>0</v>
      </c>
      <c r="Z45" s="148">
        <f>COUNTIFS('2026 Time Off Request'!$A:$A,'Dec 2026'!$D45,'2026 Time Off Request'!$L:$L,'Dec 2026'!Z$6)</f>
        <v>0</v>
      </c>
      <c r="AA45" s="148">
        <f>COUNTIFS('2026 Time Off Request'!$A:$A,'Dec 2026'!$D45,'2026 Time Off Request'!$L:$L,'Dec 2026'!AA$6)</f>
        <v>0</v>
      </c>
      <c r="AB45" s="148">
        <f>COUNTIFS('2026 Time Off Request'!$A:$A,'Dec 2026'!$D45,'2026 Time Off Request'!$L:$L,'Dec 2026'!AB$6)</f>
        <v>0</v>
      </c>
      <c r="AC45" s="148">
        <f>COUNTIFS('2026 Time Off Request'!$A:$A,'Dec 2026'!$D45,'2026 Time Off Request'!$L:$L,'Dec 2026'!AC$6)</f>
        <v>0</v>
      </c>
      <c r="AD45" s="224">
        <f>COUNTIFS('2026 Time Off Request'!$A:$A,'Dec 2026'!$D45,'2026 Time Off Request'!$L:$L,'Dec 2026'!AD$6)</f>
        <v>0</v>
      </c>
      <c r="AE45" s="147">
        <f>COUNTIFS('2026 Time Off Request'!$A:$A,'Dec 2026'!$D45,'2026 Time Off Request'!$L:$L,'Dec 2026'!AE$6)</f>
        <v>0</v>
      </c>
      <c r="AF45" s="147">
        <f>COUNTIFS('2026 Time Off Request'!$A:$A,'Dec 2026'!$D45,'2026 Time Off Request'!$L:$L,'Dec 2026'!AF$6)</f>
        <v>0</v>
      </c>
      <c r="AG45" s="224">
        <f>COUNTIFS('2026 Time Off Request'!$A:$A,'Dec 2026'!$D45,'2026 Time Off Request'!$L:$L,'Dec 2026'!AG$6)</f>
        <v>0</v>
      </c>
      <c r="AH45" s="148">
        <f>COUNTIFS('2026 Time Off Request'!$A:$A,'Dec 2026'!$D45,'2026 Time Off Request'!$L:$L,'Dec 2026'!AH$6)</f>
        <v>0</v>
      </c>
      <c r="AI45" s="148">
        <f>COUNTIFS('2026 Time Off Request'!$A:$A,'Dec 2026'!$D45,'2026 Time Off Request'!$L:$L,'Dec 2026'!AI$6)</f>
        <v>0</v>
      </c>
      <c r="AJ45" s="148">
        <f>COUNTIFS('2026 Time Off Request'!$A:$A,'Dec 2026'!$D45,'2026 Time Off Request'!$L:$L,'Dec 2026'!AJ$6)</f>
        <v>0</v>
      </c>
    </row>
    <row r="46" spans="1:36" ht="15.75">
      <c r="A46" s="2">
        <v>36</v>
      </c>
      <c r="B46" s="209" t="s">
        <v>45</v>
      </c>
      <c r="C46" s="210" t="s">
        <v>89</v>
      </c>
      <c r="D46" s="215" t="s">
        <v>91</v>
      </c>
      <c r="E46" s="212">
        <f t="shared" si="2"/>
        <v>0</v>
      </c>
      <c r="F46" s="223">
        <f>COUNTIFS('2026 Time Off Request'!$A:$A,'Dec 2026'!$D46,'2026 Time Off Request'!$L:$L,'Dec 2026'!F$6)</f>
        <v>0</v>
      </c>
      <c r="G46" s="148">
        <f>COUNTIFS('2026 Time Off Request'!$A:$A,'Dec 2026'!$D46,'2026 Time Off Request'!$L:$L,'Dec 2026'!G$6)</f>
        <v>0</v>
      </c>
      <c r="H46" s="148">
        <f>COUNTIFS('2026 Time Off Request'!$A:$A,'Dec 2026'!$D46,'2026 Time Off Request'!$L:$L,'Dec 2026'!H$6)</f>
        <v>0</v>
      </c>
      <c r="I46" s="148">
        <f>COUNTIFS('2026 Time Off Request'!$A:$A,'Dec 2026'!$D46,'2026 Time Off Request'!$L:$L,'Dec 2026'!I$6)</f>
        <v>0</v>
      </c>
      <c r="J46" s="147">
        <f>COUNTIFS('2026 Time Off Request'!$A:$A,'Dec 2026'!$D46,'2026 Time Off Request'!$L:$L,'Dec 2026'!J$6)</f>
        <v>0</v>
      </c>
      <c r="K46" s="147">
        <f>COUNTIFS('2026 Time Off Request'!$A:$A,'Dec 2026'!$D46,'2026 Time Off Request'!$L:$L,'Dec 2026'!K$6)</f>
        <v>0</v>
      </c>
      <c r="L46" s="148">
        <f>COUNTIFS('2026 Time Off Request'!$A:$A,'Dec 2026'!$D46,'2026 Time Off Request'!$L:$L,'Dec 2026'!L$6)</f>
        <v>0</v>
      </c>
      <c r="M46" s="148">
        <f>COUNTIFS('2026 Time Off Request'!$A:$A,'Dec 2026'!$D46,'2026 Time Off Request'!$L:$L,'Dec 2026'!M$6)</f>
        <v>0</v>
      </c>
      <c r="N46" s="148">
        <f>COUNTIFS('2026 Time Off Request'!$A:$A,'Dec 2026'!$D46,'2026 Time Off Request'!$L:$L,'Dec 2026'!N$6)</f>
        <v>0</v>
      </c>
      <c r="O46" s="148">
        <f>COUNTIFS('2026 Time Off Request'!$A:$A,'Dec 2026'!$D46,'2026 Time Off Request'!$L:$L,'Dec 2026'!O$6)</f>
        <v>0</v>
      </c>
      <c r="P46" s="148">
        <f>COUNTIFS('2026 Time Off Request'!$A:$A,'Dec 2026'!$D46,'2026 Time Off Request'!$L:$L,'Dec 2026'!P$6)</f>
        <v>0</v>
      </c>
      <c r="Q46" s="147">
        <f>COUNTIFS('2026 Time Off Request'!$A:$A,'Dec 2026'!$D46,'2026 Time Off Request'!$L:$L,'Dec 2026'!Q$6)</f>
        <v>0</v>
      </c>
      <c r="R46" s="147">
        <f>COUNTIFS('2026 Time Off Request'!$A:$A,'Dec 2026'!$D46,'2026 Time Off Request'!$L:$L,'Dec 2026'!R$6)</f>
        <v>0</v>
      </c>
      <c r="S46" s="148">
        <f>COUNTIFS('2026 Time Off Request'!$A:$A,'Dec 2026'!$D46,'2026 Time Off Request'!$L:$L,'Dec 2026'!S$6)</f>
        <v>0</v>
      </c>
      <c r="T46" s="148">
        <f>COUNTIFS('2026 Time Off Request'!$A:$A,'Dec 2026'!$D46,'2026 Time Off Request'!$L:$L,'Dec 2026'!T$6)</f>
        <v>0</v>
      </c>
      <c r="U46" s="148">
        <f>COUNTIFS('2026 Time Off Request'!$A:$A,'Dec 2026'!$D46,'2026 Time Off Request'!$L:$L,'Dec 2026'!U$6)</f>
        <v>0</v>
      </c>
      <c r="V46" s="148">
        <f>COUNTIFS('2026 Time Off Request'!$A:$A,'Dec 2026'!$D46,'2026 Time Off Request'!$L:$L,'Dec 2026'!V$6)</f>
        <v>0</v>
      </c>
      <c r="W46" s="148">
        <f>COUNTIFS('2026 Time Off Request'!$A:$A,'Dec 2026'!$D46,'2026 Time Off Request'!$L:$L,'Dec 2026'!W$6)</f>
        <v>0</v>
      </c>
      <c r="X46" s="147">
        <f>COUNTIFS('2026 Time Off Request'!$A:$A,'Dec 2026'!$D46,'2026 Time Off Request'!$L:$L,'Dec 2026'!X$6)</f>
        <v>0</v>
      </c>
      <c r="Y46" s="147">
        <f>COUNTIFS('2026 Time Off Request'!$A:$A,'Dec 2026'!$D46,'2026 Time Off Request'!$L:$L,'Dec 2026'!Y$6)</f>
        <v>0</v>
      </c>
      <c r="Z46" s="148">
        <f>COUNTIFS('2026 Time Off Request'!$A:$A,'Dec 2026'!$D46,'2026 Time Off Request'!$L:$L,'Dec 2026'!Z$6)</f>
        <v>0</v>
      </c>
      <c r="AA46" s="148">
        <f>COUNTIFS('2026 Time Off Request'!$A:$A,'Dec 2026'!$D46,'2026 Time Off Request'!$L:$L,'Dec 2026'!AA$6)</f>
        <v>0</v>
      </c>
      <c r="AB46" s="148">
        <f>COUNTIFS('2026 Time Off Request'!$A:$A,'Dec 2026'!$D46,'2026 Time Off Request'!$L:$L,'Dec 2026'!AB$6)</f>
        <v>0</v>
      </c>
      <c r="AC46" s="148">
        <f>COUNTIFS('2026 Time Off Request'!$A:$A,'Dec 2026'!$D46,'2026 Time Off Request'!$L:$L,'Dec 2026'!AC$6)</f>
        <v>0</v>
      </c>
      <c r="AD46" s="224">
        <f>COUNTIFS('2026 Time Off Request'!$A:$A,'Dec 2026'!$D46,'2026 Time Off Request'!$L:$L,'Dec 2026'!AD$6)</f>
        <v>0</v>
      </c>
      <c r="AE46" s="147">
        <f>COUNTIFS('2026 Time Off Request'!$A:$A,'Dec 2026'!$D46,'2026 Time Off Request'!$L:$L,'Dec 2026'!AE$6)</f>
        <v>0</v>
      </c>
      <c r="AF46" s="147">
        <f>COUNTIFS('2026 Time Off Request'!$A:$A,'Dec 2026'!$D46,'2026 Time Off Request'!$L:$L,'Dec 2026'!AF$6)</f>
        <v>0</v>
      </c>
      <c r="AG46" s="224">
        <f>COUNTIFS('2026 Time Off Request'!$A:$A,'Dec 2026'!$D46,'2026 Time Off Request'!$L:$L,'Dec 2026'!AG$6)</f>
        <v>0</v>
      </c>
      <c r="AH46" s="148">
        <f>COUNTIFS('2026 Time Off Request'!$A:$A,'Dec 2026'!$D46,'2026 Time Off Request'!$L:$L,'Dec 2026'!AH$6)</f>
        <v>0</v>
      </c>
      <c r="AI46" s="148">
        <f>COUNTIFS('2026 Time Off Request'!$A:$A,'Dec 2026'!$D46,'2026 Time Off Request'!$L:$L,'Dec 2026'!AI$6)</f>
        <v>0</v>
      </c>
      <c r="AJ46" s="148">
        <f>COUNTIFS('2026 Time Off Request'!$A:$A,'Dec 2026'!$D46,'2026 Time Off Request'!$L:$L,'Dec 2026'!AJ$6)</f>
        <v>0</v>
      </c>
    </row>
    <row r="47" spans="1:36" ht="15.75">
      <c r="A47" s="2"/>
      <c r="B47" s="29"/>
      <c r="C47" s="23"/>
      <c r="D47" s="2"/>
      <c r="E47" s="3"/>
    </row>
    <row r="48" spans="1:36" ht="15.6">
      <c r="A48" s="2"/>
      <c r="B48" s="29"/>
      <c r="C48" s="23"/>
      <c r="D48" s="2"/>
      <c r="E48" s="3"/>
    </row>
    <row r="49" spans="1:5" ht="15.6">
      <c r="A49" s="2"/>
      <c r="B49" s="29"/>
      <c r="C49" s="23"/>
      <c r="D49" s="2"/>
      <c r="E49" s="3"/>
    </row>
    <row r="50" spans="1:5" ht="15.6">
      <c r="A50" s="2"/>
      <c r="B50" s="29"/>
      <c r="C50" s="105"/>
      <c r="D50" s="2"/>
      <c r="E50" s="3"/>
    </row>
    <row r="51" spans="1:5" ht="15.6">
      <c r="A51" s="2"/>
      <c r="B51" s="29"/>
      <c r="C51" s="23"/>
      <c r="D51" s="2"/>
      <c r="E51" s="2"/>
    </row>
    <row r="52" spans="1:5" ht="15.6">
      <c r="A52" s="2"/>
      <c r="B52" s="29"/>
      <c r="C52" s="23"/>
      <c r="D52" s="2"/>
      <c r="E52" s="2"/>
    </row>
    <row r="53" spans="1:5" ht="15.6">
      <c r="A53" s="2"/>
      <c r="B53" s="29"/>
      <c r="C53" s="23"/>
      <c r="D53" s="2"/>
      <c r="E53" s="2"/>
    </row>
    <row r="54" spans="1:5" ht="15.6">
      <c r="A54" s="2"/>
      <c r="B54" s="29"/>
      <c r="C54" s="23"/>
      <c r="D54" s="2"/>
      <c r="E54" s="2"/>
    </row>
    <row r="55" spans="1:5" ht="15.6">
      <c r="A55" s="2"/>
      <c r="B55" s="29"/>
      <c r="C55" s="23"/>
      <c r="D55" s="2"/>
      <c r="E55" s="2"/>
    </row>
    <row r="56" spans="1:5" ht="15.6">
      <c r="A56" s="2"/>
      <c r="B56" s="29"/>
      <c r="C56" s="23"/>
      <c r="D56" s="2"/>
      <c r="E56" s="2"/>
    </row>
    <row r="57" spans="1:5" ht="15.6">
      <c r="A57" s="2"/>
      <c r="B57" s="29"/>
      <c r="C57" s="23"/>
      <c r="D57" s="2"/>
      <c r="E57" s="2"/>
    </row>
    <row r="58" spans="1:5" ht="15.6">
      <c r="A58" s="2"/>
      <c r="B58" s="29"/>
      <c r="C58" s="23"/>
      <c r="D58" s="2"/>
      <c r="E58" s="2"/>
    </row>
    <row r="59" spans="1:5" ht="15.6">
      <c r="A59" s="2"/>
      <c r="B59" s="29"/>
      <c r="C59" s="23"/>
      <c r="D59" s="2"/>
      <c r="E59" s="2"/>
    </row>
    <row r="60" spans="1:5" ht="15.6">
      <c r="A60" s="2"/>
      <c r="B60" s="29"/>
      <c r="C60" s="23"/>
      <c r="D60" s="2"/>
      <c r="E60" s="2"/>
    </row>
    <row r="61" spans="1:5" ht="15"/>
  </sheetData>
  <mergeCells count="1">
    <mergeCell ref="B6:D6"/>
  </mergeCells>
  <conditionalFormatting sqref="E8:AJ46">
    <cfRule type="cellIs" dxfId="0" priority="1" operator="greaterThan">
      <formula>0</formula>
    </cfRule>
  </conditionalFormatting>
  <dataValidations count="1">
    <dataValidation allowBlank="1" showInputMessage="1" showErrorMessage="1" sqref="A3:A60" xr:uid="{798EBAEA-D714-41C3-AF23-566A35AC464B}"/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7CDD-D7ED-431B-90BB-70217FADFB4D}">
  <sheetPr>
    <tabColor rgb="FFFFC000"/>
  </sheetPr>
  <dimension ref="A1:L125"/>
  <sheetViews>
    <sheetView topLeftCell="A107" workbookViewId="0">
      <selection activeCell="G114" sqref="G114"/>
    </sheetView>
  </sheetViews>
  <sheetFormatPr defaultColWidth="8.85546875" defaultRowHeight="14.45"/>
  <cols>
    <col min="1" max="1" width="18.85546875" customWidth="1"/>
    <col min="2" max="2" width="13.42578125" customWidth="1"/>
    <col min="3" max="3" width="16.140625" customWidth="1"/>
    <col min="4" max="4" width="23" customWidth="1"/>
    <col min="5" max="9" width="16.140625" customWidth="1"/>
    <col min="10" max="10" width="14.85546875" customWidth="1"/>
    <col min="12" max="12" width="23" customWidth="1"/>
  </cols>
  <sheetData>
    <row r="1" spans="1:12" ht="27.75">
      <c r="A1" s="70" t="s">
        <v>110</v>
      </c>
      <c r="B1" s="70" t="s">
        <v>111</v>
      </c>
      <c r="C1" s="70" t="s">
        <v>112</v>
      </c>
      <c r="D1" s="70" t="s">
        <v>113</v>
      </c>
      <c r="E1" s="70" t="s">
        <v>114</v>
      </c>
      <c r="F1" s="70" t="s">
        <v>115</v>
      </c>
      <c r="G1" s="70" t="s">
        <v>116</v>
      </c>
      <c r="H1" s="70" t="s">
        <v>117</v>
      </c>
      <c r="I1" s="70" t="s">
        <v>118</v>
      </c>
      <c r="J1" s="71" t="s">
        <v>119</v>
      </c>
      <c r="L1" t="s">
        <v>120</v>
      </c>
    </row>
    <row r="2" spans="1:12" ht="27.75">
      <c r="A2" s="72" t="s">
        <v>65</v>
      </c>
      <c r="B2" s="72" t="s">
        <v>121</v>
      </c>
      <c r="C2" s="72" t="s">
        <v>122</v>
      </c>
      <c r="D2" s="72" t="s">
        <v>123</v>
      </c>
      <c r="E2" s="72" t="s">
        <v>124</v>
      </c>
      <c r="F2" s="72" t="s">
        <v>125</v>
      </c>
      <c r="G2" s="72" t="s">
        <v>125</v>
      </c>
      <c r="H2" s="208">
        <f>ROUND(0.5,2)</f>
        <v>0.5</v>
      </c>
      <c r="I2" s="72" t="s">
        <v>126</v>
      </c>
      <c r="J2" s="74" t="s">
        <v>127</v>
      </c>
      <c r="L2" s="17">
        <f>DATE(RIGHT(G2,4), MID(G2,4,2), LEFT(G2,2))</f>
        <v>46094</v>
      </c>
    </row>
    <row r="3" spans="1:12" ht="27.75">
      <c r="A3" s="72" t="s">
        <v>128</v>
      </c>
      <c r="B3" s="72" t="s">
        <v>129</v>
      </c>
      <c r="C3" s="72" t="s">
        <v>130</v>
      </c>
      <c r="D3" s="72" t="s">
        <v>131</v>
      </c>
      <c r="E3" s="72" t="s">
        <v>124</v>
      </c>
      <c r="F3" s="72" t="s">
        <v>132</v>
      </c>
      <c r="G3" s="72" t="s">
        <v>133</v>
      </c>
      <c r="H3" s="208">
        <f>ROUND(7.5,2)</f>
        <v>7.5</v>
      </c>
      <c r="I3" s="72" t="s">
        <v>134</v>
      </c>
      <c r="J3" s="74" t="s">
        <v>127</v>
      </c>
      <c r="L3" s="17">
        <f t="shared" ref="L3:L63" si="0">DATE(RIGHT(G3,4), MID(G3,4,2), LEFT(G3,2))</f>
        <v>46031</v>
      </c>
    </row>
    <row r="4" spans="1:12" ht="27.75">
      <c r="A4" s="72" t="s">
        <v>128</v>
      </c>
      <c r="B4" s="72" t="s">
        <v>129</v>
      </c>
      <c r="C4" s="72" t="s">
        <v>130</v>
      </c>
      <c r="D4" s="72" t="s">
        <v>131</v>
      </c>
      <c r="E4" s="72" t="s">
        <v>124</v>
      </c>
      <c r="F4" s="72" t="s">
        <v>132</v>
      </c>
      <c r="G4" s="72" t="s">
        <v>135</v>
      </c>
      <c r="H4" s="208">
        <f>ROUND(7.5,2)</f>
        <v>7.5</v>
      </c>
      <c r="I4" s="72" t="s">
        <v>134</v>
      </c>
      <c r="J4" s="74" t="s">
        <v>127</v>
      </c>
      <c r="L4" s="17">
        <f t="shared" si="0"/>
        <v>46035</v>
      </c>
    </row>
    <row r="5" spans="1:12" ht="27.75">
      <c r="A5" s="72" t="s">
        <v>128</v>
      </c>
      <c r="B5" s="72" t="s">
        <v>129</v>
      </c>
      <c r="C5" s="72" t="s">
        <v>130</v>
      </c>
      <c r="D5" s="72" t="s">
        <v>131</v>
      </c>
      <c r="E5" s="72" t="s">
        <v>124</v>
      </c>
      <c r="F5" s="72" t="s">
        <v>132</v>
      </c>
      <c r="G5" s="72" t="s">
        <v>136</v>
      </c>
      <c r="H5" s="208">
        <f>ROUND(7.5,2)</f>
        <v>7.5</v>
      </c>
      <c r="I5" s="72" t="s">
        <v>134</v>
      </c>
      <c r="J5" s="74" t="s">
        <v>127</v>
      </c>
      <c r="L5" s="17">
        <f t="shared" si="0"/>
        <v>46038</v>
      </c>
    </row>
    <row r="6" spans="1:12" ht="27.75">
      <c r="A6" s="72" t="s">
        <v>128</v>
      </c>
      <c r="B6" s="72" t="s">
        <v>129</v>
      </c>
      <c r="C6" s="72" t="s">
        <v>130</v>
      </c>
      <c r="D6" s="72" t="s">
        <v>131</v>
      </c>
      <c r="E6" s="72" t="s">
        <v>124</v>
      </c>
      <c r="F6" s="72" t="s">
        <v>132</v>
      </c>
      <c r="G6" s="72" t="s">
        <v>132</v>
      </c>
      <c r="H6" s="208">
        <f>ROUND(7.5,2)</f>
        <v>7.5</v>
      </c>
      <c r="I6" s="72" t="s">
        <v>134</v>
      </c>
      <c r="J6" s="74" t="s">
        <v>127</v>
      </c>
      <c r="L6" s="17">
        <f t="shared" si="0"/>
        <v>46028</v>
      </c>
    </row>
    <row r="7" spans="1:12" ht="15.75">
      <c r="A7" s="72" t="s">
        <v>59</v>
      </c>
      <c r="B7" s="72" t="s">
        <v>137</v>
      </c>
      <c r="C7" s="72" t="s">
        <v>138</v>
      </c>
      <c r="D7" s="72" t="s">
        <v>139</v>
      </c>
      <c r="E7" s="72" t="s">
        <v>124</v>
      </c>
      <c r="F7" s="72" t="s">
        <v>140</v>
      </c>
      <c r="G7" s="72" t="s">
        <v>141</v>
      </c>
      <c r="H7" s="208">
        <f>ROUND(1,2)</f>
        <v>1</v>
      </c>
      <c r="I7" s="72" t="s">
        <v>126</v>
      </c>
      <c r="J7" s="74" t="s">
        <v>142</v>
      </c>
      <c r="L7" s="17">
        <f>DATE(RIGHT(G7,4), MID(G7,4,2), LEFT(G7,2))</f>
        <v>46104</v>
      </c>
    </row>
    <row r="8" spans="1:12" ht="15.75">
      <c r="A8" s="72" t="s">
        <v>35</v>
      </c>
      <c r="B8" s="72" t="s">
        <v>143</v>
      </c>
      <c r="C8" s="72" t="s">
        <v>138</v>
      </c>
      <c r="D8" s="72" t="s">
        <v>123</v>
      </c>
      <c r="E8" s="72" t="s">
        <v>124</v>
      </c>
      <c r="F8" s="72" t="s">
        <v>144</v>
      </c>
      <c r="G8" s="72" t="s">
        <v>125</v>
      </c>
      <c r="H8" s="208">
        <f>ROUND(1,2)</f>
        <v>1</v>
      </c>
      <c r="I8" s="72" t="s">
        <v>126</v>
      </c>
      <c r="J8" s="74" t="s">
        <v>127</v>
      </c>
      <c r="L8" s="17">
        <f t="shared" si="0"/>
        <v>46094</v>
      </c>
    </row>
    <row r="9" spans="1:12" ht="15.75">
      <c r="A9" s="72" t="s">
        <v>35</v>
      </c>
      <c r="B9" s="72" t="s">
        <v>143</v>
      </c>
      <c r="C9" s="72" t="s">
        <v>138</v>
      </c>
      <c r="D9" s="72" t="s">
        <v>123</v>
      </c>
      <c r="E9" s="72" t="s">
        <v>124</v>
      </c>
      <c r="F9" s="72" t="s">
        <v>144</v>
      </c>
      <c r="G9" s="72" t="s">
        <v>145</v>
      </c>
      <c r="H9" s="208">
        <f>ROUND(1,2)</f>
        <v>1</v>
      </c>
      <c r="I9" s="72" t="s">
        <v>126</v>
      </c>
      <c r="J9" s="74" t="s">
        <v>127</v>
      </c>
      <c r="L9" s="17">
        <f t="shared" si="0"/>
        <v>46092</v>
      </c>
    </row>
    <row r="10" spans="1:12" ht="15.75">
      <c r="A10" s="72" t="s">
        <v>35</v>
      </c>
      <c r="B10" s="72" t="s">
        <v>143</v>
      </c>
      <c r="C10" s="72" t="s">
        <v>138</v>
      </c>
      <c r="D10" s="72" t="s">
        <v>123</v>
      </c>
      <c r="E10" s="72" t="s">
        <v>124</v>
      </c>
      <c r="F10" s="72" t="s">
        <v>144</v>
      </c>
      <c r="G10" s="72" t="s">
        <v>146</v>
      </c>
      <c r="H10" s="208">
        <f>ROUND(1,2)</f>
        <v>1</v>
      </c>
      <c r="I10" s="72" t="s">
        <v>126</v>
      </c>
      <c r="J10" s="74" t="s">
        <v>127</v>
      </c>
      <c r="L10" s="17">
        <f t="shared" si="0"/>
        <v>46093</v>
      </c>
    </row>
    <row r="11" spans="1:12" ht="15.75">
      <c r="A11" s="72" t="s">
        <v>35</v>
      </c>
      <c r="B11" s="72" t="s">
        <v>143</v>
      </c>
      <c r="C11" s="72" t="s">
        <v>138</v>
      </c>
      <c r="D11" s="72" t="s">
        <v>123</v>
      </c>
      <c r="E11" s="72" t="s">
        <v>124</v>
      </c>
      <c r="F11" s="72" t="s">
        <v>147</v>
      </c>
      <c r="G11" s="72" t="s">
        <v>147</v>
      </c>
      <c r="H11" s="208">
        <f>ROUND(1,2)</f>
        <v>1</v>
      </c>
      <c r="I11" s="72" t="s">
        <v>126</v>
      </c>
      <c r="J11" s="74" t="s">
        <v>127</v>
      </c>
      <c r="L11" s="17">
        <f t="shared" si="0"/>
        <v>46097</v>
      </c>
    </row>
    <row r="12" spans="1:12" ht="27.75">
      <c r="A12" s="72" t="s">
        <v>78</v>
      </c>
      <c r="B12" s="72" t="s">
        <v>148</v>
      </c>
      <c r="C12" s="72" t="s">
        <v>149</v>
      </c>
      <c r="D12" s="72" t="s">
        <v>150</v>
      </c>
      <c r="E12" s="72" t="s">
        <v>151</v>
      </c>
      <c r="F12" s="72" t="s">
        <v>152</v>
      </c>
      <c r="G12" s="72" t="s">
        <v>153</v>
      </c>
      <c r="H12" s="208">
        <f>ROUND(7.5,2)</f>
        <v>7.5</v>
      </c>
      <c r="I12" s="72" t="s">
        <v>134</v>
      </c>
      <c r="J12" s="74" t="s">
        <v>127</v>
      </c>
      <c r="L12" s="17">
        <f t="shared" si="0"/>
        <v>46185</v>
      </c>
    </row>
    <row r="13" spans="1:12" ht="27.75">
      <c r="A13" s="72" t="s">
        <v>78</v>
      </c>
      <c r="B13" s="72" t="s">
        <v>148</v>
      </c>
      <c r="C13" s="72" t="s">
        <v>149</v>
      </c>
      <c r="D13" s="72" t="s">
        <v>150</v>
      </c>
      <c r="E13" s="72" t="s">
        <v>151</v>
      </c>
      <c r="F13" s="72" t="s">
        <v>152</v>
      </c>
      <c r="G13" s="72" t="s">
        <v>154</v>
      </c>
      <c r="H13" s="208">
        <f>ROUND(7.5,2)</f>
        <v>7.5</v>
      </c>
      <c r="I13" s="72" t="s">
        <v>134</v>
      </c>
      <c r="J13" s="74" t="s">
        <v>127</v>
      </c>
      <c r="L13" s="17">
        <f t="shared" si="0"/>
        <v>46182</v>
      </c>
    </row>
    <row r="14" spans="1:12" ht="27.75">
      <c r="A14" s="72" t="s">
        <v>78</v>
      </c>
      <c r="B14" s="72" t="s">
        <v>148</v>
      </c>
      <c r="C14" s="72" t="s">
        <v>149</v>
      </c>
      <c r="D14" s="72" t="s">
        <v>150</v>
      </c>
      <c r="E14" s="72" t="s">
        <v>151</v>
      </c>
      <c r="F14" s="72" t="s">
        <v>152</v>
      </c>
      <c r="G14" s="72" t="s">
        <v>155</v>
      </c>
      <c r="H14" s="208">
        <f>ROUND(7.5,2)</f>
        <v>7.5</v>
      </c>
      <c r="I14" s="72" t="s">
        <v>134</v>
      </c>
      <c r="J14" s="74" t="s">
        <v>127</v>
      </c>
      <c r="L14" s="17">
        <f t="shared" si="0"/>
        <v>46181</v>
      </c>
    </row>
    <row r="15" spans="1:12" ht="27.75">
      <c r="A15" s="72" t="s">
        <v>78</v>
      </c>
      <c r="B15" s="72" t="s">
        <v>148</v>
      </c>
      <c r="C15" s="72" t="s">
        <v>149</v>
      </c>
      <c r="D15" s="72" t="s">
        <v>150</v>
      </c>
      <c r="E15" s="72" t="s">
        <v>151</v>
      </c>
      <c r="F15" s="72" t="s">
        <v>152</v>
      </c>
      <c r="G15" s="72" t="s">
        <v>156</v>
      </c>
      <c r="H15" s="208">
        <f>ROUND(7.5,2)</f>
        <v>7.5</v>
      </c>
      <c r="I15" s="72" t="s">
        <v>134</v>
      </c>
      <c r="J15" s="74" t="s">
        <v>127</v>
      </c>
      <c r="L15" s="17">
        <f t="shared" si="0"/>
        <v>46184</v>
      </c>
    </row>
    <row r="16" spans="1:12" ht="27.75">
      <c r="A16" s="72" t="s">
        <v>78</v>
      </c>
      <c r="B16" s="72" t="s">
        <v>148</v>
      </c>
      <c r="C16" s="72" t="s">
        <v>149</v>
      </c>
      <c r="D16" s="72" t="s">
        <v>150</v>
      </c>
      <c r="E16" s="72" t="s">
        <v>151</v>
      </c>
      <c r="F16" s="72" t="s">
        <v>152</v>
      </c>
      <c r="G16" s="72" t="s">
        <v>157</v>
      </c>
      <c r="H16" s="208">
        <f>ROUND(7.5,2)</f>
        <v>7.5</v>
      </c>
      <c r="I16" s="72" t="s">
        <v>134</v>
      </c>
      <c r="J16" s="74" t="s">
        <v>127</v>
      </c>
      <c r="L16" s="17">
        <f t="shared" si="0"/>
        <v>46183</v>
      </c>
    </row>
    <row r="17" spans="1:12" ht="15.75">
      <c r="A17" s="72" t="s">
        <v>90</v>
      </c>
      <c r="B17" s="72" t="s">
        <v>158</v>
      </c>
      <c r="C17" s="72" t="s">
        <v>159</v>
      </c>
      <c r="D17" s="72" t="s">
        <v>139</v>
      </c>
      <c r="E17" s="72" t="s">
        <v>124</v>
      </c>
      <c r="F17" s="72" t="s">
        <v>160</v>
      </c>
      <c r="G17" s="72" t="s">
        <v>132</v>
      </c>
      <c r="H17" s="208">
        <f>ROUND(1,2)</f>
        <v>1</v>
      </c>
      <c r="I17" s="72" t="s">
        <v>126</v>
      </c>
      <c r="J17" s="74" t="s">
        <v>127</v>
      </c>
      <c r="L17" s="17">
        <f t="shared" si="0"/>
        <v>46028</v>
      </c>
    </row>
    <row r="18" spans="1:12" ht="15.75">
      <c r="A18" s="72" t="s">
        <v>90</v>
      </c>
      <c r="B18" s="72" t="s">
        <v>158</v>
      </c>
      <c r="C18" s="72" t="s">
        <v>159</v>
      </c>
      <c r="D18" s="72" t="s">
        <v>139</v>
      </c>
      <c r="E18" s="72" t="s">
        <v>124</v>
      </c>
      <c r="F18" s="72" t="s">
        <v>152</v>
      </c>
      <c r="G18" s="72" t="s">
        <v>161</v>
      </c>
      <c r="H18" s="208">
        <f>ROUND(1,2)</f>
        <v>1</v>
      </c>
      <c r="I18" s="72" t="s">
        <v>126</v>
      </c>
      <c r="J18" s="74" t="s">
        <v>127</v>
      </c>
      <c r="L18" s="17">
        <f t="shared" si="0"/>
        <v>46083</v>
      </c>
    </row>
    <row r="19" spans="1:12" ht="15.75">
      <c r="A19" s="72" t="s">
        <v>90</v>
      </c>
      <c r="B19" s="72" t="s">
        <v>158</v>
      </c>
      <c r="C19" s="72" t="s">
        <v>159</v>
      </c>
      <c r="D19" s="72" t="s">
        <v>139</v>
      </c>
      <c r="E19" s="72" t="s">
        <v>124</v>
      </c>
      <c r="F19" s="72" t="s">
        <v>160</v>
      </c>
      <c r="G19" s="72" t="s">
        <v>162</v>
      </c>
      <c r="H19" s="208">
        <f>ROUND(1,2)</f>
        <v>1</v>
      </c>
      <c r="I19" s="72" t="s">
        <v>126</v>
      </c>
      <c r="J19" s="74" t="s">
        <v>127</v>
      </c>
      <c r="L19" s="17">
        <f t="shared" si="0"/>
        <v>46027</v>
      </c>
    </row>
    <row r="20" spans="1:12" ht="27.75">
      <c r="A20" s="72" t="s">
        <v>42</v>
      </c>
      <c r="B20" s="72" t="s">
        <v>163</v>
      </c>
      <c r="C20" s="72" t="s">
        <v>164</v>
      </c>
      <c r="D20" s="72" t="s">
        <v>165</v>
      </c>
      <c r="E20" s="72" t="s">
        <v>124</v>
      </c>
      <c r="F20" s="72" t="s">
        <v>166</v>
      </c>
      <c r="G20" s="72" t="s">
        <v>167</v>
      </c>
      <c r="H20" s="208">
        <f>ROUND(1,2)</f>
        <v>1</v>
      </c>
      <c r="I20" s="72" t="s">
        <v>126</v>
      </c>
      <c r="J20" s="74" t="s">
        <v>127</v>
      </c>
      <c r="L20" s="17">
        <f t="shared" si="0"/>
        <v>46024</v>
      </c>
    </row>
    <row r="21" spans="1:12" ht="15.75">
      <c r="A21" s="72" t="s">
        <v>168</v>
      </c>
      <c r="B21" s="72" t="s">
        <v>169</v>
      </c>
      <c r="C21" s="72" t="s">
        <v>170</v>
      </c>
      <c r="D21" s="72" t="s">
        <v>150</v>
      </c>
      <c r="E21" s="72" t="s">
        <v>151</v>
      </c>
      <c r="F21" s="72" t="s">
        <v>171</v>
      </c>
      <c r="G21" s="72" t="s">
        <v>172</v>
      </c>
      <c r="H21" s="208">
        <f>ROUND(7.5,2)</f>
        <v>7.5</v>
      </c>
      <c r="I21" s="72" t="s">
        <v>134</v>
      </c>
      <c r="J21" s="74" t="s">
        <v>127</v>
      </c>
      <c r="L21" s="17">
        <f t="shared" si="0"/>
        <v>46072</v>
      </c>
    </row>
    <row r="22" spans="1:12" ht="15.75">
      <c r="A22" s="72" t="s">
        <v>168</v>
      </c>
      <c r="B22" s="72" t="s">
        <v>169</v>
      </c>
      <c r="C22" s="72" t="s">
        <v>170</v>
      </c>
      <c r="D22" s="72" t="s">
        <v>150</v>
      </c>
      <c r="E22" s="72" t="s">
        <v>151</v>
      </c>
      <c r="F22" s="72" t="s">
        <v>171</v>
      </c>
      <c r="G22" s="72" t="s">
        <v>173</v>
      </c>
      <c r="H22" s="208">
        <f>ROUND(7.5,2)</f>
        <v>7.5</v>
      </c>
      <c r="I22" s="72" t="s">
        <v>134</v>
      </c>
      <c r="J22" s="74" t="s">
        <v>127</v>
      </c>
      <c r="L22" s="17">
        <f t="shared" si="0"/>
        <v>46073</v>
      </c>
    </row>
    <row r="23" spans="1:12" ht="27.75">
      <c r="A23" s="72" t="s">
        <v>69</v>
      </c>
      <c r="B23" s="72" t="s">
        <v>174</v>
      </c>
      <c r="C23" s="72" t="s">
        <v>122</v>
      </c>
      <c r="D23" s="72" t="s">
        <v>139</v>
      </c>
      <c r="E23" s="72" t="s">
        <v>124</v>
      </c>
      <c r="F23" s="72" t="s">
        <v>175</v>
      </c>
      <c r="G23" s="72" t="s">
        <v>133</v>
      </c>
      <c r="H23" s="208">
        <f>ROUND(1,2)</f>
        <v>1</v>
      </c>
      <c r="I23" s="72" t="s">
        <v>126</v>
      </c>
      <c r="J23" s="74" t="s">
        <v>127</v>
      </c>
      <c r="L23" s="17">
        <f t="shared" si="0"/>
        <v>46031</v>
      </c>
    </row>
    <row r="24" spans="1:12" ht="27.75">
      <c r="A24" s="72" t="s">
        <v>69</v>
      </c>
      <c r="B24" s="72" t="s">
        <v>174</v>
      </c>
      <c r="C24" s="72" t="s">
        <v>122</v>
      </c>
      <c r="D24" s="72" t="s">
        <v>139</v>
      </c>
      <c r="E24" s="72" t="s">
        <v>124</v>
      </c>
      <c r="F24" s="72" t="s">
        <v>175</v>
      </c>
      <c r="G24" s="72" t="s">
        <v>176</v>
      </c>
      <c r="H24" s="208">
        <f>ROUND(0.5,2)</f>
        <v>0.5</v>
      </c>
      <c r="I24" s="72" t="s">
        <v>126</v>
      </c>
      <c r="J24" s="74" t="s">
        <v>127</v>
      </c>
      <c r="L24" s="17">
        <f t="shared" si="0"/>
        <v>46030</v>
      </c>
    </row>
    <row r="25" spans="1:12" ht="27.75">
      <c r="A25" s="72" t="s">
        <v>69</v>
      </c>
      <c r="B25" s="72" t="s">
        <v>174</v>
      </c>
      <c r="C25" s="72" t="s">
        <v>122</v>
      </c>
      <c r="D25" s="72" t="s">
        <v>139</v>
      </c>
      <c r="E25" s="72" t="s">
        <v>124</v>
      </c>
      <c r="F25" s="72" t="s">
        <v>175</v>
      </c>
      <c r="G25" s="72" t="s">
        <v>177</v>
      </c>
      <c r="H25" s="208">
        <f>ROUND(1,2)</f>
        <v>1</v>
      </c>
      <c r="I25" s="72" t="s">
        <v>126</v>
      </c>
      <c r="J25" s="74" t="s">
        <v>127</v>
      </c>
      <c r="L25" s="17">
        <f t="shared" si="0"/>
        <v>46034</v>
      </c>
    </row>
    <row r="26" spans="1:12" ht="27.75">
      <c r="A26" s="72" t="s">
        <v>69</v>
      </c>
      <c r="B26" s="72" t="s">
        <v>174</v>
      </c>
      <c r="C26" s="72" t="s">
        <v>122</v>
      </c>
      <c r="D26" s="72" t="s">
        <v>139</v>
      </c>
      <c r="E26" s="72" t="s">
        <v>124</v>
      </c>
      <c r="F26" s="72" t="s">
        <v>178</v>
      </c>
      <c r="G26" s="72" t="s">
        <v>140</v>
      </c>
      <c r="H26" s="208">
        <f>ROUND(0.5,2)</f>
        <v>0.5</v>
      </c>
      <c r="I26" s="72" t="s">
        <v>126</v>
      </c>
      <c r="J26" s="74" t="s">
        <v>127</v>
      </c>
      <c r="L26" s="17">
        <f t="shared" si="0"/>
        <v>46091</v>
      </c>
    </row>
    <row r="27" spans="1:12" ht="27.75">
      <c r="A27" s="72" t="s">
        <v>33</v>
      </c>
      <c r="B27" s="72" t="s">
        <v>179</v>
      </c>
      <c r="C27" s="72" t="s">
        <v>164</v>
      </c>
      <c r="D27" s="72" t="s">
        <v>123</v>
      </c>
      <c r="E27" s="72" t="s">
        <v>124</v>
      </c>
      <c r="F27" s="72" t="s">
        <v>161</v>
      </c>
      <c r="G27" s="72" t="s">
        <v>180</v>
      </c>
      <c r="H27" s="208">
        <f>ROUND(1,2)</f>
        <v>1</v>
      </c>
      <c r="I27" s="72" t="s">
        <v>126</v>
      </c>
      <c r="J27" s="74" t="s">
        <v>127</v>
      </c>
      <c r="L27" s="17">
        <f t="shared" si="0"/>
        <v>46161</v>
      </c>
    </row>
    <row r="28" spans="1:12" ht="27.75">
      <c r="A28" s="72" t="s">
        <v>33</v>
      </c>
      <c r="B28" s="72" t="s">
        <v>179</v>
      </c>
      <c r="C28" s="72" t="s">
        <v>164</v>
      </c>
      <c r="D28" s="72" t="s">
        <v>123</v>
      </c>
      <c r="E28" s="72" t="s">
        <v>124</v>
      </c>
      <c r="F28" s="72" t="s">
        <v>161</v>
      </c>
      <c r="G28" s="72" t="s">
        <v>181</v>
      </c>
      <c r="H28" s="208">
        <f>ROUND(1,2)</f>
        <v>1</v>
      </c>
      <c r="I28" s="72" t="s">
        <v>126</v>
      </c>
      <c r="J28" s="74" t="s">
        <v>127</v>
      </c>
      <c r="L28" s="17">
        <f t="shared" si="0"/>
        <v>46163</v>
      </c>
    </row>
    <row r="29" spans="1:12" ht="27.75">
      <c r="A29" s="72" t="s">
        <v>33</v>
      </c>
      <c r="B29" s="72" t="s">
        <v>179</v>
      </c>
      <c r="C29" s="72" t="s">
        <v>164</v>
      </c>
      <c r="D29" s="72" t="s">
        <v>123</v>
      </c>
      <c r="E29" s="72" t="s">
        <v>124</v>
      </c>
      <c r="F29" s="72" t="s">
        <v>182</v>
      </c>
      <c r="G29" s="72" t="s">
        <v>183</v>
      </c>
      <c r="H29" s="208">
        <f>ROUND(1,2)</f>
        <v>1</v>
      </c>
      <c r="I29" s="72" t="s">
        <v>126</v>
      </c>
      <c r="J29" s="74" t="s">
        <v>127</v>
      </c>
      <c r="L29" s="17">
        <f t="shared" si="0"/>
        <v>46029</v>
      </c>
    </row>
    <row r="30" spans="1:12" ht="27.75">
      <c r="A30" s="72" t="s">
        <v>33</v>
      </c>
      <c r="B30" s="72" t="s">
        <v>179</v>
      </c>
      <c r="C30" s="72" t="s">
        <v>164</v>
      </c>
      <c r="D30" s="72" t="s">
        <v>123</v>
      </c>
      <c r="E30" s="72" t="s">
        <v>124</v>
      </c>
      <c r="F30" s="72" t="s">
        <v>161</v>
      </c>
      <c r="G30" s="72" t="s">
        <v>184</v>
      </c>
      <c r="H30" s="208">
        <f>ROUND(1,2)</f>
        <v>1</v>
      </c>
      <c r="I30" s="72" t="s">
        <v>126</v>
      </c>
      <c r="J30" s="74" t="s">
        <v>127</v>
      </c>
      <c r="L30" s="17">
        <f t="shared" si="0"/>
        <v>46162</v>
      </c>
    </row>
    <row r="31" spans="1:12" ht="27.75">
      <c r="A31" s="72" t="s">
        <v>33</v>
      </c>
      <c r="B31" s="72" t="s">
        <v>179</v>
      </c>
      <c r="C31" s="72" t="s">
        <v>164</v>
      </c>
      <c r="D31" s="72" t="s">
        <v>123</v>
      </c>
      <c r="E31" s="72" t="s">
        <v>124</v>
      </c>
      <c r="F31" s="72" t="s">
        <v>161</v>
      </c>
      <c r="G31" s="72" t="s">
        <v>185</v>
      </c>
      <c r="H31" s="208">
        <f>ROUND(1,2)</f>
        <v>1</v>
      </c>
      <c r="I31" s="72" t="s">
        <v>126</v>
      </c>
      <c r="J31" s="74" t="s">
        <v>127</v>
      </c>
      <c r="L31" s="17">
        <f t="shared" si="0"/>
        <v>46164</v>
      </c>
    </row>
    <row r="32" spans="1:12" ht="27.75">
      <c r="A32" s="72" t="s">
        <v>67</v>
      </c>
      <c r="B32" s="72" t="s">
        <v>186</v>
      </c>
      <c r="C32" s="72" t="s">
        <v>122</v>
      </c>
      <c r="D32" s="72" t="s">
        <v>165</v>
      </c>
      <c r="E32" s="72" t="s">
        <v>124</v>
      </c>
      <c r="F32" s="72" t="s">
        <v>187</v>
      </c>
      <c r="G32" s="72" t="s">
        <v>188</v>
      </c>
      <c r="H32" s="208">
        <f>ROUND(1,2)</f>
        <v>1</v>
      </c>
      <c r="I32" s="72" t="s">
        <v>126</v>
      </c>
      <c r="J32" s="74" t="s">
        <v>127</v>
      </c>
      <c r="L32" s="17">
        <f t="shared" si="0"/>
        <v>46071</v>
      </c>
    </row>
    <row r="33" spans="1:12" ht="27.75">
      <c r="A33" s="72" t="s">
        <v>67</v>
      </c>
      <c r="B33" s="72" t="s">
        <v>186</v>
      </c>
      <c r="C33" s="72" t="s">
        <v>122</v>
      </c>
      <c r="D33" s="72" t="s">
        <v>165</v>
      </c>
      <c r="E33" s="72" t="s">
        <v>124</v>
      </c>
      <c r="F33" s="72" t="s">
        <v>147</v>
      </c>
      <c r="G33" s="72" t="s">
        <v>189</v>
      </c>
      <c r="H33" s="208">
        <f>ROUND(0.5,2)</f>
        <v>0.5</v>
      </c>
      <c r="I33" s="72" t="s">
        <v>126</v>
      </c>
      <c r="J33" s="74" t="s">
        <v>142</v>
      </c>
      <c r="L33" s="17">
        <f t="shared" si="0"/>
        <v>46099</v>
      </c>
    </row>
    <row r="34" spans="1:12" ht="27.75">
      <c r="A34" s="72" t="s">
        <v>190</v>
      </c>
      <c r="B34" s="72" t="s">
        <v>191</v>
      </c>
      <c r="C34" s="72" t="s">
        <v>192</v>
      </c>
      <c r="D34" s="72" t="s">
        <v>131</v>
      </c>
      <c r="E34" s="72" t="s">
        <v>124</v>
      </c>
      <c r="F34" s="72" t="s">
        <v>177</v>
      </c>
      <c r="G34" s="72" t="s">
        <v>135</v>
      </c>
      <c r="H34" s="208">
        <f>ROUND(7.58,2)</f>
        <v>7.58</v>
      </c>
      <c r="I34" s="72" t="s">
        <v>134</v>
      </c>
      <c r="J34" s="74" t="s">
        <v>127</v>
      </c>
      <c r="L34" s="17">
        <f t="shared" si="0"/>
        <v>46035</v>
      </c>
    </row>
    <row r="35" spans="1:12" ht="27.75">
      <c r="A35" s="72" t="s">
        <v>190</v>
      </c>
      <c r="B35" s="72" t="s">
        <v>191</v>
      </c>
      <c r="C35" s="72" t="s">
        <v>192</v>
      </c>
      <c r="D35" s="72" t="s">
        <v>131</v>
      </c>
      <c r="E35" s="72" t="s">
        <v>124</v>
      </c>
      <c r="F35" s="72" t="s">
        <v>132</v>
      </c>
      <c r="G35" s="72" t="s">
        <v>136</v>
      </c>
      <c r="H35" s="208">
        <f>ROUND(7.5,2)</f>
        <v>7.5</v>
      </c>
      <c r="I35" s="72" t="s">
        <v>134</v>
      </c>
      <c r="J35" s="74" t="s">
        <v>127</v>
      </c>
      <c r="L35" s="17">
        <f t="shared" si="0"/>
        <v>46038</v>
      </c>
    </row>
    <row r="36" spans="1:12" ht="27.75">
      <c r="A36" s="72" t="s">
        <v>190</v>
      </c>
      <c r="B36" s="72" t="s">
        <v>191</v>
      </c>
      <c r="C36" s="72" t="s">
        <v>192</v>
      </c>
      <c r="D36" s="72" t="s">
        <v>131</v>
      </c>
      <c r="E36" s="72" t="s">
        <v>124</v>
      </c>
      <c r="F36" s="72" t="s">
        <v>193</v>
      </c>
      <c r="G36" s="72" t="s">
        <v>194</v>
      </c>
      <c r="H36" s="208">
        <f>ROUND(7.5,2)</f>
        <v>7.5</v>
      </c>
      <c r="I36" s="72" t="s">
        <v>134</v>
      </c>
      <c r="J36" s="74" t="s">
        <v>127</v>
      </c>
      <c r="L36" s="17">
        <f t="shared" si="0"/>
        <v>46049</v>
      </c>
    </row>
    <row r="37" spans="1:12" ht="27.75">
      <c r="A37" s="72" t="s">
        <v>190</v>
      </c>
      <c r="B37" s="72" t="s">
        <v>191</v>
      </c>
      <c r="C37" s="72" t="s">
        <v>192</v>
      </c>
      <c r="D37" s="72" t="s">
        <v>131</v>
      </c>
      <c r="E37" s="72" t="s">
        <v>124</v>
      </c>
      <c r="F37" s="72" t="s">
        <v>140</v>
      </c>
      <c r="G37" s="72" t="s">
        <v>140</v>
      </c>
      <c r="H37" s="208">
        <f>ROUND(7.5,2)</f>
        <v>7.5</v>
      </c>
      <c r="I37" s="72" t="s">
        <v>134</v>
      </c>
      <c r="J37" s="74" t="s">
        <v>127</v>
      </c>
      <c r="L37" s="17">
        <f t="shared" si="0"/>
        <v>46091</v>
      </c>
    </row>
    <row r="38" spans="1:12" ht="27.75">
      <c r="A38" s="72" t="s">
        <v>190</v>
      </c>
      <c r="B38" s="72" t="s">
        <v>191</v>
      </c>
      <c r="C38" s="72" t="s">
        <v>192</v>
      </c>
      <c r="D38" s="72" t="s">
        <v>131</v>
      </c>
      <c r="E38" s="72" t="s">
        <v>124</v>
      </c>
      <c r="F38" s="72" t="s">
        <v>193</v>
      </c>
      <c r="G38" s="72" t="s">
        <v>195</v>
      </c>
      <c r="H38" s="208">
        <f>ROUND(7.5,2)</f>
        <v>7.5</v>
      </c>
      <c r="I38" s="72" t="s">
        <v>134</v>
      </c>
      <c r="J38" s="74" t="s">
        <v>127</v>
      </c>
      <c r="L38" s="17">
        <f t="shared" si="0"/>
        <v>46066</v>
      </c>
    </row>
    <row r="39" spans="1:12" ht="27.75">
      <c r="A39" s="72" t="s">
        <v>190</v>
      </c>
      <c r="B39" s="72" t="s">
        <v>191</v>
      </c>
      <c r="C39" s="72" t="s">
        <v>192</v>
      </c>
      <c r="D39" s="72" t="s">
        <v>131</v>
      </c>
      <c r="E39" s="72" t="s">
        <v>124</v>
      </c>
      <c r="F39" s="72" t="s">
        <v>132</v>
      </c>
      <c r="G39" s="72" t="s">
        <v>196</v>
      </c>
      <c r="H39" s="208">
        <f>ROUND(7.5,2)</f>
        <v>7.5</v>
      </c>
      <c r="I39" s="72" t="s">
        <v>134</v>
      </c>
      <c r="J39" s="74" t="s">
        <v>127</v>
      </c>
      <c r="L39" s="17">
        <f t="shared" si="0"/>
        <v>46079</v>
      </c>
    </row>
    <row r="40" spans="1:12" ht="27.75">
      <c r="A40" s="72" t="s">
        <v>43</v>
      </c>
      <c r="B40" s="72" t="s">
        <v>197</v>
      </c>
      <c r="C40" s="72" t="s">
        <v>164</v>
      </c>
      <c r="D40" s="72" t="s">
        <v>165</v>
      </c>
      <c r="E40" s="72" t="s">
        <v>124</v>
      </c>
      <c r="F40" s="72" t="s">
        <v>145</v>
      </c>
      <c r="G40" s="72" t="s">
        <v>198</v>
      </c>
      <c r="H40" s="208">
        <f>ROUND(1,2)</f>
        <v>1</v>
      </c>
      <c r="I40" s="72" t="s">
        <v>126</v>
      </c>
      <c r="J40" s="74" t="s">
        <v>142</v>
      </c>
      <c r="L40" s="17">
        <f t="shared" si="0"/>
        <v>46108</v>
      </c>
    </row>
    <row r="41" spans="1:12" ht="27.75">
      <c r="A41" s="72" t="s">
        <v>43</v>
      </c>
      <c r="B41" s="72" t="s">
        <v>197</v>
      </c>
      <c r="C41" s="72" t="s">
        <v>164</v>
      </c>
      <c r="D41" s="72" t="s">
        <v>165</v>
      </c>
      <c r="E41" s="72" t="s">
        <v>124</v>
      </c>
      <c r="F41" s="72" t="s">
        <v>136</v>
      </c>
      <c r="G41" s="72" t="s">
        <v>199</v>
      </c>
      <c r="H41" s="208">
        <f>ROUND(1,2)</f>
        <v>1</v>
      </c>
      <c r="I41" s="72" t="s">
        <v>126</v>
      </c>
      <c r="J41" s="74" t="s">
        <v>127</v>
      </c>
      <c r="L41" s="17">
        <f t="shared" si="0"/>
        <v>46052</v>
      </c>
    </row>
    <row r="42" spans="1:12" ht="27.75">
      <c r="A42" s="72" t="s">
        <v>43</v>
      </c>
      <c r="B42" s="72" t="s">
        <v>197</v>
      </c>
      <c r="C42" s="72" t="s">
        <v>164</v>
      </c>
      <c r="D42" s="72" t="s">
        <v>165</v>
      </c>
      <c r="E42" s="72" t="s">
        <v>124</v>
      </c>
      <c r="F42" s="72" t="s">
        <v>135</v>
      </c>
      <c r="G42" s="72" t="s">
        <v>200</v>
      </c>
      <c r="H42" s="208">
        <f>ROUND(1,2)</f>
        <v>1</v>
      </c>
      <c r="I42" s="72" t="s">
        <v>126</v>
      </c>
      <c r="J42" s="74" t="s">
        <v>127</v>
      </c>
      <c r="L42" s="17">
        <f t="shared" si="0"/>
        <v>46062</v>
      </c>
    </row>
    <row r="43" spans="1:12" ht="27.75">
      <c r="A43" s="72" t="s">
        <v>43</v>
      </c>
      <c r="B43" s="72" t="s">
        <v>197</v>
      </c>
      <c r="C43" s="72" t="s">
        <v>164</v>
      </c>
      <c r="D43" s="72" t="s">
        <v>165</v>
      </c>
      <c r="E43" s="72" t="s">
        <v>124</v>
      </c>
      <c r="F43" s="72" t="s">
        <v>187</v>
      </c>
      <c r="G43" s="72" t="s">
        <v>152</v>
      </c>
      <c r="H43" s="208">
        <f>ROUND(1,2)</f>
        <v>1</v>
      </c>
      <c r="I43" s="72" t="s">
        <v>126</v>
      </c>
      <c r="J43" s="74" t="s">
        <v>127</v>
      </c>
      <c r="L43" s="17">
        <f t="shared" si="0"/>
        <v>46076</v>
      </c>
    </row>
    <row r="44" spans="1:12" ht="27.75">
      <c r="A44" s="72" t="s">
        <v>43</v>
      </c>
      <c r="B44" s="72" t="s">
        <v>197</v>
      </c>
      <c r="C44" s="72" t="s">
        <v>164</v>
      </c>
      <c r="D44" s="72" t="s">
        <v>165</v>
      </c>
      <c r="E44" s="72" t="s">
        <v>124</v>
      </c>
      <c r="F44" s="72" t="s">
        <v>201</v>
      </c>
      <c r="G44" s="72" t="s">
        <v>202</v>
      </c>
      <c r="H44" s="208">
        <f>ROUND(1,2)</f>
        <v>1</v>
      </c>
      <c r="I44" s="72" t="s">
        <v>126</v>
      </c>
      <c r="J44" s="74" t="s">
        <v>127</v>
      </c>
      <c r="L44" s="17">
        <f t="shared" si="0"/>
        <v>46238</v>
      </c>
    </row>
    <row r="45" spans="1:12" ht="27.75">
      <c r="A45" s="72" t="s">
        <v>43</v>
      </c>
      <c r="B45" s="72" t="s">
        <v>197</v>
      </c>
      <c r="C45" s="72" t="s">
        <v>164</v>
      </c>
      <c r="D45" s="72" t="s">
        <v>165</v>
      </c>
      <c r="E45" s="72" t="s">
        <v>124</v>
      </c>
      <c r="F45" s="72" t="s">
        <v>201</v>
      </c>
      <c r="G45" s="72" t="s">
        <v>203</v>
      </c>
      <c r="H45" s="208">
        <f>ROUND(1,2)</f>
        <v>1</v>
      </c>
      <c r="I45" s="72" t="s">
        <v>126</v>
      </c>
      <c r="J45" s="74" t="s">
        <v>127</v>
      </c>
      <c r="L45" s="17">
        <f t="shared" si="0"/>
        <v>46239</v>
      </c>
    </row>
    <row r="46" spans="1:12" ht="27.75">
      <c r="A46" s="72" t="s">
        <v>204</v>
      </c>
      <c r="B46" s="72" t="s">
        <v>205</v>
      </c>
      <c r="C46" s="72" t="s">
        <v>192</v>
      </c>
      <c r="D46" s="72" t="s">
        <v>131</v>
      </c>
      <c r="E46" s="72" t="s">
        <v>124</v>
      </c>
      <c r="F46" s="72" t="s">
        <v>206</v>
      </c>
      <c r="G46" s="72" t="s">
        <v>167</v>
      </c>
      <c r="H46" s="208">
        <f>ROUND(7.5,2)</f>
        <v>7.5</v>
      </c>
      <c r="I46" s="72" t="s">
        <v>134</v>
      </c>
      <c r="J46" s="74" t="s">
        <v>127</v>
      </c>
      <c r="L46" s="17">
        <f t="shared" si="0"/>
        <v>46024</v>
      </c>
    </row>
    <row r="47" spans="1:12" ht="27.75">
      <c r="A47" s="72" t="s">
        <v>204</v>
      </c>
      <c r="B47" s="72" t="s">
        <v>205</v>
      </c>
      <c r="C47" s="72" t="s">
        <v>192</v>
      </c>
      <c r="D47" s="72" t="s">
        <v>131</v>
      </c>
      <c r="E47" s="72" t="s">
        <v>124</v>
      </c>
      <c r="F47" s="72" t="s">
        <v>207</v>
      </c>
      <c r="G47" s="72" t="s">
        <v>208</v>
      </c>
      <c r="H47" s="208">
        <f>ROUND(7.5,2)</f>
        <v>7.5</v>
      </c>
      <c r="I47" s="72" t="s">
        <v>134</v>
      </c>
      <c r="J47" s="74" t="s">
        <v>127</v>
      </c>
      <c r="L47" s="17">
        <f t="shared" si="0"/>
        <v>46043</v>
      </c>
    </row>
    <row r="48" spans="1:12" ht="27.75">
      <c r="A48" s="72" t="s">
        <v>76</v>
      </c>
      <c r="B48" s="72" t="s">
        <v>209</v>
      </c>
      <c r="C48" s="72" t="s">
        <v>149</v>
      </c>
      <c r="D48" s="72" t="s">
        <v>165</v>
      </c>
      <c r="E48" s="72" t="s">
        <v>124</v>
      </c>
      <c r="F48" s="72" t="s">
        <v>162</v>
      </c>
      <c r="G48" s="72" t="s">
        <v>200</v>
      </c>
      <c r="H48" s="208">
        <f>ROUND(1,2)</f>
        <v>1</v>
      </c>
      <c r="I48" s="72" t="s">
        <v>126</v>
      </c>
      <c r="J48" s="74" t="s">
        <v>127</v>
      </c>
      <c r="L48" s="17">
        <f t="shared" si="0"/>
        <v>46062</v>
      </c>
    </row>
    <row r="49" spans="1:12" ht="27.75">
      <c r="A49" s="72" t="s">
        <v>76</v>
      </c>
      <c r="B49" s="72" t="s">
        <v>209</v>
      </c>
      <c r="C49" s="72" t="s">
        <v>149</v>
      </c>
      <c r="D49" s="72" t="s">
        <v>165</v>
      </c>
      <c r="E49" s="72" t="s">
        <v>124</v>
      </c>
      <c r="F49" s="72" t="s">
        <v>162</v>
      </c>
      <c r="G49" s="72" t="s">
        <v>210</v>
      </c>
      <c r="H49" s="208">
        <f>ROUND(1,2)</f>
        <v>1</v>
      </c>
      <c r="I49" s="72" t="s">
        <v>126</v>
      </c>
      <c r="J49" s="74" t="s">
        <v>127</v>
      </c>
      <c r="L49" s="17">
        <f t="shared" si="0"/>
        <v>46063</v>
      </c>
    </row>
    <row r="50" spans="1:12" ht="27.75">
      <c r="A50" s="72" t="s">
        <v>76</v>
      </c>
      <c r="B50" s="72" t="s">
        <v>209</v>
      </c>
      <c r="C50" s="72" t="s">
        <v>149</v>
      </c>
      <c r="D50" s="72" t="s">
        <v>165</v>
      </c>
      <c r="E50" s="72" t="s">
        <v>124</v>
      </c>
      <c r="F50" s="72" t="s">
        <v>162</v>
      </c>
      <c r="G50" s="72" t="s">
        <v>211</v>
      </c>
      <c r="H50" s="208">
        <f>ROUND(1,2)</f>
        <v>1</v>
      </c>
      <c r="I50" s="72" t="s">
        <v>126</v>
      </c>
      <c r="J50" s="74" t="s">
        <v>127</v>
      </c>
      <c r="L50" s="17">
        <f t="shared" si="0"/>
        <v>46065</v>
      </c>
    </row>
    <row r="51" spans="1:12" ht="27.75">
      <c r="A51" s="72" t="s">
        <v>76</v>
      </c>
      <c r="B51" s="72" t="s">
        <v>209</v>
      </c>
      <c r="C51" s="72" t="s">
        <v>149</v>
      </c>
      <c r="D51" s="72" t="s">
        <v>165</v>
      </c>
      <c r="E51" s="72" t="s">
        <v>124</v>
      </c>
      <c r="F51" s="72" t="s">
        <v>162</v>
      </c>
      <c r="G51" s="72" t="s">
        <v>195</v>
      </c>
      <c r="H51" s="208">
        <f>ROUND(1,2)</f>
        <v>1</v>
      </c>
      <c r="I51" s="72" t="s">
        <v>126</v>
      </c>
      <c r="J51" s="74" t="s">
        <v>127</v>
      </c>
      <c r="L51" s="17">
        <f t="shared" si="0"/>
        <v>46066</v>
      </c>
    </row>
    <row r="52" spans="1:12" ht="27.75">
      <c r="A52" s="72" t="s">
        <v>76</v>
      </c>
      <c r="B52" s="72" t="s">
        <v>209</v>
      </c>
      <c r="C52" s="72" t="s">
        <v>149</v>
      </c>
      <c r="D52" s="72" t="s">
        <v>165</v>
      </c>
      <c r="E52" s="72" t="s">
        <v>124</v>
      </c>
      <c r="F52" s="72" t="s">
        <v>162</v>
      </c>
      <c r="G52" s="72" t="s">
        <v>212</v>
      </c>
      <c r="H52" s="208">
        <f>ROUND(1,2)</f>
        <v>1</v>
      </c>
      <c r="I52" s="72" t="s">
        <v>126</v>
      </c>
      <c r="J52" s="74" t="s">
        <v>127</v>
      </c>
      <c r="L52" s="17">
        <f t="shared" si="0"/>
        <v>46064</v>
      </c>
    </row>
    <row r="53" spans="1:12" ht="27.75">
      <c r="A53" s="72" t="s">
        <v>213</v>
      </c>
      <c r="B53" s="72" t="s">
        <v>214</v>
      </c>
      <c r="C53" s="72" t="s">
        <v>130</v>
      </c>
      <c r="D53" s="72" t="s">
        <v>215</v>
      </c>
      <c r="E53" s="72" t="s">
        <v>124</v>
      </c>
      <c r="F53" s="72" t="s">
        <v>200</v>
      </c>
      <c r="G53" s="72" t="s">
        <v>210</v>
      </c>
      <c r="H53" s="208">
        <f>ROUND(7.5,2)</f>
        <v>7.5</v>
      </c>
      <c r="I53" s="72" t="s">
        <v>134</v>
      </c>
      <c r="J53" s="74" t="s">
        <v>127</v>
      </c>
      <c r="L53" s="17">
        <f t="shared" si="0"/>
        <v>46063</v>
      </c>
    </row>
    <row r="54" spans="1:12" ht="27.75">
      <c r="A54" s="72" t="s">
        <v>213</v>
      </c>
      <c r="B54" s="72" t="s">
        <v>214</v>
      </c>
      <c r="C54" s="72" t="s">
        <v>130</v>
      </c>
      <c r="D54" s="72" t="s">
        <v>215</v>
      </c>
      <c r="E54" s="72" t="s">
        <v>124</v>
      </c>
      <c r="F54" s="72" t="s">
        <v>216</v>
      </c>
      <c r="G54" s="72" t="s">
        <v>173</v>
      </c>
      <c r="H54" s="208">
        <f>ROUND(7.5,2)</f>
        <v>7.5</v>
      </c>
      <c r="I54" s="72" t="s">
        <v>134</v>
      </c>
      <c r="J54" s="74" t="s">
        <v>127</v>
      </c>
      <c r="L54" s="17">
        <f t="shared" si="0"/>
        <v>46073</v>
      </c>
    </row>
    <row r="55" spans="1:12" ht="27.75">
      <c r="A55" s="72" t="s">
        <v>72</v>
      </c>
      <c r="B55" s="72" t="s">
        <v>217</v>
      </c>
      <c r="C55" s="72" t="s">
        <v>122</v>
      </c>
      <c r="D55" s="72" t="s">
        <v>139</v>
      </c>
      <c r="E55" s="72" t="s">
        <v>124</v>
      </c>
      <c r="F55" s="72" t="s">
        <v>147</v>
      </c>
      <c r="G55" s="72" t="s">
        <v>218</v>
      </c>
      <c r="H55" s="208">
        <f>ROUND(1,2)</f>
        <v>1</v>
      </c>
      <c r="I55" s="72" t="s">
        <v>126</v>
      </c>
      <c r="J55" s="74" t="s">
        <v>142</v>
      </c>
      <c r="L55" s="17">
        <f t="shared" si="0"/>
        <v>46234</v>
      </c>
    </row>
    <row r="56" spans="1:12" ht="27.75">
      <c r="A56" s="72" t="s">
        <v>72</v>
      </c>
      <c r="B56" s="72" t="s">
        <v>217</v>
      </c>
      <c r="C56" s="72" t="s">
        <v>122</v>
      </c>
      <c r="D56" s="72" t="s">
        <v>139</v>
      </c>
      <c r="E56" s="72" t="s">
        <v>124</v>
      </c>
      <c r="F56" s="72" t="s">
        <v>147</v>
      </c>
      <c r="G56" s="72" t="s">
        <v>219</v>
      </c>
      <c r="H56" s="208">
        <f>ROUND(1,2)</f>
        <v>1</v>
      </c>
      <c r="I56" s="72" t="s">
        <v>126</v>
      </c>
      <c r="J56" s="74" t="s">
        <v>142</v>
      </c>
      <c r="L56" s="17">
        <f t="shared" si="0"/>
        <v>46230</v>
      </c>
    </row>
    <row r="57" spans="1:12" ht="27.75">
      <c r="A57" s="72" t="s">
        <v>72</v>
      </c>
      <c r="B57" s="72" t="s">
        <v>217</v>
      </c>
      <c r="C57" s="72" t="s">
        <v>122</v>
      </c>
      <c r="D57" s="72" t="s">
        <v>139</v>
      </c>
      <c r="E57" s="72" t="s">
        <v>124</v>
      </c>
      <c r="F57" s="72" t="s">
        <v>147</v>
      </c>
      <c r="G57" s="72" t="s">
        <v>220</v>
      </c>
      <c r="H57" s="208">
        <f>ROUND(1,2)</f>
        <v>1</v>
      </c>
      <c r="I57" s="72" t="s">
        <v>126</v>
      </c>
      <c r="J57" s="74" t="s">
        <v>142</v>
      </c>
      <c r="L57" s="17">
        <f t="shared" si="0"/>
        <v>46233</v>
      </c>
    </row>
    <row r="58" spans="1:12" ht="27.75">
      <c r="A58" s="72" t="s">
        <v>72</v>
      </c>
      <c r="B58" s="72" t="s">
        <v>217</v>
      </c>
      <c r="C58" s="72" t="s">
        <v>122</v>
      </c>
      <c r="D58" s="72" t="s">
        <v>139</v>
      </c>
      <c r="E58" s="72" t="s">
        <v>124</v>
      </c>
      <c r="F58" s="72" t="s">
        <v>136</v>
      </c>
      <c r="G58" s="72" t="s">
        <v>195</v>
      </c>
      <c r="H58" s="208">
        <f>ROUND(1,2)</f>
        <v>1</v>
      </c>
      <c r="I58" s="72" t="s">
        <v>126</v>
      </c>
      <c r="J58" s="74" t="s">
        <v>127</v>
      </c>
      <c r="L58" s="17">
        <f t="shared" si="0"/>
        <v>46066</v>
      </c>
    </row>
    <row r="59" spans="1:12" ht="27.75">
      <c r="A59" s="72" t="s">
        <v>72</v>
      </c>
      <c r="B59" s="72" t="s">
        <v>217</v>
      </c>
      <c r="C59" s="72" t="s">
        <v>122</v>
      </c>
      <c r="D59" s="72" t="s">
        <v>139</v>
      </c>
      <c r="E59" s="72" t="s">
        <v>124</v>
      </c>
      <c r="F59" s="72" t="s">
        <v>147</v>
      </c>
      <c r="G59" s="72" t="s">
        <v>221</v>
      </c>
      <c r="H59" s="208">
        <f>ROUND(1,2)</f>
        <v>1</v>
      </c>
      <c r="I59" s="72" t="s">
        <v>126</v>
      </c>
      <c r="J59" s="74" t="s">
        <v>142</v>
      </c>
      <c r="L59" s="17">
        <f t="shared" si="0"/>
        <v>46231</v>
      </c>
    </row>
    <row r="60" spans="1:12" ht="27.75">
      <c r="A60" s="72" t="s">
        <v>72</v>
      </c>
      <c r="B60" s="72" t="s">
        <v>217</v>
      </c>
      <c r="C60" s="72" t="s">
        <v>122</v>
      </c>
      <c r="D60" s="72" t="s">
        <v>139</v>
      </c>
      <c r="E60" s="72" t="s">
        <v>124</v>
      </c>
      <c r="F60" s="72" t="s">
        <v>147</v>
      </c>
      <c r="G60" s="72" t="s">
        <v>222</v>
      </c>
      <c r="H60" s="208">
        <f>ROUND(1,2)</f>
        <v>1</v>
      </c>
      <c r="I60" s="72" t="s">
        <v>126</v>
      </c>
      <c r="J60" s="74" t="s">
        <v>142</v>
      </c>
      <c r="L60" s="17">
        <f t="shared" si="0"/>
        <v>46232</v>
      </c>
    </row>
    <row r="61" spans="1:12" ht="27.75">
      <c r="A61" s="72" t="s">
        <v>48</v>
      </c>
      <c r="B61" s="72" t="s">
        <v>223</v>
      </c>
      <c r="C61" s="72" t="s">
        <v>224</v>
      </c>
      <c r="D61" s="72" t="s">
        <v>165</v>
      </c>
      <c r="E61" s="72" t="s">
        <v>124</v>
      </c>
      <c r="F61" s="72" t="s">
        <v>172</v>
      </c>
      <c r="G61" s="72" t="s">
        <v>225</v>
      </c>
      <c r="H61" s="208">
        <f>ROUND(1,2)</f>
        <v>1</v>
      </c>
      <c r="I61" s="72" t="s">
        <v>126</v>
      </c>
      <c r="J61" s="74" t="s">
        <v>127</v>
      </c>
      <c r="L61" s="17">
        <f t="shared" si="0"/>
        <v>46087</v>
      </c>
    </row>
    <row r="62" spans="1:12" ht="27.75">
      <c r="A62" s="72" t="s">
        <v>80</v>
      </c>
      <c r="B62" s="72" t="s">
        <v>226</v>
      </c>
      <c r="C62" s="72" t="s">
        <v>149</v>
      </c>
      <c r="D62" s="72" t="s">
        <v>139</v>
      </c>
      <c r="E62" s="72" t="s">
        <v>124</v>
      </c>
      <c r="F62" s="72" t="s">
        <v>227</v>
      </c>
      <c r="G62" s="72" t="s">
        <v>147</v>
      </c>
      <c r="H62" s="208">
        <f>ROUND(1,2)</f>
        <v>1</v>
      </c>
      <c r="I62" s="72" t="s">
        <v>126</v>
      </c>
      <c r="J62" s="74" t="s">
        <v>127</v>
      </c>
      <c r="L62" s="17">
        <f t="shared" si="0"/>
        <v>46097</v>
      </c>
    </row>
    <row r="63" spans="1:12" ht="27.75">
      <c r="A63" s="72" t="s">
        <v>80</v>
      </c>
      <c r="B63" s="72" t="s">
        <v>226</v>
      </c>
      <c r="C63" s="72" t="s">
        <v>149</v>
      </c>
      <c r="D63" s="72" t="s">
        <v>139</v>
      </c>
      <c r="E63" s="72" t="s">
        <v>124</v>
      </c>
      <c r="F63" s="72" t="s">
        <v>227</v>
      </c>
      <c r="G63" s="72" t="s">
        <v>228</v>
      </c>
      <c r="H63" s="208">
        <f>ROUND(1,2)</f>
        <v>1</v>
      </c>
      <c r="I63" s="72" t="s">
        <v>126</v>
      </c>
      <c r="J63" s="74" t="s">
        <v>127</v>
      </c>
      <c r="L63" s="17">
        <f t="shared" si="0"/>
        <v>46100</v>
      </c>
    </row>
    <row r="64" spans="1:12" ht="27.75">
      <c r="A64" s="72" t="s">
        <v>80</v>
      </c>
      <c r="B64" s="72" t="s">
        <v>226</v>
      </c>
      <c r="C64" s="72" t="s">
        <v>149</v>
      </c>
      <c r="D64" s="72" t="s">
        <v>139</v>
      </c>
      <c r="E64" s="72" t="s">
        <v>124</v>
      </c>
      <c r="F64" s="72" t="s">
        <v>227</v>
      </c>
      <c r="G64" s="72" t="s">
        <v>229</v>
      </c>
      <c r="H64" s="208">
        <f>ROUND(1,2)</f>
        <v>1</v>
      </c>
      <c r="I64" s="72" t="s">
        <v>126</v>
      </c>
      <c r="J64" s="74" t="s">
        <v>127</v>
      </c>
      <c r="L64" s="17">
        <f t="shared" ref="L64:L123" si="1">DATE(RIGHT(G64,4), MID(G64,4,2), LEFT(G64,2))</f>
        <v>46098</v>
      </c>
    </row>
    <row r="65" spans="1:12" ht="27.75">
      <c r="A65" s="72" t="s">
        <v>80</v>
      </c>
      <c r="B65" s="72" t="s">
        <v>226</v>
      </c>
      <c r="C65" s="72" t="s">
        <v>149</v>
      </c>
      <c r="D65" s="72" t="s">
        <v>139</v>
      </c>
      <c r="E65" s="72" t="s">
        <v>124</v>
      </c>
      <c r="F65" s="72" t="s">
        <v>227</v>
      </c>
      <c r="G65" s="72" t="s">
        <v>189</v>
      </c>
      <c r="H65" s="208">
        <f>ROUND(1,2)</f>
        <v>1</v>
      </c>
      <c r="I65" s="72" t="s">
        <v>126</v>
      </c>
      <c r="J65" s="74" t="s">
        <v>127</v>
      </c>
      <c r="L65" s="17">
        <f t="shared" si="1"/>
        <v>46099</v>
      </c>
    </row>
    <row r="66" spans="1:12" ht="27.75">
      <c r="A66" s="72" t="s">
        <v>80</v>
      </c>
      <c r="B66" s="72" t="s">
        <v>226</v>
      </c>
      <c r="C66" s="72" t="s">
        <v>149</v>
      </c>
      <c r="D66" s="72" t="s">
        <v>139</v>
      </c>
      <c r="E66" s="72" t="s">
        <v>124</v>
      </c>
      <c r="F66" s="72" t="s">
        <v>227</v>
      </c>
      <c r="G66" s="72" t="s">
        <v>230</v>
      </c>
      <c r="H66" s="208">
        <f>ROUND(1,2)</f>
        <v>1</v>
      </c>
      <c r="I66" s="72" t="s">
        <v>126</v>
      </c>
      <c r="J66" s="74" t="s">
        <v>127</v>
      </c>
      <c r="L66" s="17">
        <f t="shared" si="1"/>
        <v>46101</v>
      </c>
    </row>
    <row r="67" spans="1:12" ht="27.75">
      <c r="A67" s="72" t="s">
        <v>39</v>
      </c>
      <c r="B67" s="72" t="s">
        <v>231</v>
      </c>
      <c r="C67" s="72" t="s">
        <v>164</v>
      </c>
      <c r="D67" s="72" t="s">
        <v>232</v>
      </c>
      <c r="E67" s="72" t="s">
        <v>124</v>
      </c>
      <c r="F67" s="72" t="s">
        <v>167</v>
      </c>
      <c r="G67" s="72" t="s">
        <v>233</v>
      </c>
      <c r="H67" s="208">
        <f>ROUND(1,2)</f>
        <v>1</v>
      </c>
      <c r="I67" s="72" t="s">
        <v>126</v>
      </c>
      <c r="J67" s="74" t="s">
        <v>127</v>
      </c>
      <c r="L67" s="17">
        <f t="shared" si="1"/>
        <v>46051</v>
      </c>
    </row>
    <row r="68" spans="1:12" ht="27.75">
      <c r="A68" s="72" t="s">
        <v>39</v>
      </c>
      <c r="B68" s="72" t="s">
        <v>231</v>
      </c>
      <c r="C68" s="72" t="s">
        <v>164</v>
      </c>
      <c r="D68" s="72" t="s">
        <v>232</v>
      </c>
      <c r="E68" s="72" t="s">
        <v>124</v>
      </c>
      <c r="F68" s="72" t="s">
        <v>167</v>
      </c>
      <c r="G68" s="72" t="s">
        <v>234</v>
      </c>
      <c r="H68" s="208">
        <f>ROUND(1,2)</f>
        <v>1</v>
      </c>
      <c r="I68" s="72" t="s">
        <v>126</v>
      </c>
      <c r="J68" s="74" t="s">
        <v>127</v>
      </c>
      <c r="L68" s="17">
        <f t="shared" si="1"/>
        <v>46147</v>
      </c>
    </row>
    <row r="69" spans="1:12" ht="27.75">
      <c r="A69" s="72" t="s">
        <v>39</v>
      </c>
      <c r="B69" s="72" t="s">
        <v>231</v>
      </c>
      <c r="C69" s="72" t="s">
        <v>164</v>
      </c>
      <c r="D69" s="72" t="s">
        <v>232</v>
      </c>
      <c r="E69" s="72" t="s">
        <v>124</v>
      </c>
      <c r="F69" s="72" t="s">
        <v>167</v>
      </c>
      <c r="G69" s="72" t="s">
        <v>235</v>
      </c>
      <c r="H69" s="208">
        <f>ROUND(1,2)</f>
        <v>1</v>
      </c>
      <c r="I69" s="72" t="s">
        <v>126</v>
      </c>
      <c r="J69" s="74" t="s">
        <v>127</v>
      </c>
      <c r="L69" s="17">
        <f t="shared" si="1"/>
        <v>46146</v>
      </c>
    </row>
    <row r="70" spans="1:12" ht="27.75">
      <c r="A70" s="72" t="s">
        <v>39</v>
      </c>
      <c r="B70" s="72" t="s">
        <v>231</v>
      </c>
      <c r="C70" s="72" t="s">
        <v>164</v>
      </c>
      <c r="D70" s="72" t="s">
        <v>232</v>
      </c>
      <c r="E70" s="72" t="s">
        <v>124</v>
      </c>
      <c r="F70" s="72" t="s">
        <v>167</v>
      </c>
      <c r="G70" s="72" t="s">
        <v>236</v>
      </c>
      <c r="H70" s="208">
        <f>ROUND(1,2)</f>
        <v>1</v>
      </c>
      <c r="I70" s="72" t="s">
        <v>126</v>
      </c>
      <c r="J70" s="74" t="s">
        <v>127</v>
      </c>
      <c r="L70" s="17">
        <f t="shared" si="1"/>
        <v>46148</v>
      </c>
    </row>
    <row r="71" spans="1:12" ht="27.75">
      <c r="A71" s="72" t="s">
        <v>39</v>
      </c>
      <c r="B71" s="72" t="s">
        <v>231</v>
      </c>
      <c r="C71" s="72" t="s">
        <v>164</v>
      </c>
      <c r="D71" s="72" t="s">
        <v>232</v>
      </c>
      <c r="E71" s="72" t="s">
        <v>124</v>
      </c>
      <c r="F71" s="72" t="s">
        <v>167</v>
      </c>
      <c r="G71" s="72" t="s">
        <v>194</v>
      </c>
      <c r="H71" s="208">
        <f>ROUND(1,2)</f>
        <v>1</v>
      </c>
      <c r="I71" s="72" t="s">
        <v>126</v>
      </c>
      <c r="J71" s="74" t="s">
        <v>127</v>
      </c>
      <c r="L71" s="17">
        <f t="shared" si="1"/>
        <v>46049</v>
      </c>
    </row>
    <row r="72" spans="1:12" ht="27.75">
      <c r="A72" s="72" t="s">
        <v>39</v>
      </c>
      <c r="B72" s="72" t="s">
        <v>231</v>
      </c>
      <c r="C72" s="72" t="s">
        <v>164</v>
      </c>
      <c r="D72" s="72" t="s">
        <v>232</v>
      </c>
      <c r="E72" s="72" t="s">
        <v>124</v>
      </c>
      <c r="F72" s="72" t="s">
        <v>167</v>
      </c>
      <c r="G72" s="72" t="s">
        <v>237</v>
      </c>
      <c r="H72" s="208">
        <f>ROUND(1,2)</f>
        <v>1</v>
      </c>
      <c r="I72" s="72" t="s">
        <v>126</v>
      </c>
      <c r="J72" s="74" t="s">
        <v>127</v>
      </c>
      <c r="L72" s="17">
        <f t="shared" si="1"/>
        <v>46139</v>
      </c>
    </row>
    <row r="73" spans="1:12" ht="27.75">
      <c r="A73" s="72" t="s">
        <v>39</v>
      </c>
      <c r="B73" s="72" t="s">
        <v>231</v>
      </c>
      <c r="C73" s="72" t="s">
        <v>164</v>
      </c>
      <c r="D73" s="72" t="s">
        <v>232</v>
      </c>
      <c r="E73" s="72" t="s">
        <v>124</v>
      </c>
      <c r="F73" s="72" t="s">
        <v>167</v>
      </c>
      <c r="G73" s="72" t="s">
        <v>238</v>
      </c>
      <c r="H73" s="208">
        <f>ROUND(1,2)</f>
        <v>1</v>
      </c>
      <c r="I73" s="72" t="s">
        <v>126</v>
      </c>
      <c r="J73" s="74" t="s">
        <v>127</v>
      </c>
      <c r="L73" s="17">
        <f t="shared" si="1"/>
        <v>46149</v>
      </c>
    </row>
    <row r="74" spans="1:12" ht="27.75">
      <c r="A74" s="72" t="s">
        <v>39</v>
      </c>
      <c r="B74" s="72" t="s">
        <v>231</v>
      </c>
      <c r="C74" s="72" t="s">
        <v>164</v>
      </c>
      <c r="D74" s="72" t="s">
        <v>232</v>
      </c>
      <c r="E74" s="72" t="s">
        <v>124</v>
      </c>
      <c r="F74" s="72" t="s">
        <v>167</v>
      </c>
      <c r="G74" s="72" t="s">
        <v>239</v>
      </c>
      <c r="H74" s="208">
        <f>ROUND(1,2)</f>
        <v>1</v>
      </c>
      <c r="I74" s="72" t="s">
        <v>126</v>
      </c>
      <c r="J74" s="74" t="s">
        <v>127</v>
      </c>
      <c r="L74" s="17">
        <f t="shared" si="1"/>
        <v>46050</v>
      </c>
    </row>
    <row r="75" spans="1:12" ht="27.75">
      <c r="A75" s="72" t="s">
        <v>39</v>
      </c>
      <c r="B75" s="72" t="s">
        <v>231</v>
      </c>
      <c r="C75" s="72" t="s">
        <v>164</v>
      </c>
      <c r="D75" s="72" t="s">
        <v>232</v>
      </c>
      <c r="E75" s="72" t="s">
        <v>124</v>
      </c>
      <c r="F75" s="72" t="s">
        <v>167</v>
      </c>
      <c r="G75" s="72" t="s">
        <v>240</v>
      </c>
      <c r="H75" s="208">
        <f>ROUND(1,2)</f>
        <v>1</v>
      </c>
      <c r="I75" s="72" t="s">
        <v>126</v>
      </c>
      <c r="J75" s="74" t="s">
        <v>127</v>
      </c>
      <c r="L75" s="17">
        <f t="shared" si="1"/>
        <v>46142</v>
      </c>
    </row>
    <row r="76" spans="1:12" ht="27.75">
      <c r="A76" s="72" t="s">
        <v>39</v>
      </c>
      <c r="B76" s="72" t="s">
        <v>231</v>
      </c>
      <c r="C76" s="72" t="s">
        <v>164</v>
      </c>
      <c r="D76" s="72" t="s">
        <v>232</v>
      </c>
      <c r="E76" s="72" t="s">
        <v>124</v>
      </c>
      <c r="F76" s="72" t="s">
        <v>167</v>
      </c>
      <c r="G76" s="72" t="s">
        <v>241</v>
      </c>
      <c r="H76" s="208">
        <f>ROUND(1,2)</f>
        <v>1</v>
      </c>
      <c r="I76" s="72" t="s">
        <v>126</v>
      </c>
      <c r="J76" s="74" t="s">
        <v>127</v>
      </c>
      <c r="L76" s="17">
        <f t="shared" si="1"/>
        <v>46048</v>
      </c>
    </row>
    <row r="77" spans="1:12" ht="27.75">
      <c r="A77" s="72" t="s">
        <v>39</v>
      </c>
      <c r="B77" s="72" t="s">
        <v>231</v>
      </c>
      <c r="C77" s="72" t="s">
        <v>164</v>
      </c>
      <c r="D77" s="72" t="s">
        <v>232</v>
      </c>
      <c r="E77" s="72" t="s">
        <v>124</v>
      </c>
      <c r="F77" s="72" t="s">
        <v>167</v>
      </c>
      <c r="G77" s="72" t="s">
        <v>242</v>
      </c>
      <c r="H77" s="208">
        <f>ROUND(1,2)</f>
        <v>1</v>
      </c>
      <c r="I77" s="72" t="s">
        <v>126</v>
      </c>
      <c r="J77" s="74" t="s">
        <v>127</v>
      </c>
      <c r="L77" s="17">
        <f t="shared" si="1"/>
        <v>46140</v>
      </c>
    </row>
    <row r="78" spans="1:12" ht="27.75">
      <c r="A78" s="72" t="s">
        <v>39</v>
      </c>
      <c r="B78" s="72" t="s">
        <v>231</v>
      </c>
      <c r="C78" s="72" t="s">
        <v>164</v>
      </c>
      <c r="D78" s="72" t="s">
        <v>232</v>
      </c>
      <c r="E78" s="72" t="s">
        <v>124</v>
      </c>
      <c r="F78" s="72" t="s">
        <v>167</v>
      </c>
      <c r="G78" s="72" t="s">
        <v>243</v>
      </c>
      <c r="H78" s="208">
        <f>ROUND(1,2)</f>
        <v>1</v>
      </c>
      <c r="I78" s="72" t="s">
        <v>126</v>
      </c>
      <c r="J78" s="74" t="s">
        <v>127</v>
      </c>
      <c r="L78" s="17">
        <f t="shared" si="1"/>
        <v>46141</v>
      </c>
    </row>
    <row r="79" spans="1:12" ht="27.75">
      <c r="A79" s="72" t="s">
        <v>244</v>
      </c>
      <c r="B79" s="72" t="s">
        <v>245</v>
      </c>
      <c r="C79" s="72" t="s">
        <v>192</v>
      </c>
      <c r="D79" s="72" t="s">
        <v>215</v>
      </c>
      <c r="E79" s="72" t="s">
        <v>124</v>
      </c>
      <c r="F79" s="72" t="s">
        <v>125</v>
      </c>
      <c r="G79" s="72" t="s">
        <v>246</v>
      </c>
      <c r="H79" s="208">
        <f>ROUND(7.5,2)</f>
        <v>7.5</v>
      </c>
      <c r="I79" s="72" t="s">
        <v>134</v>
      </c>
      <c r="J79" s="74" t="s">
        <v>127</v>
      </c>
      <c r="L79" s="17">
        <f t="shared" si="1"/>
        <v>46090</v>
      </c>
    </row>
    <row r="80" spans="1:12" ht="27.75">
      <c r="A80" s="72" t="s">
        <v>244</v>
      </c>
      <c r="B80" s="72" t="s">
        <v>245</v>
      </c>
      <c r="C80" s="72" t="s">
        <v>192</v>
      </c>
      <c r="D80" s="72" t="s">
        <v>215</v>
      </c>
      <c r="E80" s="72" t="s">
        <v>124</v>
      </c>
      <c r="F80" s="72" t="s">
        <v>152</v>
      </c>
      <c r="G80" s="72" t="s">
        <v>187</v>
      </c>
      <c r="H80" s="208">
        <f>ROUND(7.5,2)</f>
        <v>7.5</v>
      </c>
      <c r="I80" s="72" t="s">
        <v>134</v>
      </c>
      <c r="J80" s="74" t="s">
        <v>127</v>
      </c>
      <c r="L80" s="17">
        <f t="shared" si="1"/>
        <v>46070</v>
      </c>
    </row>
    <row r="81" spans="1:12" ht="27.75">
      <c r="A81" s="72" t="s">
        <v>244</v>
      </c>
      <c r="B81" s="72" t="s">
        <v>245</v>
      </c>
      <c r="C81" s="72" t="s">
        <v>192</v>
      </c>
      <c r="D81" s="72" t="s">
        <v>215</v>
      </c>
      <c r="E81" s="72" t="s">
        <v>124</v>
      </c>
      <c r="F81" s="72" t="s">
        <v>152</v>
      </c>
      <c r="G81" s="72" t="s">
        <v>188</v>
      </c>
      <c r="H81" s="208">
        <f>ROUND(7.5,2)</f>
        <v>7.5</v>
      </c>
      <c r="I81" s="72" t="s">
        <v>134</v>
      </c>
      <c r="J81" s="74" t="s">
        <v>127</v>
      </c>
      <c r="L81" s="17">
        <f t="shared" si="1"/>
        <v>46071</v>
      </c>
    </row>
    <row r="82" spans="1:12" ht="27.75">
      <c r="A82" s="72" t="s">
        <v>244</v>
      </c>
      <c r="B82" s="72" t="s">
        <v>245</v>
      </c>
      <c r="C82" s="72" t="s">
        <v>192</v>
      </c>
      <c r="D82" s="72" t="s">
        <v>215</v>
      </c>
      <c r="E82" s="72" t="s">
        <v>124</v>
      </c>
      <c r="F82" s="72" t="s">
        <v>211</v>
      </c>
      <c r="G82" s="72" t="s">
        <v>200</v>
      </c>
      <c r="H82" s="208">
        <f>ROUND(7.5,2)</f>
        <v>7.5</v>
      </c>
      <c r="I82" s="72" t="s">
        <v>134</v>
      </c>
      <c r="J82" s="74" t="s">
        <v>127</v>
      </c>
      <c r="L82" s="17">
        <f t="shared" si="1"/>
        <v>46062</v>
      </c>
    </row>
    <row r="83" spans="1:12" ht="27.75">
      <c r="A83" s="72" t="s">
        <v>244</v>
      </c>
      <c r="B83" s="72" t="s">
        <v>245</v>
      </c>
      <c r="C83" s="72" t="s">
        <v>192</v>
      </c>
      <c r="D83" s="72" t="s">
        <v>215</v>
      </c>
      <c r="E83" s="72" t="s">
        <v>124</v>
      </c>
      <c r="F83" s="72" t="s">
        <v>152</v>
      </c>
      <c r="G83" s="72" t="s">
        <v>173</v>
      </c>
      <c r="H83" s="208">
        <f>ROUND(7.5,2)</f>
        <v>7.5</v>
      </c>
      <c r="I83" s="72" t="s">
        <v>134</v>
      </c>
      <c r="J83" s="74" t="s">
        <v>127</v>
      </c>
      <c r="L83" s="17">
        <f t="shared" si="1"/>
        <v>46073</v>
      </c>
    </row>
    <row r="84" spans="1:12" ht="27.75">
      <c r="A84" s="72" t="s">
        <v>244</v>
      </c>
      <c r="B84" s="72" t="s">
        <v>245</v>
      </c>
      <c r="C84" s="72" t="s">
        <v>192</v>
      </c>
      <c r="D84" s="72" t="s">
        <v>215</v>
      </c>
      <c r="E84" s="72" t="s">
        <v>124</v>
      </c>
      <c r="F84" s="72" t="s">
        <v>152</v>
      </c>
      <c r="G84" s="72" t="s">
        <v>172</v>
      </c>
      <c r="H84" s="208">
        <f>ROUND(7.5,2)</f>
        <v>7.5</v>
      </c>
      <c r="I84" s="72" t="s">
        <v>134</v>
      </c>
      <c r="J84" s="74" t="s">
        <v>127</v>
      </c>
      <c r="L84" s="17">
        <f t="shared" si="1"/>
        <v>46072</v>
      </c>
    </row>
    <row r="85" spans="1:12" ht="27.75">
      <c r="A85" s="72" t="s">
        <v>79</v>
      </c>
      <c r="B85" s="72" t="s">
        <v>247</v>
      </c>
      <c r="C85" s="72" t="s">
        <v>149</v>
      </c>
      <c r="D85" s="72" t="s">
        <v>150</v>
      </c>
      <c r="E85" s="72" t="s">
        <v>151</v>
      </c>
      <c r="F85" s="72" t="s">
        <v>248</v>
      </c>
      <c r="G85" s="72" t="s">
        <v>177</v>
      </c>
      <c r="H85" s="208">
        <f>ROUND(7.5,2)</f>
        <v>7.5</v>
      </c>
      <c r="I85" s="72" t="s">
        <v>134</v>
      </c>
      <c r="J85" s="74" t="s">
        <v>127</v>
      </c>
      <c r="L85" s="17">
        <f t="shared" si="1"/>
        <v>46034</v>
      </c>
    </row>
    <row r="86" spans="1:12" ht="27.75">
      <c r="A86" s="72" t="s">
        <v>79</v>
      </c>
      <c r="B86" s="72" t="s">
        <v>247</v>
      </c>
      <c r="C86" s="72" t="s">
        <v>149</v>
      </c>
      <c r="D86" s="72" t="s">
        <v>150</v>
      </c>
      <c r="E86" s="72" t="s">
        <v>151</v>
      </c>
      <c r="F86" s="72" t="s">
        <v>248</v>
      </c>
      <c r="G86" s="72" t="s">
        <v>133</v>
      </c>
      <c r="H86" s="208">
        <f>ROUND(7.5,2)</f>
        <v>7.5</v>
      </c>
      <c r="I86" s="72" t="s">
        <v>134</v>
      </c>
      <c r="J86" s="74" t="s">
        <v>127</v>
      </c>
      <c r="L86" s="17">
        <f t="shared" si="1"/>
        <v>46031</v>
      </c>
    </row>
    <row r="87" spans="1:12" ht="27.75">
      <c r="A87" s="72" t="s">
        <v>79</v>
      </c>
      <c r="B87" s="72" t="s">
        <v>247</v>
      </c>
      <c r="C87" s="72" t="s">
        <v>149</v>
      </c>
      <c r="D87" s="72" t="s">
        <v>150</v>
      </c>
      <c r="E87" s="72" t="s">
        <v>151</v>
      </c>
      <c r="F87" s="72" t="s">
        <v>248</v>
      </c>
      <c r="G87" s="72" t="s">
        <v>132</v>
      </c>
      <c r="H87" s="208">
        <f>ROUND(7.5,2)</f>
        <v>7.5</v>
      </c>
      <c r="I87" s="72" t="s">
        <v>134</v>
      </c>
      <c r="J87" s="74" t="s">
        <v>127</v>
      </c>
      <c r="L87" s="17">
        <f t="shared" si="1"/>
        <v>46028</v>
      </c>
    </row>
    <row r="88" spans="1:12" ht="27.75">
      <c r="A88" s="72" t="s">
        <v>79</v>
      </c>
      <c r="B88" s="72" t="s">
        <v>247</v>
      </c>
      <c r="C88" s="72" t="s">
        <v>149</v>
      </c>
      <c r="D88" s="72" t="s">
        <v>150</v>
      </c>
      <c r="E88" s="72" t="s">
        <v>151</v>
      </c>
      <c r="F88" s="72" t="s">
        <v>248</v>
      </c>
      <c r="G88" s="72" t="s">
        <v>176</v>
      </c>
      <c r="H88" s="208">
        <f>ROUND(7.5,2)</f>
        <v>7.5</v>
      </c>
      <c r="I88" s="72" t="s">
        <v>134</v>
      </c>
      <c r="J88" s="74" t="s">
        <v>127</v>
      </c>
      <c r="L88" s="17">
        <f t="shared" si="1"/>
        <v>46030</v>
      </c>
    </row>
    <row r="89" spans="1:12" ht="27.75">
      <c r="A89" s="72" t="s">
        <v>79</v>
      </c>
      <c r="B89" s="72" t="s">
        <v>247</v>
      </c>
      <c r="C89" s="72" t="s">
        <v>149</v>
      </c>
      <c r="D89" s="72" t="s">
        <v>150</v>
      </c>
      <c r="E89" s="72" t="s">
        <v>151</v>
      </c>
      <c r="F89" s="72" t="s">
        <v>248</v>
      </c>
      <c r="G89" s="72" t="s">
        <v>183</v>
      </c>
      <c r="H89" s="208">
        <f>ROUND(7.5,2)</f>
        <v>7.5</v>
      </c>
      <c r="I89" s="72" t="s">
        <v>134</v>
      </c>
      <c r="J89" s="74" t="s">
        <v>127</v>
      </c>
      <c r="L89" s="17">
        <f t="shared" si="1"/>
        <v>46029</v>
      </c>
    </row>
    <row r="90" spans="1:12" ht="27.75">
      <c r="A90" s="72" t="s">
        <v>79</v>
      </c>
      <c r="B90" s="72" t="s">
        <v>247</v>
      </c>
      <c r="C90" s="72" t="s">
        <v>149</v>
      </c>
      <c r="D90" s="72" t="s">
        <v>150</v>
      </c>
      <c r="E90" s="72" t="s">
        <v>151</v>
      </c>
      <c r="F90" s="72" t="s">
        <v>248</v>
      </c>
      <c r="G90" s="72" t="s">
        <v>135</v>
      </c>
      <c r="H90" s="208">
        <f>ROUND(7.5,2)</f>
        <v>7.5</v>
      </c>
      <c r="I90" s="72" t="s">
        <v>134</v>
      </c>
      <c r="J90" s="74" t="s">
        <v>127</v>
      </c>
      <c r="L90" s="17">
        <f t="shared" si="1"/>
        <v>46035</v>
      </c>
    </row>
    <row r="91" spans="1:12" ht="27.75">
      <c r="A91" s="72" t="s">
        <v>79</v>
      </c>
      <c r="B91" s="72" t="s">
        <v>247</v>
      </c>
      <c r="C91" s="72" t="s">
        <v>149</v>
      </c>
      <c r="D91" s="72" t="s">
        <v>150</v>
      </c>
      <c r="E91" s="72" t="s">
        <v>151</v>
      </c>
      <c r="F91" s="72" t="s">
        <v>248</v>
      </c>
      <c r="G91" s="72" t="s">
        <v>162</v>
      </c>
      <c r="H91" s="208">
        <f>ROUND(7.5,2)</f>
        <v>7.5</v>
      </c>
      <c r="I91" s="72" t="s">
        <v>134</v>
      </c>
      <c r="J91" s="74" t="s">
        <v>127</v>
      </c>
      <c r="L91" s="17">
        <f t="shared" si="1"/>
        <v>46027</v>
      </c>
    </row>
    <row r="92" spans="1:12" ht="27.75">
      <c r="A92" s="72" t="s">
        <v>79</v>
      </c>
      <c r="B92" s="72" t="s">
        <v>247</v>
      </c>
      <c r="C92" s="72" t="s">
        <v>149</v>
      </c>
      <c r="D92" s="72" t="s">
        <v>150</v>
      </c>
      <c r="E92" s="72" t="s">
        <v>151</v>
      </c>
      <c r="F92" s="72" t="s">
        <v>248</v>
      </c>
      <c r="G92" s="72" t="s">
        <v>167</v>
      </c>
      <c r="H92" s="208">
        <f>ROUND(7.5,2)</f>
        <v>7.5</v>
      </c>
      <c r="I92" s="72" t="s">
        <v>134</v>
      </c>
      <c r="J92" s="74" t="s">
        <v>127</v>
      </c>
      <c r="L92" s="17">
        <f t="shared" si="1"/>
        <v>46024</v>
      </c>
    </row>
    <row r="93" spans="1:12" ht="27.75">
      <c r="A93" s="72" t="s">
        <v>40</v>
      </c>
      <c r="B93" s="72" t="s">
        <v>249</v>
      </c>
      <c r="C93" s="72" t="s">
        <v>164</v>
      </c>
      <c r="D93" s="72" t="s">
        <v>232</v>
      </c>
      <c r="E93" s="72" t="s">
        <v>124</v>
      </c>
      <c r="F93" s="72" t="s">
        <v>250</v>
      </c>
      <c r="G93" s="72" t="s">
        <v>200</v>
      </c>
      <c r="H93" s="208">
        <f>ROUND(1,2)</f>
        <v>1</v>
      </c>
      <c r="I93" s="72" t="s">
        <v>126</v>
      </c>
      <c r="J93" s="74" t="s">
        <v>127</v>
      </c>
      <c r="L93" s="17">
        <f t="shared" si="1"/>
        <v>46062</v>
      </c>
    </row>
    <row r="94" spans="1:12" ht="27.75">
      <c r="A94" s="72" t="s">
        <v>40</v>
      </c>
      <c r="B94" s="72" t="s">
        <v>249</v>
      </c>
      <c r="C94" s="72" t="s">
        <v>164</v>
      </c>
      <c r="D94" s="72" t="s">
        <v>232</v>
      </c>
      <c r="E94" s="72" t="s">
        <v>124</v>
      </c>
      <c r="F94" s="72" t="s">
        <v>250</v>
      </c>
      <c r="G94" s="72" t="s">
        <v>210</v>
      </c>
      <c r="H94" s="208">
        <f>ROUND(1,2)</f>
        <v>1</v>
      </c>
      <c r="I94" s="72" t="s">
        <v>126</v>
      </c>
      <c r="J94" s="74" t="s">
        <v>127</v>
      </c>
      <c r="L94" s="17">
        <f t="shared" si="1"/>
        <v>46063</v>
      </c>
    </row>
    <row r="95" spans="1:12" ht="27.75">
      <c r="A95" s="72" t="s">
        <v>40</v>
      </c>
      <c r="B95" s="72" t="s">
        <v>249</v>
      </c>
      <c r="C95" s="72" t="s">
        <v>164</v>
      </c>
      <c r="D95" s="72" t="s">
        <v>232</v>
      </c>
      <c r="E95" s="72" t="s">
        <v>124</v>
      </c>
      <c r="F95" s="72" t="s">
        <v>251</v>
      </c>
      <c r="G95" s="72" t="s">
        <v>198</v>
      </c>
      <c r="H95" s="208">
        <f>ROUND(1,2)</f>
        <v>1</v>
      </c>
      <c r="I95" s="72" t="s">
        <v>126</v>
      </c>
      <c r="J95" s="74" t="s">
        <v>127</v>
      </c>
      <c r="L95" s="17">
        <f t="shared" si="1"/>
        <v>46108</v>
      </c>
    </row>
    <row r="96" spans="1:12" ht="27.75">
      <c r="A96" s="72" t="s">
        <v>40</v>
      </c>
      <c r="B96" s="72" t="s">
        <v>249</v>
      </c>
      <c r="C96" s="72" t="s">
        <v>164</v>
      </c>
      <c r="D96" s="72" t="s">
        <v>232</v>
      </c>
      <c r="E96" s="72" t="s">
        <v>124</v>
      </c>
      <c r="F96" s="72" t="s">
        <v>251</v>
      </c>
      <c r="G96" s="72" t="s">
        <v>141</v>
      </c>
      <c r="H96" s="208">
        <f>ROUND(1,2)</f>
        <v>1</v>
      </c>
      <c r="I96" s="72" t="s">
        <v>126</v>
      </c>
      <c r="J96" s="74" t="s">
        <v>127</v>
      </c>
      <c r="L96" s="17">
        <f t="shared" si="1"/>
        <v>46104</v>
      </c>
    </row>
    <row r="97" spans="1:12" ht="27.75">
      <c r="A97" s="72" t="s">
        <v>40</v>
      </c>
      <c r="B97" s="72" t="s">
        <v>249</v>
      </c>
      <c r="C97" s="72" t="s">
        <v>164</v>
      </c>
      <c r="D97" s="72" t="s">
        <v>232</v>
      </c>
      <c r="E97" s="72" t="s">
        <v>124</v>
      </c>
      <c r="F97" s="72" t="s">
        <v>251</v>
      </c>
      <c r="G97" s="72" t="s">
        <v>229</v>
      </c>
      <c r="H97" s="208">
        <f>ROUND(1,2)</f>
        <v>1</v>
      </c>
      <c r="I97" s="72" t="s">
        <v>126</v>
      </c>
      <c r="J97" s="74" t="s">
        <v>127</v>
      </c>
      <c r="L97" s="17">
        <f t="shared" si="1"/>
        <v>46098</v>
      </c>
    </row>
    <row r="98" spans="1:12" ht="27.75">
      <c r="A98" s="72" t="s">
        <v>40</v>
      </c>
      <c r="B98" s="72" t="s">
        <v>249</v>
      </c>
      <c r="C98" s="72" t="s">
        <v>164</v>
      </c>
      <c r="D98" s="72" t="s">
        <v>232</v>
      </c>
      <c r="E98" s="72" t="s">
        <v>124</v>
      </c>
      <c r="F98" s="72" t="s">
        <v>251</v>
      </c>
      <c r="G98" s="72" t="s">
        <v>189</v>
      </c>
      <c r="H98" s="208">
        <f>ROUND(1,2)</f>
        <v>1</v>
      </c>
      <c r="I98" s="72" t="s">
        <v>126</v>
      </c>
      <c r="J98" s="74" t="s">
        <v>127</v>
      </c>
      <c r="L98" s="17">
        <f t="shared" si="1"/>
        <v>46099</v>
      </c>
    </row>
    <row r="99" spans="1:12" ht="27.75">
      <c r="A99" s="72" t="s">
        <v>40</v>
      </c>
      <c r="B99" s="72" t="s">
        <v>249</v>
      </c>
      <c r="C99" s="72" t="s">
        <v>164</v>
      </c>
      <c r="D99" s="72" t="s">
        <v>232</v>
      </c>
      <c r="E99" s="72" t="s">
        <v>124</v>
      </c>
      <c r="F99" s="72" t="s">
        <v>251</v>
      </c>
      <c r="G99" s="72" t="s">
        <v>228</v>
      </c>
      <c r="H99" s="208">
        <f>ROUND(1,2)</f>
        <v>1</v>
      </c>
      <c r="I99" s="72" t="s">
        <v>126</v>
      </c>
      <c r="J99" s="74" t="s">
        <v>127</v>
      </c>
      <c r="L99" s="17">
        <f t="shared" si="1"/>
        <v>46100</v>
      </c>
    </row>
    <row r="100" spans="1:12" ht="27.75">
      <c r="A100" s="72" t="s">
        <v>40</v>
      </c>
      <c r="B100" s="72" t="s">
        <v>249</v>
      </c>
      <c r="C100" s="72" t="s">
        <v>164</v>
      </c>
      <c r="D100" s="72" t="s">
        <v>232</v>
      </c>
      <c r="E100" s="72" t="s">
        <v>124</v>
      </c>
      <c r="F100" s="72" t="s">
        <v>251</v>
      </c>
      <c r="G100" s="72" t="s">
        <v>252</v>
      </c>
      <c r="H100" s="208">
        <f>ROUND(1,2)</f>
        <v>1</v>
      </c>
      <c r="I100" s="72" t="s">
        <v>126</v>
      </c>
      <c r="J100" s="74" t="s">
        <v>127</v>
      </c>
      <c r="L100" s="17">
        <f t="shared" si="1"/>
        <v>46106</v>
      </c>
    </row>
    <row r="101" spans="1:12" ht="27.75">
      <c r="A101" s="72" t="s">
        <v>40</v>
      </c>
      <c r="B101" s="72" t="s">
        <v>249</v>
      </c>
      <c r="C101" s="72" t="s">
        <v>164</v>
      </c>
      <c r="D101" s="72" t="s">
        <v>232</v>
      </c>
      <c r="E101" s="72" t="s">
        <v>124</v>
      </c>
      <c r="F101" s="72" t="s">
        <v>251</v>
      </c>
      <c r="G101" s="72" t="s">
        <v>147</v>
      </c>
      <c r="H101" s="208">
        <f>ROUND(1,2)</f>
        <v>1</v>
      </c>
      <c r="I101" s="72" t="s">
        <v>126</v>
      </c>
      <c r="J101" s="74" t="s">
        <v>127</v>
      </c>
      <c r="L101" s="17">
        <f t="shared" si="1"/>
        <v>46097</v>
      </c>
    </row>
    <row r="102" spans="1:12" ht="27.75">
      <c r="A102" s="72" t="s">
        <v>40</v>
      </c>
      <c r="B102" s="72" t="s">
        <v>249</v>
      </c>
      <c r="C102" s="72" t="s">
        <v>164</v>
      </c>
      <c r="D102" s="72" t="s">
        <v>232</v>
      </c>
      <c r="E102" s="72" t="s">
        <v>124</v>
      </c>
      <c r="F102" s="72" t="s">
        <v>251</v>
      </c>
      <c r="G102" s="72" t="s">
        <v>253</v>
      </c>
      <c r="H102" s="208">
        <f>ROUND(1,2)</f>
        <v>1</v>
      </c>
      <c r="I102" s="72" t="s">
        <v>126</v>
      </c>
      <c r="J102" s="74" t="s">
        <v>127</v>
      </c>
      <c r="L102" s="17">
        <f t="shared" si="1"/>
        <v>46105</v>
      </c>
    </row>
    <row r="103" spans="1:12" ht="27.75">
      <c r="A103" s="72" t="s">
        <v>40</v>
      </c>
      <c r="B103" s="72" t="s">
        <v>249</v>
      </c>
      <c r="C103" s="72" t="s">
        <v>164</v>
      </c>
      <c r="D103" s="72" t="s">
        <v>232</v>
      </c>
      <c r="E103" s="72" t="s">
        <v>124</v>
      </c>
      <c r="F103" s="72" t="s">
        <v>250</v>
      </c>
      <c r="G103" s="72" t="s">
        <v>212</v>
      </c>
      <c r="H103" s="208">
        <f>ROUND(1,2)</f>
        <v>1</v>
      </c>
      <c r="I103" s="72" t="s">
        <v>126</v>
      </c>
      <c r="J103" s="74" t="s">
        <v>127</v>
      </c>
      <c r="L103" s="17">
        <f t="shared" si="1"/>
        <v>46064</v>
      </c>
    </row>
    <row r="104" spans="1:12" ht="27.75">
      <c r="A104" s="72" t="s">
        <v>40</v>
      </c>
      <c r="B104" s="72" t="s">
        <v>249</v>
      </c>
      <c r="C104" s="72" t="s">
        <v>164</v>
      </c>
      <c r="D104" s="72" t="s">
        <v>232</v>
      </c>
      <c r="E104" s="72" t="s">
        <v>124</v>
      </c>
      <c r="F104" s="72" t="s">
        <v>250</v>
      </c>
      <c r="G104" s="72" t="s">
        <v>211</v>
      </c>
      <c r="H104" s="208">
        <f>ROUND(1,2)</f>
        <v>1</v>
      </c>
      <c r="I104" s="72" t="s">
        <v>126</v>
      </c>
      <c r="J104" s="74" t="s">
        <v>127</v>
      </c>
      <c r="L104" s="17">
        <f t="shared" si="1"/>
        <v>46065</v>
      </c>
    </row>
    <row r="105" spans="1:12" ht="27.75">
      <c r="A105" s="72" t="s">
        <v>40</v>
      </c>
      <c r="B105" s="72" t="s">
        <v>249</v>
      </c>
      <c r="C105" s="72" t="s">
        <v>164</v>
      </c>
      <c r="D105" s="72" t="s">
        <v>232</v>
      </c>
      <c r="E105" s="72" t="s">
        <v>124</v>
      </c>
      <c r="F105" s="72" t="s">
        <v>250</v>
      </c>
      <c r="G105" s="72" t="s">
        <v>188</v>
      </c>
      <c r="H105" s="208">
        <f>ROUND(1,2)</f>
        <v>1</v>
      </c>
      <c r="I105" s="72" t="s">
        <v>126</v>
      </c>
      <c r="J105" s="74" t="s">
        <v>127</v>
      </c>
      <c r="L105" s="17">
        <f t="shared" si="1"/>
        <v>46071</v>
      </c>
    </row>
    <row r="106" spans="1:12" ht="27.75">
      <c r="A106" s="72" t="s">
        <v>40</v>
      </c>
      <c r="B106" s="72" t="s">
        <v>249</v>
      </c>
      <c r="C106" s="72" t="s">
        <v>164</v>
      </c>
      <c r="D106" s="72" t="s">
        <v>232</v>
      </c>
      <c r="E106" s="72" t="s">
        <v>124</v>
      </c>
      <c r="F106" s="72" t="s">
        <v>250</v>
      </c>
      <c r="G106" s="72" t="s">
        <v>187</v>
      </c>
      <c r="H106" s="208">
        <f>ROUND(1,2)</f>
        <v>1</v>
      </c>
      <c r="I106" s="72" t="s">
        <v>126</v>
      </c>
      <c r="J106" s="74" t="s">
        <v>127</v>
      </c>
      <c r="L106" s="17">
        <f t="shared" si="1"/>
        <v>46070</v>
      </c>
    </row>
    <row r="107" spans="1:12" ht="27.75">
      <c r="A107" s="72" t="s">
        <v>40</v>
      </c>
      <c r="B107" s="72" t="s">
        <v>249</v>
      </c>
      <c r="C107" s="72" t="s">
        <v>164</v>
      </c>
      <c r="D107" s="72" t="s">
        <v>232</v>
      </c>
      <c r="E107" s="72" t="s">
        <v>124</v>
      </c>
      <c r="F107" s="72" t="s">
        <v>251</v>
      </c>
      <c r="G107" s="72" t="s">
        <v>230</v>
      </c>
      <c r="H107" s="208">
        <f>ROUND(1,2)</f>
        <v>1</v>
      </c>
      <c r="I107" s="72" t="s">
        <v>126</v>
      </c>
      <c r="J107" s="74" t="s">
        <v>127</v>
      </c>
      <c r="L107" s="17">
        <f t="shared" si="1"/>
        <v>46101</v>
      </c>
    </row>
    <row r="108" spans="1:12" ht="27.75">
      <c r="A108" s="72" t="s">
        <v>40</v>
      </c>
      <c r="B108" s="72" t="s">
        <v>249</v>
      </c>
      <c r="C108" s="72" t="s">
        <v>164</v>
      </c>
      <c r="D108" s="72" t="s">
        <v>232</v>
      </c>
      <c r="E108" s="72" t="s">
        <v>124</v>
      </c>
      <c r="F108" s="72" t="s">
        <v>251</v>
      </c>
      <c r="G108" s="72" t="s">
        <v>254</v>
      </c>
      <c r="H108" s="208">
        <f>ROUND(1,2)</f>
        <v>1</v>
      </c>
      <c r="I108" s="72" t="s">
        <v>126</v>
      </c>
      <c r="J108" s="74" t="s">
        <v>127</v>
      </c>
      <c r="L108" s="17">
        <f t="shared" si="1"/>
        <v>46107</v>
      </c>
    </row>
    <row r="109" spans="1:12" ht="27.75">
      <c r="A109" s="72" t="s">
        <v>56</v>
      </c>
      <c r="B109" s="72" t="s">
        <v>255</v>
      </c>
      <c r="C109" s="72" t="s">
        <v>256</v>
      </c>
      <c r="D109" s="72" t="s">
        <v>165</v>
      </c>
      <c r="E109" s="72" t="s">
        <v>124</v>
      </c>
      <c r="F109" s="72" t="s">
        <v>257</v>
      </c>
      <c r="G109" s="72" t="s">
        <v>133</v>
      </c>
      <c r="H109" s="208">
        <f>ROUND(1,2)</f>
        <v>1</v>
      </c>
      <c r="I109" s="72" t="s">
        <v>126</v>
      </c>
      <c r="J109" s="74" t="s">
        <v>127</v>
      </c>
      <c r="L109" s="17">
        <f t="shared" si="1"/>
        <v>46031</v>
      </c>
    </row>
    <row r="110" spans="1:12" ht="27.75">
      <c r="A110" s="72" t="s">
        <v>56</v>
      </c>
      <c r="B110" s="72" t="s">
        <v>255</v>
      </c>
      <c r="C110" s="72" t="s">
        <v>256</v>
      </c>
      <c r="D110" s="72" t="s">
        <v>165</v>
      </c>
      <c r="E110" s="72" t="s">
        <v>124</v>
      </c>
      <c r="F110" s="72" t="s">
        <v>258</v>
      </c>
      <c r="G110" s="72" t="s">
        <v>212</v>
      </c>
      <c r="H110" s="208">
        <f>ROUND(1,2)</f>
        <v>1</v>
      </c>
      <c r="I110" s="72" t="s">
        <v>126</v>
      </c>
      <c r="J110" s="74" t="s">
        <v>127</v>
      </c>
      <c r="L110" s="17">
        <f t="shared" si="1"/>
        <v>46064</v>
      </c>
    </row>
    <row r="111" spans="1:12" ht="27.75">
      <c r="A111" s="72" t="s">
        <v>56</v>
      </c>
      <c r="B111" s="72" t="s">
        <v>255</v>
      </c>
      <c r="C111" s="72" t="s">
        <v>256</v>
      </c>
      <c r="D111" s="72" t="s">
        <v>165</v>
      </c>
      <c r="E111" s="72" t="s">
        <v>124</v>
      </c>
      <c r="F111" s="72" t="s">
        <v>177</v>
      </c>
      <c r="G111" s="72" t="s">
        <v>162</v>
      </c>
      <c r="H111" s="208">
        <f>ROUND(1,2)</f>
        <v>1</v>
      </c>
      <c r="I111" s="72" t="s">
        <v>126</v>
      </c>
      <c r="J111" s="74" t="s">
        <v>127</v>
      </c>
      <c r="L111" s="17">
        <f t="shared" si="1"/>
        <v>46027</v>
      </c>
    </row>
    <row r="112" spans="1:12" ht="27.75">
      <c r="A112" s="72" t="s">
        <v>56</v>
      </c>
      <c r="B112" s="72" t="s">
        <v>255</v>
      </c>
      <c r="C112" s="72" t="s">
        <v>256</v>
      </c>
      <c r="D112" s="72" t="s">
        <v>165</v>
      </c>
      <c r="E112" s="72" t="s">
        <v>124</v>
      </c>
      <c r="F112" s="72" t="s">
        <v>152</v>
      </c>
      <c r="G112" s="72" t="s">
        <v>188</v>
      </c>
      <c r="H112" s="208">
        <f>ROUND(1,2)</f>
        <v>1</v>
      </c>
      <c r="I112" s="72" t="s">
        <v>126</v>
      </c>
      <c r="J112" s="74" t="s">
        <v>127</v>
      </c>
      <c r="L112" s="17">
        <f t="shared" si="1"/>
        <v>46071</v>
      </c>
    </row>
    <row r="113" spans="1:12" ht="27.75">
      <c r="A113" s="72" t="s">
        <v>56</v>
      </c>
      <c r="B113" s="72" t="s">
        <v>255</v>
      </c>
      <c r="C113" s="72" t="s">
        <v>256</v>
      </c>
      <c r="D113" s="72" t="s">
        <v>165</v>
      </c>
      <c r="E113" s="72" t="s">
        <v>124</v>
      </c>
      <c r="F113" s="72" t="s">
        <v>258</v>
      </c>
      <c r="G113" s="72" t="s">
        <v>194</v>
      </c>
      <c r="H113" s="208">
        <f>ROUND(0.5,2)</f>
        <v>0.5</v>
      </c>
      <c r="I113" s="72" t="s">
        <v>126</v>
      </c>
      <c r="J113" s="74" t="s">
        <v>127</v>
      </c>
      <c r="L113" s="17">
        <f t="shared" si="1"/>
        <v>46049</v>
      </c>
    </row>
    <row r="114" spans="1:12" ht="15.75">
      <c r="A114" s="72" t="s">
        <v>88</v>
      </c>
      <c r="B114" s="72" t="s">
        <v>259</v>
      </c>
      <c r="C114" s="72" t="s">
        <v>159</v>
      </c>
      <c r="D114" s="72" t="s">
        <v>139</v>
      </c>
      <c r="E114" s="72" t="s">
        <v>124</v>
      </c>
      <c r="F114" s="72" t="s">
        <v>260</v>
      </c>
      <c r="G114" s="72" t="s">
        <v>260</v>
      </c>
      <c r="H114" s="208">
        <f>ROUND(1,2)</f>
        <v>1</v>
      </c>
      <c r="I114" s="72" t="s">
        <v>126</v>
      </c>
      <c r="J114" s="74" t="s">
        <v>127</v>
      </c>
      <c r="L114" s="17">
        <f t="shared" si="1"/>
        <v>46041</v>
      </c>
    </row>
    <row r="115" spans="1:12" ht="15.75">
      <c r="A115" s="72" t="s">
        <v>29</v>
      </c>
      <c r="B115" s="72" t="s">
        <v>261</v>
      </c>
      <c r="C115" s="72" t="s">
        <v>159</v>
      </c>
      <c r="D115" s="72" t="s">
        <v>262</v>
      </c>
      <c r="E115" s="72" t="s">
        <v>124</v>
      </c>
      <c r="F115" s="72" t="s">
        <v>263</v>
      </c>
      <c r="G115" s="72" t="s">
        <v>264</v>
      </c>
      <c r="H115" s="208">
        <f>ROUND(1,2)</f>
        <v>1</v>
      </c>
      <c r="I115" s="72" t="s">
        <v>126</v>
      </c>
      <c r="J115" s="74" t="s">
        <v>127</v>
      </c>
      <c r="L115" s="17">
        <f t="shared" si="1"/>
        <v>46136</v>
      </c>
    </row>
    <row r="116" spans="1:12" ht="15.75">
      <c r="A116" s="72" t="s">
        <v>29</v>
      </c>
      <c r="B116" s="72" t="s">
        <v>261</v>
      </c>
      <c r="C116" s="72" t="s">
        <v>159</v>
      </c>
      <c r="D116" s="72" t="s">
        <v>262</v>
      </c>
      <c r="E116" s="72" t="s">
        <v>124</v>
      </c>
      <c r="F116" s="72" t="s">
        <v>263</v>
      </c>
      <c r="G116" s="72" t="s">
        <v>265</v>
      </c>
      <c r="H116" s="208">
        <f>ROUND(1,2)</f>
        <v>1</v>
      </c>
      <c r="I116" s="72" t="s">
        <v>126</v>
      </c>
      <c r="J116" s="74" t="s">
        <v>127</v>
      </c>
      <c r="L116" s="17">
        <f t="shared" si="1"/>
        <v>46133</v>
      </c>
    </row>
    <row r="117" spans="1:12" ht="15.75">
      <c r="A117" s="72" t="s">
        <v>29</v>
      </c>
      <c r="B117" s="72" t="s">
        <v>261</v>
      </c>
      <c r="C117" s="72" t="s">
        <v>159</v>
      </c>
      <c r="D117" s="72" t="s">
        <v>262</v>
      </c>
      <c r="E117" s="72" t="s">
        <v>124</v>
      </c>
      <c r="F117" s="72" t="s">
        <v>263</v>
      </c>
      <c r="G117" s="72" t="s">
        <v>266</v>
      </c>
      <c r="H117" s="208">
        <f>ROUND(1,2)</f>
        <v>1</v>
      </c>
      <c r="I117" s="72" t="s">
        <v>126</v>
      </c>
      <c r="J117" s="74" t="s">
        <v>127</v>
      </c>
      <c r="L117" s="17">
        <f t="shared" si="1"/>
        <v>46132</v>
      </c>
    </row>
    <row r="118" spans="1:12" ht="15.75">
      <c r="A118" s="72" t="s">
        <v>29</v>
      </c>
      <c r="B118" s="72" t="s">
        <v>261</v>
      </c>
      <c r="C118" s="72" t="s">
        <v>159</v>
      </c>
      <c r="D118" s="72" t="s">
        <v>262</v>
      </c>
      <c r="E118" s="72" t="s">
        <v>124</v>
      </c>
      <c r="F118" s="72" t="s">
        <v>263</v>
      </c>
      <c r="G118" s="72" t="s">
        <v>267</v>
      </c>
      <c r="H118" s="208">
        <f>ROUND(1,2)</f>
        <v>1</v>
      </c>
      <c r="I118" s="72" t="s">
        <v>126</v>
      </c>
      <c r="J118" s="74" t="s">
        <v>127</v>
      </c>
      <c r="L118" s="17">
        <f t="shared" si="1"/>
        <v>46134</v>
      </c>
    </row>
    <row r="119" spans="1:12" ht="15.75">
      <c r="A119" s="72" t="s">
        <v>29</v>
      </c>
      <c r="B119" s="72" t="s">
        <v>261</v>
      </c>
      <c r="C119" s="72" t="s">
        <v>159</v>
      </c>
      <c r="D119" s="72" t="s">
        <v>262</v>
      </c>
      <c r="E119" s="72" t="s">
        <v>124</v>
      </c>
      <c r="F119" s="72" t="s">
        <v>263</v>
      </c>
      <c r="G119" s="72" t="s">
        <v>268</v>
      </c>
      <c r="H119" s="208">
        <f>ROUND(1,2)</f>
        <v>1</v>
      </c>
      <c r="I119" s="72" t="s">
        <v>126</v>
      </c>
      <c r="J119" s="74" t="s">
        <v>127</v>
      </c>
      <c r="L119" s="17">
        <f t="shared" si="1"/>
        <v>46135</v>
      </c>
    </row>
    <row r="120" spans="1:12" ht="27.75">
      <c r="A120" s="72" t="s">
        <v>51</v>
      </c>
      <c r="B120" s="72" t="s">
        <v>269</v>
      </c>
      <c r="C120" s="72" t="s">
        <v>224</v>
      </c>
      <c r="D120" s="72" t="s">
        <v>123</v>
      </c>
      <c r="E120" s="72" t="s">
        <v>124</v>
      </c>
      <c r="F120" s="72" t="s">
        <v>176</v>
      </c>
      <c r="G120" s="72" t="s">
        <v>194</v>
      </c>
      <c r="H120" s="208">
        <f>ROUND(1,2)</f>
        <v>1</v>
      </c>
      <c r="I120" s="72" t="s">
        <v>126</v>
      </c>
      <c r="J120" s="74" t="s">
        <v>127</v>
      </c>
      <c r="L120" s="17">
        <f t="shared" si="1"/>
        <v>46049</v>
      </c>
    </row>
    <row r="121" spans="1:12" ht="27.75">
      <c r="A121" s="72" t="s">
        <v>51</v>
      </c>
      <c r="B121" s="72" t="s">
        <v>269</v>
      </c>
      <c r="C121" s="72" t="s">
        <v>224</v>
      </c>
      <c r="D121" s="72" t="s">
        <v>123</v>
      </c>
      <c r="E121" s="72" t="s">
        <v>124</v>
      </c>
      <c r="F121" s="72" t="s">
        <v>176</v>
      </c>
      <c r="G121" s="72" t="s">
        <v>239</v>
      </c>
      <c r="H121" s="208">
        <f>ROUND(1,2)</f>
        <v>1</v>
      </c>
      <c r="I121" s="72" t="s">
        <v>126</v>
      </c>
      <c r="J121" s="74" t="s">
        <v>127</v>
      </c>
      <c r="L121" s="17">
        <f t="shared" si="1"/>
        <v>46050</v>
      </c>
    </row>
    <row r="122" spans="1:12" ht="27.75">
      <c r="A122" s="72" t="s">
        <v>51</v>
      </c>
      <c r="B122" s="72" t="s">
        <v>269</v>
      </c>
      <c r="C122" s="72" t="s">
        <v>224</v>
      </c>
      <c r="D122" s="72" t="s">
        <v>123</v>
      </c>
      <c r="E122" s="72" t="s">
        <v>124</v>
      </c>
      <c r="F122" s="72" t="s">
        <v>176</v>
      </c>
      <c r="G122" s="72" t="s">
        <v>241</v>
      </c>
      <c r="H122" s="208">
        <f>ROUND(1,2)</f>
        <v>1</v>
      </c>
      <c r="I122" s="72" t="s">
        <v>126</v>
      </c>
      <c r="J122" s="74" t="s">
        <v>127</v>
      </c>
      <c r="L122" s="17">
        <f t="shared" si="1"/>
        <v>46048</v>
      </c>
    </row>
    <row r="123" spans="1:12" ht="27.75">
      <c r="A123" s="72" t="s">
        <v>51</v>
      </c>
      <c r="B123" s="72" t="s">
        <v>269</v>
      </c>
      <c r="C123" s="72" t="s">
        <v>224</v>
      </c>
      <c r="D123" s="72" t="s">
        <v>123</v>
      </c>
      <c r="E123" s="72" t="s">
        <v>124</v>
      </c>
      <c r="F123" s="72" t="s">
        <v>176</v>
      </c>
      <c r="G123" s="72" t="s">
        <v>233</v>
      </c>
      <c r="H123" s="208">
        <f>ROUND(1,2)</f>
        <v>1</v>
      </c>
      <c r="I123" s="72" t="s">
        <v>126</v>
      </c>
      <c r="J123" s="74" t="s">
        <v>127</v>
      </c>
      <c r="L123" s="17">
        <f t="shared" si="1"/>
        <v>46051</v>
      </c>
    </row>
    <row r="124" spans="1:12" ht="27.75">
      <c r="A124" s="75" t="s">
        <v>270</v>
      </c>
      <c r="B124" s="75" t="s">
        <v>271</v>
      </c>
      <c r="C124" s="75"/>
      <c r="D124" s="75"/>
      <c r="E124" s="75"/>
      <c r="F124" s="75"/>
      <c r="G124" s="75"/>
      <c r="H124" s="75"/>
      <c r="I124" s="75"/>
      <c r="J124" s="76"/>
    </row>
    <row r="125" spans="1:12" ht="15"/>
  </sheetData>
  <autoFilter ref="A1:L71" xr:uid="{AEE37CDD-D7ED-431B-90BB-70217FADFB4D}"/>
  <pageMargins left="0.25" right="0.25" top="0.75" bottom="0.75" header="0.25" footer="0.2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D237-EAFC-409B-ADA0-016E2D9A88A3}">
  <sheetPr filterMode="1">
    <tabColor rgb="FFC00000"/>
  </sheetPr>
  <dimension ref="A1:N423"/>
  <sheetViews>
    <sheetView workbookViewId="0"/>
  </sheetViews>
  <sheetFormatPr defaultColWidth="8.85546875" defaultRowHeight="14.45"/>
  <cols>
    <col min="1" max="1" width="18.85546875" customWidth="1"/>
    <col min="2" max="2" width="13.42578125" customWidth="1"/>
    <col min="3" max="3" width="16.140625" customWidth="1"/>
    <col min="4" max="4" width="23" customWidth="1"/>
    <col min="5" max="9" width="16.140625" customWidth="1"/>
    <col min="10" max="10" width="14.85546875" customWidth="1"/>
    <col min="11" max="11" width="9.140625"/>
    <col min="12" max="12" width="23" customWidth="1"/>
  </cols>
  <sheetData>
    <row r="1" spans="1:14" ht="27.75">
      <c r="A1" s="70" t="s">
        <v>110</v>
      </c>
      <c r="B1" s="70" t="s">
        <v>111</v>
      </c>
      <c r="C1" s="70" t="s">
        <v>112</v>
      </c>
      <c r="D1" s="70" t="s">
        <v>113</v>
      </c>
      <c r="E1" s="70" t="s">
        <v>114</v>
      </c>
      <c r="F1" s="70" t="s">
        <v>115</v>
      </c>
      <c r="G1" s="70" t="s">
        <v>116</v>
      </c>
      <c r="H1" s="70" t="s">
        <v>117</v>
      </c>
      <c r="I1" s="70" t="s">
        <v>118</v>
      </c>
      <c r="J1" s="71" t="s">
        <v>119</v>
      </c>
      <c r="L1" t="s">
        <v>120</v>
      </c>
      <c r="N1" s="159" t="s">
        <v>272</v>
      </c>
    </row>
    <row r="2" spans="1:14" ht="27.75">
      <c r="A2" s="72" t="s">
        <v>65</v>
      </c>
      <c r="B2" s="72" t="s">
        <v>121</v>
      </c>
      <c r="C2" s="72" t="s">
        <v>122</v>
      </c>
      <c r="D2" s="72" t="s">
        <v>123</v>
      </c>
      <c r="E2" s="72" t="s">
        <v>124</v>
      </c>
      <c r="F2" s="72" t="s">
        <v>273</v>
      </c>
      <c r="G2" s="72" t="s">
        <v>274</v>
      </c>
      <c r="H2" s="73">
        <f t="shared" ref="H2:H14" si="0">ROUND(1,2)</f>
        <v>1</v>
      </c>
      <c r="I2" s="72" t="s">
        <v>126</v>
      </c>
      <c r="J2" s="74" t="s">
        <v>127</v>
      </c>
      <c r="L2" s="17">
        <f>DATE(RIGHT(G2,4), MID(G2,4,2), LEFT(G2,2))</f>
        <v>45890</v>
      </c>
      <c r="N2">
        <f>MONTH(L2)</f>
        <v>8</v>
      </c>
    </row>
    <row r="3" spans="1:14" ht="27.75">
      <c r="A3" s="72" t="s">
        <v>65</v>
      </c>
      <c r="B3" s="72" t="s">
        <v>121</v>
      </c>
      <c r="C3" s="72" t="s">
        <v>122</v>
      </c>
      <c r="D3" s="72" t="s">
        <v>123</v>
      </c>
      <c r="E3" s="72" t="s">
        <v>124</v>
      </c>
      <c r="F3" s="72" t="s">
        <v>273</v>
      </c>
      <c r="G3" s="72" t="s">
        <v>275</v>
      </c>
      <c r="H3" s="73">
        <f t="shared" si="0"/>
        <v>1</v>
      </c>
      <c r="I3" s="72" t="s">
        <v>126</v>
      </c>
      <c r="J3" s="74" t="s">
        <v>127</v>
      </c>
      <c r="L3" s="17">
        <f t="shared" ref="L3:L66" si="1">DATE(RIGHT(G3,4), MID(G3,4,2), LEFT(G3,2))</f>
        <v>45891</v>
      </c>
      <c r="N3">
        <f t="shared" ref="N3:N66" si="2">MONTH(L3)</f>
        <v>8</v>
      </c>
    </row>
    <row r="4" spans="1:14" ht="27.75">
      <c r="A4" s="72" t="s">
        <v>65</v>
      </c>
      <c r="B4" s="72" t="s">
        <v>121</v>
      </c>
      <c r="C4" s="72" t="s">
        <v>122</v>
      </c>
      <c r="D4" s="72" t="s">
        <v>123</v>
      </c>
      <c r="E4" s="72" t="s">
        <v>124</v>
      </c>
      <c r="F4" s="72" t="s">
        <v>276</v>
      </c>
      <c r="G4" s="72" t="s">
        <v>277</v>
      </c>
      <c r="H4" s="73">
        <f t="shared" si="0"/>
        <v>1</v>
      </c>
      <c r="I4" s="72" t="s">
        <v>126</v>
      </c>
      <c r="J4" s="74" t="s">
        <v>127</v>
      </c>
      <c r="L4" s="17">
        <f t="shared" si="1"/>
        <v>45838</v>
      </c>
      <c r="N4">
        <f t="shared" si="2"/>
        <v>6</v>
      </c>
    </row>
    <row r="5" spans="1:14" ht="27.75">
      <c r="A5" s="72" t="s">
        <v>65</v>
      </c>
      <c r="B5" s="72" t="s">
        <v>121</v>
      </c>
      <c r="C5" s="72" t="s">
        <v>122</v>
      </c>
      <c r="D5" s="72" t="s">
        <v>123</v>
      </c>
      <c r="E5" s="72" t="s">
        <v>124</v>
      </c>
      <c r="F5" s="72" t="s">
        <v>273</v>
      </c>
      <c r="G5" s="72" t="s">
        <v>278</v>
      </c>
      <c r="H5" s="73">
        <f t="shared" si="0"/>
        <v>1</v>
      </c>
      <c r="I5" s="72" t="s">
        <v>126</v>
      </c>
      <c r="J5" s="74" t="s">
        <v>127</v>
      </c>
      <c r="L5" s="17">
        <f t="shared" si="1"/>
        <v>45897</v>
      </c>
      <c r="N5">
        <f t="shared" si="2"/>
        <v>8</v>
      </c>
    </row>
    <row r="6" spans="1:14" ht="27.75">
      <c r="A6" s="72" t="s">
        <v>65</v>
      </c>
      <c r="B6" s="72" t="s">
        <v>121</v>
      </c>
      <c r="C6" s="72" t="s">
        <v>122</v>
      </c>
      <c r="D6" s="72" t="s">
        <v>123</v>
      </c>
      <c r="E6" s="72" t="s">
        <v>124</v>
      </c>
      <c r="F6" s="72" t="s">
        <v>273</v>
      </c>
      <c r="G6" s="72" t="s">
        <v>279</v>
      </c>
      <c r="H6" s="73">
        <f t="shared" si="0"/>
        <v>1</v>
      </c>
      <c r="I6" s="72" t="s">
        <v>126</v>
      </c>
      <c r="J6" s="74" t="s">
        <v>127</v>
      </c>
      <c r="L6" s="17">
        <f t="shared" si="1"/>
        <v>45887</v>
      </c>
      <c r="N6">
        <f t="shared" si="2"/>
        <v>8</v>
      </c>
    </row>
    <row r="7" spans="1:14" ht="27.75">
      <c r="A7" s="72" t="s">
        <v>65</v>
      </c>
      <c r="B7" s="72" t="s">
        <v>121</v>
      </c>
      <c r="C7" s="72" t="s">
        <v>122</v>
      </c>
      <c r="D7" s="72" t="s">
        <v>123</v>
      </c>
      <c r="E7" s="72" t="s">
        <v>124</v>
      </c>
      <c r="F7" s="72" t="s">
        <v>273</v>
      </c>
      <c r="G7" s="72" t="s">
        <v>280</v>
      </c>
      <c r="H7" s="73">
        <f t="shared" si="0"/>
        <v>1</v>
      </c>
      <c r="I7" s="72" t="s">
        <v>126</v>
      </c>
      <c r="J7" s="74" t="s">
        <v>127</v>
      </c>
      <c r="L7" s="17">
        <f>DATE(RIGHT(G7,4), MID(G7,4,2), LEFT(G7,2))</f>
        <v>45898</v>
      </c>
      <c r="N7">
        <f t="shared" si="2"/>
        <v>8</v>
      </c>
    </row>
    <row r="8" spans="1:14" ht="27.75">
      <c r="A8" s="72" t="s">
        <v>65</v>
      </c>
      <c r="B8" s="72" t="s">
        <v>121</v>
      </c>
      <c r="C8" s="72" t="s">
        <v>122</v>
      </c>
      <c r="D8" s="72" t="s">
        <v>123</v>
      </c>
      <c r="E8" s="72" t="s">
        <v>124</v>
      </c>
      <c r="F8" s="72" t="s">
        <v>273</v>
      </c>
      <c r="G8" s="72" t="s">
        <v>281</v>
      </c>
      <c r="H8" s="73">
        <f t="shared" si="0"/>
        <v>1</v>
      </c>
      <c r="I8" s="72" t="s">
        <v>126</v>
      </c>
      <c r="J8" s="74" t="s">
        <v>127</v>
      </c>
      <c r="L8" s="17">
        <f t="shared" si="1"/>
        <v>45884</v>
      </c>
      <c r="N8">
        <f t="shared" si="2"/>
        <v>8</v>
      </c>
    </row>
    <row r="9" spans="1:14" ht="27.75">
      <c r="A9" s="72" t="s">
        <v>65</v>
      </c>
      <c r="B9" s="72" t="s">
        <v>121</v>
      </c>
      <c r="C9" s="72" t="s">
        <v>122</v>
      </c>
      <c r="D9" s="72" t="s">
        <v>123</v>
      </c>
      <c r="E9" s="72" t="s">
        <v>124</v>
      </c>
      <c r="F9" s="72" t="s">
        <v>273</v>
      </c>
      <c r="G9" s="72" t="s">
        <v>282</v>
      </c>
      <c r="H9" s="73">
        <f t="shared" si="0"/>
        <v>1</v>
      </c>
      <c r="I9" s="72" t="s">
        <v>126</v>
      </c>
      <c r="J9" s="74" t="s">
        <v>127</v>
      </c>
      <c r="L9" s="17">
        <f t="shared" si="1"/>
        <v>45894</v>
      </c>
      <c r="N9">
        <f t="shared" si="2"/>
        <v>8</v>
      </c>
    </row>
    <row r="10" spans="1:14" ht="27.75">
      <c r="A10" s="72" t="s">
        <v>65</v>
      </c>
      <c r="B10" s="72" t="s">
        <v>121</v>
      </c>
      <c r="C10" s="72" t="s">
        <v>122</v>
      </c>
      <c r="D10" s="72" t="s">
        <v>123</v>
      </c>
      <c r="E10" s="72" t="s">
        <v>124</v>
      </c>
      <c r="F10" s="72" t="s">
        <v>273</v>
      </c>
      <c r="G10" s="72" t="s">
        <v>283</v>
      </c>
      <c r="H10" s="73">
        <f t="shared" si="0"/>
        <v>1</v>
      </c>
      <c r="I10" s="72" t="s">
        <v>126</v>
      </c>
      <c r="J10" s="74" t="s">
        <v>127</v>
      </c>
      <c r="L10" s="17">
        <f t="shared" si="1"/>
        <v>45896</v>
      </c>
      <c r="N10">
        <f t="shared" si="2"/>
        <v>8</v>
      </c>
    </row>
    <row r="11" spans="1:14" ht="27.75">
      <c r="A11" s="72" t="s">
        <v>65</v>
      </c>
      <c r="B11" s="72" t="s">
        <v>121</v>
      </c>
      <c r="C11" s="72" t="s">
        <v>122</v>
      </c>
      <c r="D11" s="72" t="s">
        <v>123</v>
      </c>
      <c r="E11" s="72" t="s">
        <v>124</v>
      </c>
      <c r="F11" s="72" t="s">
        <v>273</v>
      </c>
      <c r="G11" s="72" t="s">
        <v>284</v>
      </c>
      <c r="H11" s="73">
        <f t="shared" si="0"/>
        <v>1</v>
      </c>
      <c r="I11" s="72" t="s">
        <v>126</v>
      </c>
      <c r="J11" s="74" t="s">
        <v>127</v>
      </c>
      <c r="L11" s="17">
        <f t="shared" si="1"/>
        <v>45889</v>
      </c>
      <c r="N11">
        <f t="shared" si="2"/>
        <v>8</v>
      </c>
    </row>
    <row r="12" spans="1:14" ht="27.75">
      <c r="A12" s="72" t="s">
        <v>65</v>
      </c>
      <c r="B12" s="72" t="s">
        <v>121</v>
      </c>
      <c r="C12" s="72" t="s">
        <v>122</v>
      </c>
      <c r="D12" s="72" t="s">
        <v>123</v>
      </c>
      <c r="E12" s="72" t="s">
        <v>124</v>
      </c>
      <c r="F12" s="72" t="s">
        <v>273</v>
      </c>
      <c r="G12" s="72" t="s">
        <v>285</v>
      </c>
      <c r="H12" s="73">
        <f t="shared" si="0"/>
        <v>1</v>
      </c>
      <c r="I12" s="72" t="s">
        <v>126</v>
      </c>
      <c r="J12" s="74" t="s">
        <v>127</v>
      </c>
      <c r="L12" s="17">
        <f t="shared" si="1"/>
        <v>45895</v>
      </c>
      <c r="N12">
        <f t="shared" si="2"/>
        <v>8</v>
      </c>
    </row>
    <row r="13" spans="1:14" ht="27.75">
      <c r="A13" s="72" t="s">
        <v>65</v>
      </c>
      <c r="B13" s="72" t="s">
        <v>121</v>
      </c>
      <c r="C13" s="72" t="s">
        <v>122</v>
      </c>
      <c r="D13" s="72" t="s">
        <v>123</v>
      </c>
      <c r="E13" s="72" t="s">
        <v>124</v>
      </c>
      <c r="F13" s="72" t="s">
        <v>273</v>
      </c>
      <c r="G13" s="72" t="s">
        <v>286</v>
      </c>
      <c r="H13" s="73">
        <f t="shared" si="0"/>
        <v>1</v>
      </c>
      <c r="I13" s="72" t="s">
        <v>126</v>
      </c>
      <c r="J13" s="74" t="s">
        <v>127</v>
      </c>
      <c r="L13" s="17">
        <f t="shared" si="1"/>
        <v>45888</v>
      </c>
      <c r="N13">
        <f t="shared" si="2"/>
        <v>8</v>
      </c>
    </row>
    <row r="14" spans="1:14" ht="27.75">
      <c r="A14" s="72" t="s">
        <v>65</v>
      </c>
      <c r="B14" s="72" t="s">
        <v>121</v>
      </c>
      <c r="C14" s="72" t="s">
        <v>122</v>
      </c>
      <c r="D14" s="72" t="s">
        <v>123</v>
      </c>
      <c r="E14" s="72" t="s">
        <v>124</v>
      </c>
      <c r="F14" s="72" t="s">
        <v>273</v>
      </c>
      <c r="G14" s="72" t="s">
        <v>287</v>
      </c>
      <c r="H14" s="73">
        <f t="shared" si="0"/>
        <v>1</v>
      </c>
      <c r="I14" s="72" t="s">
        <v>126</v>
      </c>
      <c r="J14" s="74" t="s">
        <v>127</v>
      </c>
      <c r="L14" s="17">
        <f t="shared" si="1"/>
        <v>45883</v>
      </c>
      <c r="N14">
        <f t="shared" si="2"/>
        <v>8</v>
      </c>
    </row>
    <row r="15" spans="1:14" ht="27.75">
      <c r="A15" s="72" t="s">
        <v>128</v>
      </c>
      <c r="B15" s="72" t="s">
        <v>129</v>
      </c>
      <c r="C15" s="72" t="s">
        <v>130</v>
      </c>
      <c r="D15" s="72" t="s">
        <v>131</v>
      </c>
      <c r="E15" s="72" t="s">
        <v>124</v>
      </c>
      <c r="F15" s="72" t="s">
        <v>257</v>
      </c>
      <c r="G15" s="72" t="s">
        <v>182</v>
      </c>
      <c r="H15" s="73">
        <f>ROUND(7.5,2)</f>
        <v>7.5</v>
      </c>
      <c r="I15" s="72" t="s">
        <v>134</v>
      </c>
      <c r="J15" s="74" t="s">
        <v>127</v>
      </c>
      <c r="L15" s="17">
        <f t="shared" si="1"/>
        <v>46020</v>
      </c>
      <c r="N15">
        <f t="shared" si="2"/>
        <v>12</v>
      </c>
    </row>
    <row r="16" spans="1:14" ht="27.75">
      <c r="A16" s="72" t="s">
        <v>128</v>
      </c>
      <c r="B16" s="72" t="s">
        <v>129</v>
      </c>
      <c r="C16" s="72" t="s">
        <v>130</v>
      </c>
      <c r="D16" s="72" t="s">
        <v>131</v>
      </c>
      <c r="E16" s="72" t="s">
        <v>124</v>
      </c>
      <c r="F16" s="72" t="s">
        <v>257</v>
      </c>
      <c r="G16" s="72" t="s">
        <v>288</v>
      </c>
      <c r="H16" s="73">
        <f>ROUND(7.5,2)</f>
        <v>7.5</v>
      </c>
      <c r="I16" s="72" t="s">
        <v>134</v>
      </c>
      <c r="J16" s="74" t="s">
        <v>127</v>
      </c>
      <c r="L16" s="17">
        <f t="shared" si="1"/>
        <v>46022</v>
      </c>
      <c r="N16">
        <f t="shared" si="2"/>
        <v>12</v>
      </c>
    </row>
    <row r="17" spans="1:14" ht="27.75">
      <c r="A17" s="72" t="s">
        <v>128</v>
      </c>
      <c r="B17" s="72" t="s">
        <v>129</v>
      </c>
      <c r="C17" s="72" t="s">
        <v>130</v>
      </c>
      <c r="D17" s="72" t="s">
        <v>131</v>
      </c>
      <c r="E17" s="72" t="s">
        <v>124</v>
      </c>
      <c r="F17" s="72" t="s">
        <v>257</v>
      </c>
      <c r="G17" s="72" t="s">
        <v>289</v>
      </c>
      <c r="H17" s="73">
        <f>ROUND(7.5,2)</f>
        <v>7.5</v>
      </c>
      <c r="I17" s="72" t="s">
        <v>134</v>
      </c>
      <c r="J17" s="74" t="s">
        <v>127</v>
      </c>
      <c r="L17" s="17">
        <f t="shared" si="1"/>
        <v>46017</v>
      </c>
      <c r="N17">
        <f t="shared" si="2"/>
        <v>12</v>
      </c>
    </row>
    <row r="18" spans="1:14" ht="27.75">
      <c r="A18" s="72" t="s">
        <v>128</v>
      </c>
      <c r="B18" s="72" t="s">
        <v>129</v>
      </c>
      <c r="C18" s="72" t="s">
        <v>130</v>
      </c>
      <c r="D18" s="72" t="s">
        <v>131</v>
      </c>
      <c r="E18" s="72" t="s">
        <v>124</v>
      </c>
      <c r="F18" s="72" t="s">
        <v>257</v>
      </c>
      <c r="G18" s="72" t="s">
        <v>290</v>
      </c>
      <c r="H18" s="73">
        <f>ROUND(7.5,2)</f>
        <v>7.5</v>
      </c>
      <c r="I18" s="72" t="s">
        <v>134</v>
      </c>
      <c r="J18" s="74" t="s">
        <v>127</v>
      </c>
      <c r="L18" s="17">
        <f t="shared" si="1"/>
        <v>46015</v>
      </c>
      <c r="N18">
        <f t="shared" si="2"/>
        <v>12</v>
      </c>
    </row>
    <row r="19" spans="1:14" ht="27.75">
      <c r="A19" s="72" t="s">
        <v>128</v>
      </c>
      <c r="B19" s="72" t="s">
        <v>129</v>
      </c>
      <c r="C19" s="72" t="s">
        <v>130</v>
      </c>
      <c r="D19" s="72" t="s">
        <v>131</v>
      </c>
      <c r="E19" s="72" t="s">
        <v>124</v>
      </c>
      <c r="F19" s="72" t="s">
        <v>291</v>
      </c>
      <c r="G19" s="72" t="s">
        <v>292</v>
      </c>
      <c r="H19" s="73">
        <f>ROUND(7.5,2)</f>
        <v>7.5</v>
      </c>
      <c r="I19" s="72" t="s">
        <v>134</v>
      </c>
      <c r="J19" s="74" t="s">
        <v>127</v>
      </c>
      <c r="L19" s="17">
        <f t="shared" si="1"/>
        <v>45995</v>
      </c>
      <c r="N19">
        <f t="shared" si="2"/>
        <v>12</v>
      </c>
    </row>
    <row r="20" spans="1:14" ht="41.25">
      <c r="A20" s="72" t="s">
        <v>31</v>
      </c>
      <c r="B20" s="72" t="s">
        <v>293</v>
      </c>
      <c r="C20" s="72" t="s">
        <v>294</v>
      </c>
      <c r="D20" s="72" t="s">
        <v>123</v>
      </c>
      <c r="E20" s="72" t="s">
        <v>124</v>
      </c>
      <c r="F20" s="72" t="s">
        <v>295</v>
      </c>
      <c r="G20" s="72" t="s">
        <v>296</v>
      </c>
      <c r="H20" s="73">
        <f t="shared" ref="H20:H32" si="3">ROUND(1,2)</f>
        <v>1</v>
      </c>
      <c r="I20" s="72" t="s">
        <v>126</v>
      </c>
      <c r="J20" s="74" t="s">
        <v>127</v>
      </c>
      <c r="L20" s="17">
        <f t="shared" si="1"/>
        <v>45868</v>
      </c>
      <c r="N20">
        <f t="shared" si="2"/>
        <v>7</v>
      </c>
    </row>
    <row r="21" spans="1:14" ht="41.25">
      <c r="A21" s="72" t="s">
        <v>31</v>
      </c>
      <c r="B21" s="72" t="s">
        <v>293</v>
      </c>
      <c r="C21" s="72" t="s">
        <v>294</v>
      </c>
      <c r="D21" s="72" t="s">
        <v>123</v>
      </c>
      <c r="E21" s="72" t="s">
        <v>124</v>
      </c>
      <c r="F21" s="72" t="s">
        <v>297</v>
      </c>
      <c r="G21" s="72" t="s">
        <v>297</v>
      </c>
      <c r="H21" s="73">
        <f t="shared" si="3"/>
        <v>1</v>
      </c>
      <c r="I21" s="72" t="s">
        <v>126</v>
      </c>
      <c r="J21" s="74" t="s">
        <v>127</v>
      </c>
      <c r="L21" s="17">
        <f t="shared" si="1"/>
        <v>45814</v>
      </c>
      <c r="N21">
        <f t="shared" si="2"/>
        <v>6</v>
      </c>
    </row>
    <row r="22" spans="1:14" ht="41.25">
      <c r="A22" s="72" t="s">
        <v>31</v>
      </c>
      <c r="B22" s="72" t="s">
        <v>293</v>
      </c>
      <c r="C22" s="72" t="s">
        <v>294</v>
      </c>
      <c r="D22" s="72" t="s">
        <v>123</v>
      </c>
      <c r="E22" s="72" t="s">
        <v>124</v>
      </c>
      <c r="F22" s="72" t="s">
        <v>274</v>
      </c>
      <c r="G22" s="72" t="s">
        <v>283</v>
      </c>
      <c r="H22" s="73">
        <f t="shared" si="3"/>
        <v>1</v>
      </c>
      <c r="I22" s="72" t="s">
        <v>126</v>
      </c>
      <c r="J22" s="74" t="s">
        <v>127</v>
      </c>
      <c r="L22" s="17">
        <f t="shared" si="1"/>
        <v>45896</v>
      </c>
      <c r="N22">
        <f t="shared" si="2"/>
        <v>8</v>
      </c>
    </row>
    <row r="23" spans="1:14" ht="41.25">
      <c r="A23" s="72" t="s">
        <v>31</v>
      </c>
      <c r="B23" s="72" t="s">
        <v>293</v>
      </c>
      <c r="C23" s="72" t="s">
        <v>294</v>
      </c>
      <c r="D23" s="72" t="s">
        <v>123</v>
      </c>
      <c r="E23" s="72" t="s">
        <v>124</v>
      </c>
      <c r="F23" s="72" t="s">
        <v>295</v>
      </c>
      <c r="G23" s="72" t="s">
        <v>298</v>
      </c>
      <c r="H23" s="73">
        <f t="shared" si="3"/>
        <v>1</v>
      </c>
      <c r="I23" s="72" t="s">
        <v>126</v>
      </c>
      <c r="J23" s="74" t="s">
        <v>127</v>
      </c>
      <c r="L23" s="17">
        <f t="shared" si="1"/>
        <v>45869</v>
      </c>
      <c r="N23">
        <f t="shared" si="2"/>
        <v>7</v>
      </c>
    </row>
    <row r="24" spans="1:14" ht="41.25">
      <c r="A24" s="72" t="s">
        <v>31</v>
      </c>
      <c r="B24" s="72" t="s">
        <v>293</v>
      </c>
      <c r="C24" s="72" t="s">
        <v>294</v>
      </c>
      <c r="D24" s="72" t="s">
        <v>123</v>
      </c>
      <c r="E24" s="72" t="s">
        <v>124</v>
      </c>
      <c r="F24" s="72" t="s">
        <v>299</v>
      </c>
      <c r="G24" s="72" t="s">
        <v>300</v>
      </c>
      <c r="H24" s="73">
        <f t="shared" si="3"/>
        <v>1</v>
      </c>
      <c r="I24" s="72" t="s">
        <v>126</v>
      </c>
      <c r="J24" s="74" t="s">
        <v>127</v>
      </c>
      <c r="L24" s="17">
        <f t="shared" si="1"/>
        <v>45747</v>
      </c>
      <c r="N24">
        <f t="shared" si="2"/>
        <v>3</v>
      </c>
    </row>
    <row r="25" spans="1:14" ht="41.25">
      <c r="A25" s="72" t="s">
        <v>31</v>
      </c>
      <c r="B25" s="72" t="s">
        <v>293</v>
      </c>
      <c r="C25" s="72" t="s">
        <v>294</v>
      </c>
      <c r="D25" s="72" t="s">
        <v>123</v>
      </c>
      <c r="E25" s="72" t="s">
        <v>124</v>
      </c>
      <c r="F25" s="72" t="s">
        <v>301</v>
      </c>
      <c r="G25" s="72" t="s">
        <v>302</v>
      </c>
      <c r="H25" s="73">
        <f t="shared" si="3"/>
        <v>1</v>
      </c>
      <c r="I25" s="72" t="s">
        <v>126</v>
      </c>
      <c r="J25" s="74" t="s">
        <v>127</v>
      </c>
      <c r="L25" s="17">
        <f t="shared" si="1"/>
        <v>45659</v>
      </c>
      <c r="N25">
        <f t="shared" si="2"/>
        <v>1</v>
      </c>
    </row>
    <row r="26" spans="1:14" ht="41.25">
      <c r="A26" s="72" t="s">
        <v>31</v>
      </c>
      <c r="B26" s="72" t="s">
        <v>293</v>
      </c>
      <c r="C26" s="72" t="s">
        <v>294</v>
      </c>
      <c r="D26" s="72" t="s">
        <v>123</v>
      </c>
      <c r="E26" s="72" t="s">
        <v>124</v>
      </c>
      <c r="F26" s="72" t="s">
        <v>274</v>
      </c>
      <c r="G26" s="72" t="s">
        <v>278</v>
      </c>
      <c r="H26" s="73">
        <f t="shared" si="3"/>
        <v>1</v>
      </c>
      <c r="I26" s="72" t="s">
        <v>126</v>
      </c>
      <c r="J26" s="74" t="s">
        <v>127</v>
      </c>
      <c r="L26" s="17">
        <f t="shared" si="1"/>
        <v>45897</v>
      </c>
      <c r="N26">
        <f t="shared" si="2"/>
        <v>8</v>
      </c>
    </row>
    <row r="27" spans="1:14" ht="41.25">
      <c r="A27" s="72" t="s">
        <v>31</v>
      </c>
      <c r="B27" s="72" t="s">
        <v>293</v>
      </c>
      <c r="C27" s="72" t="s">
        <v>294</v>
      </c>
      <c r="D27" s="72" t="s">
        <v>123</v>
      </c>
      <c r="E27" s="72" t="s">
        <v>124</v>
      </c>
      <c r="F27" s="72" t="s">
        <v>299</v>
      </c>
      <c r="G27" s="72" t="s">
        <v>303</v>
      </c>
      <c r="H27" s="73">
        <f t="shared" si="3"/>
        <v>1</v>
      </c>
      <c r="I27" s="72" t="s">
        <v>126</v>
      </c>
      <c r="J27" s="74" t="s">
        <v>127</v>
      </c>
      <c r="L27" s="17">
        <f t="shared" si="1"/>
        <v>45749</v>
      </c>
      <c r="N27">
        <f t="shared" si="2"/>
        <v>4</v>
      </c>
    </row>
    <row r="28" spans="1:14" ht="41.25">
      <c r="A28" s="72" t="s">
        <v>31</v>
      </c>
      <c r="B28" s="72" t="s">
        <v>293</v>
      </c>
      <c r="C28" s="72" t="s">
        <v>294</v>
      </c>
      <c r="D28" s="72" t="s">
        <v>123</v>
      </c>
      <c r="E28" s="72" t="s">
        <v>124</v>
      </c>
      <c r="F28" s="72" t="s">
        <v>274</v>
      </c>
      <c r="G28" s="72" t="s">
        <v>280</v>
      </c>
      <c r="H28" s="73">
        <f t="shared" si="3"/>
        <v>1</v>
      </c>
      <c r="I28" s="72" t="s">
        <v>126</v>
      </c>
      <c r="J28" s="74" t="s">
        <v>127</v>
      </c>
      <c r="L28" s="17">
        <f t="shared" si="1"/>
        <v>45898</v>
      </c>
      <c r="N28">
        <f t="shared" si="2"/>
        <v>8</v>
      </c>
    </row>
    <row r="29" spans="1:14" ht="41.25">
      <c r="A29" s="72" t="s">
        <v>31</v>
      </c>
      <c r="B29" s="72" t="s">
        <v>293</v>
      </c>
      <c r="C29" s="72" t="s">
        <v>294</v>
      </c>
      <c r="D29" s="72" t="s">
        <v>123</v>
      </c>
      <c r="E29" s="72" t="s">
        <v>124</v>
      </c>
      <c r="F29" s="72" t="s">
        <v>299</v>
      </c>
      <c r="G29" s="72" t="s">
        <v>304</v>
      </c>
      <c r="H29" s="73">
        <f t="shared" si="3"/>
        <v>1</v>
      </c>
      <c r="I29" s="72" t="s">
        <v>126</v>
      </c>
      <c r="J29" s="74" t="s">
        <v>127</v>
      </c>
      <c r="L29" s="17">
        <f t="shared" si="1"/>
        <v>45748</v>
      </c>
      <c r="N29">
        <f t="shared" si="2"/>
        <v>4</v>
      </c>
    </row>
    <row r="30" spans="1:14" ht="41.25">
      <c r="A30" s="72" t="s">
        <v>31</v>
      </c>
      <c r="B30" s="72" t="s">
        <v>293</v>
      </c>
      <c r="C30" s="72" t="s">
        <v>294</v>
      </c>
      <c r="D30" s="72" t="s">
        <v>123</v>
      </c>
      <c r="E30" s="72" t="s">
        <v>124</v>
      </c>
      <c r="F30" s="72" t="s">
        <v>301</v>
      </c>
      <c r="G30" s="72" t="s">
        <v>305</v>
      </c>
      <c r="H30" s="73">
        <f t="shared" si="3"/>
        <v>1</v>
      </c>
      <c r="I30" s="72" t="s">
        <v>126</v>
      </c>
      <c r="J30" s="74" t="s">
        <v>127</v>
      </c>
      <c r="L30" s="17">
        <f t="shared" si="1"/>
        <v>45660</v>
      </c>
      <c r="N30">
        <f t="shared" si="2"/>
        <v>1</v>
      </c>
    </row>
    <row r="31" spans="1:14" ht="15.75">
      <c r="A31" s="72" t="s">
        <v>82</v>
      </c>
      <c r="B31" s="72" t="s">
        <v>306</v>
      </c>
      <c r="C31" s="72" t="s">
        <v>159</v>
      </c>
      <c r="D31" s="72" t="s">
        <v>123</v>
      </c>
      <c r="E31" s="72" t="s">
        <v>124</v>
      </c>
      <c r="F31" s="72" t="s">
        <v>307</v>
      </c>
      <c r="G31" s="72" t="s">
        <v>182</v>
      </c>
      <c r="H31" s="73">
        <f t="shared" si="3"/>
        <v>1</v>
      </c>
      <c r="I31" s="72" t="s">
        <v>126</v>
      </c>
      <c r="J31" s="74" t="s">
        <v>127</v>
      </c>
      <c r="L31" s="17">
        <f t="shared" si="1"/>
        <v>46020</v>
      </c>
      <c r="N31">
        <f t="shared" si="2"/>
        <v>12</v>
      </c>
    </row>
    <row r="32" spans="1:14" ht="15.75">
      <c r="A32" s="72" t="s">
        <v>82</v>
      </c>
      <c r="B32" s="72" t="s">
        <v>306</v>
      </c>
      <c r="C32" s="72" t="s">
        <v>159</v>
      </c>
      <c r="D32" s="72" t="s">
        <v>123</v>
      </c>
      <c r="E32" s="72" t="s">
        <v>124</v>
      </c>
      <c r="F32" s="72" t="s">
        <v>300</v>
      </c>
      <c r="G32" s="72" t="s">
        <v>308</v>
      </c>
      <c r="H32" s="73">
        <f t="shared" si="3"/>
        <v>1</v>
      </c>
      <c r="I32" s="72" t="s">
        <v>126</v>
      </c>
      <c r="J32" s="74" t="s">
        <v>127</v>
      </c>
      <c r="L32" s="17">
        <f t="shared" si="1"/>
        <v>45754</v>
      </c>
      <c r="N32">
        <f t="shared" si="2"/>
        <v>4</v>
      </c>
    </row>
    <row r="33" spans="1:14" ht="15.75">
      <c r="A33" s="72" t="s">
        <v>82</v>
      </c>
      <c r="B33" s="72" t="s">
        <v>306</v>
      </c>
      <c r="C33" s="72" t="s">
        <v>159</v>
      </c>
      <c r="D33" s="72" t="s">
        <v>123</v>
      </c>
      <c r="E33" s="72" t="s">
        <v>124</v>
      </c>
      <c r="F33" s="72" t="s">
        <v>307</v>
      </c>
      <c r="G33" s="72" t="s">
        <v>290</v>
      </c>
      <c r="H33" s="73">
        <f>ROUND(0.5,2)</f>
        <v>0.5</v>
      </c>
      <c r="I33" s="72" t="s">
        <v>126</v>
      </c>
      <c r="J33" s="74" t="s">
        <v>127</v>
      </c>
      <c r="L33" s="17">
        <f t="shared" si="1"/>
        <v>46015</v>
      </c>
      <c r="N33">
        <f t="shared" si="2"/>
        <v>12</v>
      </c>
    </row>
    <row r="34" spans="1:14" ht="15.75">
      <c r="A34" s="72" t="s">
        <v>82</v>
      </c>
      <c r="B34" s="72" t="s">
        <v>306</v>
      </c>
      <c r="C34" s="72" t="s">
        <v>159</v>
      </c>
      <c r="D34" s="72" t="s">
        <v>123</v>
      </c>
      <c r="E34" s="72" t="s">
        <v>124</v>
      </c>
      <c r="F34" s="72" t="s">
        <v>309</v>
      </c>
      <c r="G34" s="72" t="s">
        <v>310</v>
      </c>
      <c r="H34" s="73">
        <f>ROUND(0.5,2)</f>
        <v>0.5</v>
      </c>
      <c r="I34" s="72" t="s">
        <v>126</v>
      </c>
      <c r="J34" s="74" t="s">
        <v>127</v>
      </c>
      <c r="L34" s="17">
        <f t="shared" si="1"/>
        <v>45812</v>
      </c>
      <c r="N34">
        <f t="shared" si="2"/>
        <v>6</v>
      </c>
    </row>
    <row r="35" spans="1:14" ht="15.75">
      <c r="A35" s="72" t="s">
        <v>82</v>
      </c>
      <c r="B35" s="72" t="s">
        <v>306</v>
      </c>
      <c r="C35" s="72" t="s">
        <v>159</v>
      </c>
      <c r="D35" s="72" t="s">
        <v>123</v>
      </c>
      <c r="E35" s="72" t="s">
        <v>124</v>
      </c>
      <c r="F35" s="72" t="s">
        <v>311</v>
      </c>
      <c r="G35" s="72" t="s">
        <v>312</v>
      </c>
      <c r="H35" s="73">
        <f>ROUND(1,2)</f>
        <v>1</v>
      </c>
      <c r="I35" s="72" t="s">
        <v>126</v>
      </c>
      <c r="J35" s="74" t="s">
        <v>127</v>
      </c>
      <c r="L35" s="17">
        <f t="shared" si="1"/>
        <v>45818</v>
      </c>
      <c r="N35">
        <f t="shared" si="2"/>
        <v>6</v>
      </c>
    </row>
    <row r="36" spans="1:14" ht="15.75">
      <c r="A36" s="72" t="s">
        <v>82</v>
      </c>
      <c r="B36" s="72" t="s">
        <v>306</v>
      </c>
      <c r="C36" s="72" t="s">
        <v>159</v>
      </c>
      <c r="D36" s="72" t="s">
        <v>123</v>
      </c>
      <c r="E36" s="72" t="s">
        <v>124</v>
      </c>
      <c r="F36" s="72" t="s">
        <v>309</v>
      </c>
      <c r="G36" s="72" t="s">
        <v>313</v>
      </c>
      <c r="H36" s="73">
        <f>ROUND(0.5,2)</f>
        <v>0.5</v>
      </c>
      <c r="I36" s="72" t="s">
        <v>126</v>
      </c>
      <c r="J36" s="74" t="s">
        <v>127</v>
      </c>
      <c r="L36" s="17">
        <f t="shared" si="1"/>
        <v>45813</v>
      </c>
      <c r="N36">
        <f t="shared" si="2"/>
        <v>6</v>
      </c>
    </row>
    <row r="37" spans="1:14" ht="15.75">
      <c r="A37" s="72" t="s">
        <v>82</v>
      </c>
      <c r="B37" s="72" t="s">
        <v>306</v>
      </c>
      <c r="C37" s="72" t="s">
        <v>159</v>
      </c>
      <c r="D37" s="72" t="s">
        <v>123</v>
      </c>
      <c r="E37" s="72" t="s">
        <v>124</v>
      </c>
      <c r="F37" s="72" t="s">
        <v>311</v>
      </c>
      <c r="G37" s="72" t="s">
        <v>314</v>
      </c>
      <c r="H37" s="73">
        <f>ROUND(0.5,2)</f>
        <v>0.5</v>
      </c>
      <c r="I37" s="72" t="s">
        <v>126</v>
      </c>
      <c r="J37" s="74" t="s">
        <v>127</v>
      </c>
      <c r="L37" s="17">
        <f t="shared" si="1"/>
        <v>45821</v>
      </c>
      <c r="N37">
        <f t="shared" si="2"/>
        <v>6</v>
      </c>
    </row>
    <row r="38" spans="1:14" ht="15.75">
      <c r="A38" s="72" t="s">
        <v>82</v>
      </c>
      <c r="B38" s="72" t="s">
        <v>306</v>
      </c>
      <c r="C38" s="72" t="s">
        <v>159</v>
      </c>
      <c r="D38" s="72" t="s">
        <v>123</v>
      </c>
      <c r="E38" s="72" t="s">
        <v>124</v>
      </c>
      <c r="F38" s="72" t="s">
        <v>311</v>
      </c>
      <c r="G38" s="72" t="s">
        <v>315</v>
      </c>
      <c r="H38" s="73">
        <f>ROUND(1,2)</f>
        <v>1</v>
      </c>
      <c r="I38" s="72" t="s">
        <v>126</v>
      </c>
      <c r="J38" s="74" t="s">
        <v>127</v>
      </c>
      <c r="L38" s="17">
        <f t="shared" si="1"/>
        <v>45819</v>
      </c>
      <c r="N38">
        <f t="shared" si="2"/>
        <v>6</v>
      </c>
    </row>
    <row r="39" spans="1:14" ht="15.75">
      <c r="A39" s="72" t="s">
        <v>82</v>
      </c>
      <c r="B39" s="72" t="s">
        <v>306</v>
      </c>
      <c r="C39" s="72" t="s">
        <v>159</v>
      </c>
      <c r="D39" s="72" t="s">
        <v>123</v>
      </c>
      <c r="E39" s="72" t="s">
        <v>124</v>
      </c>
      <c r="F39" s="72" t="s">
        <v>311</v>
      </c>
      <c r="G39" s="72" t="s">
        <v>316</v>
      </c>
      <c r="H39" s="73">
        <f>ROUND(0.5,2)</f>
        <v>0.5</v>
      </c>
      <c r="I39" s="72" t="s">
        <v>126</v>
      </c>
      <c r="J39" s="74" t="s">
        <v>127</v>
      </c>
      <c r="L39" s="17">
        <f t="shared" si="1"/>
        <v>45807</v>
      </c>
      <c r="N39">
        <f t="shared" si="2"/>
        <v>5</v>
      </c>
    </row>
    <row r="40" spans="1:14" ht="15.75">
      <c r="A40" s="72" t="s">
        <v>82</v>
      </c>
      <c r="B40" s="72" t="s">
        <v>306</v>
      </c>
      <c r="C40" s="72" t="s">
        <v>159</v>
      </c>
      <c r="D40" s="72" t="s">
        <v>123</v>
      </c>
      <c r="E40" s="72" t="s">
        <v>124</v>
      </c>
      <c r="F40" s="72" t="s">
        <v>309</v>
      </c>
      <c r="G40" s="72" t="s">
        <v>317</v>
      </c>
      <c r="H40" s="73">
        <f>ROUND(0.5,2)</f>
        <v>0.5</v>
      </c>
      <c r="I40" s="72" t="s">
        <v>126</v>
      </c>
      <c r="J40" s="74" t="s">
        <v>127</v>
      </c>
      <c r="L40" s="17">
        <f t="shared" si="1"/>
        <v>45811</v>
      </c>
      <c r="N40">
        <f t="shared" si="2"/>
        <v>6</v>
      </c>
    </row>
    <row r="41" spans="1:14" ht="15.75">
      <c r="A41" s="72" t="s">
        <v>82</v>
      </c>
      <c r="B41" s="72" t="s">
        <v>306</v>
      </c>
      <c r="C41" s="72" t="s">
        <v>159</v>
      </c>
      <c r="D41" s="72" t="s">
        <v>123</v>
      </c>
      <c r="E41" s="72" t="s">
        <v>124</v>
      </c>
      <c r="F41" s="72" t="s">
        <v>307</v>
      </c>
      <c r="G41" s="72" t="s">
        <v>318</v>
      </c>
      <c r="H41" s="73">
        <f>ROUND(1,2)</f>
        <v>1</v>
      </c>
      <c r="I41" s="72" t="s">
        <v>126</v>
      </c>
      <c r="J41" s="74" t="s">
        <v>127</v>
      </c>
      <c r="L41" s="17">
        <f t="shared" si="1"/>
        <v>46021</v>
      </c>
      <c r="N41">
        <f t="shared" si="2"/>
        <v>12</v>
      </c>
    </row>
    <row r="42" spans="1:14" ht="15.75">
      <c r="A42" s="72" t="s">
        <v>82</v>
      </c>
      <c r="B42" s="72" t="s">
        <v>306</v>
      </c>
      <c r="C42" s="72" t="s">
        <v>159</v>
      </c>
      <c r="D42" s="72" t="s">
        <v>123</v>
      </c>
      <c r="E42" s="72" t="s">
        <v>124</v>
      </c>
      <c r="F42" s="72" t="s">
        <v>319</v>
      </c>
      <c r="G42" s="72" t="s">
        <v>288</v>
      </c>
      <c r="H42" s="73">
        <f>ROUND(0.5,2)</f>
        <v>0.5</v>
      </c>
      <c r="I42" s="72" t="s">
        <v>126</v>
      </c>
      <c r="J42" s="74" t="s">
        <v>127</v>
      </c>
      <c r="L42" s="17">
        <f t="shared" si="1"/>
        <v>46022</v>
      </c>
      <c r="N42">
        <f t="shared" si="2"/>
        <v>12</v>
      </c>
    </row>
    <row r="43" spans="1:14" ht="15.75">
      <c r="A43" s="72" t="s">
        <v>82</v>
      </c>
      <c r="B43" s="72" t="s">
        <v>306</v>
      </c>
      <c r="C43" s="72" t="s">
        <v>159</v>
      </c>
      <c r="D43" s="72" t="s">
        <v>123</v>
      </c>
      <c r="E43" s="72" t="s">
        <v>124</v>
      </c>
      <c r="F43" s="72" t="s">
        <v>311</v>
      </c>
      <c r="G43" s="72" t="s">
        <v>320</v>
      </c>
      <c r="H43" s="73">
        <f>ROUND(1,2)</f>
        <v>1</v>
      </c>
      <c r="I43" s="72" t="s">
        <v>126</v>
      </c>
      <c r="J43" s="74" t="s">
        <v>127</v>
      </c>
      <c r="L43" s="17">
        <f t="shared" si="1"/>
        <v>45820</v>
      </c>
      <c r="N43">
        <f t="shared" si="2"/>
        <v>6</v>
      </c>
    </row>
    <row r="44" spans="1:14" ht="15.75">
      <c r="A44" s="72" t="s">
        <v>82</v>
      </c>
      <c r="B44" s="72" t="s">
        <v>306</v>
      </c>
      <c r="C44" s="72" t="s">
        <v>159</v>
      </c>
      <c r="D44" s="72" t="s">
        <v>123</v>
      </c>
      <c r="E44" s="72" t="s">
        <v>124</v>
      </c>
      <c r="F44" s="72" t="s">
        <v>309</v>
      </c>
      <c r="G44" s="72" t="s">
        <v>297</v>
      </c>
      <c r="H44" s="73">
        <f>ROUND(0.5,2)</f>
        <v>0.5</v>
      </c>
      <c r="I44" s="72" t="s">
        <v>126</v>
      </c>
      <c r="J44" s="74" t="s">
        <v>127</v>
      </c>
      <c r="L44" s="17">
        <f t="shared" si="1"/>
        <v>45814</v>
      </c>
      <c r="N44">
        <f t="shared" si="2"/>
        <v>6</v>
      </c>
    </row>
    <row r="45" spans="1:14" ht="15.75">
      <c r="A45" s="72" t="s">
        <v>82</v>
      </c>
      <c r="B45" s="72" t="s">
        <v>306</v>
      </c>
      <c r="C45" s="72" t="s">
        <v>159</v>
      </c>
      <c r="D45" s="72" t="s">
        <v>123</v>
      </c>
      <c r="E45" s="72" t="s">
        <v>124</v>
      </c>
      <c r="F45" s="72" t="s">
        <v>321</v>
      </c>
      <c r="G45" s="72" t="s">
        <v>322</v>
      </c>
      <c r="H45" s="73">
        <f>ROUND(1,2)</f>
        <v>1</v>
      </c>
      <c r="I45" s="72" t="s">
        <v>126</v>
      </c>
      <c r="J45" s="74" t="s">
        <v>127</v>
      </c>
      <c r="L45" s="17">
        <f t="shared" si="1"/>
        <v>45768</v>
      </c>
      <c r="N45">
        <f t="shared" si="2"/>
        <v>4</v>
      </c>
    </row>
    <row r="46" spans="1:14" ht="15.75">
      <c r="A46" s="72" t="s">
        <v>59</v>
      </c>
      <c r="B46" s="72" t="s">
        <v>137</v>
      </c>
      <c r="C46" s="72" t="s">
        <v>138</v>
      </c>
      <c r="D46" s="72" t="s">
        <v>139</v>
      </c>
      <c r="E46" s="72" t="s">
        <v>124</v>
      </c>
      <c r="F46" s="72" t="s">
        <v>323</v>
      </c>
      <c r="G46" s="72" t="s">
        <v>288</v>
      </c>
      <c r="H46" s="73">
        <f>ROUND(0.5,2)</f>
        <v>0.5</v>
      </c>
      <c r="I46" s="72" t="s">
        <v>126</v>
      </c>
      <c r="J46" s="74" t="s">
        <v>127</v>
      </c>
      <c r="L46" s="17">
        <f t="shared" si="1"/>
        <v>46022</v>
      </c>
      <c r="N46">
        <f t="shared" si="2"/>
        <v>12</v>
      </c>
    </row>
    <row r="47" spans="1:14" ht="15.75">
      <c r="A47" s="72" t="s">
        <v>59</v>
      </c>
      <c r="B47" s="72" t="s">
        <v>137</v>
      </c>
      <c r="C47" s="72" t="s">
        <v>138</v>
      </c>
      <c r="D47" s="72" t="s">
        <v>139</v>
      </c>
      <c r="E47" s="72" t="s">
        <v>124</v>
      </c>
      <c r="F47" s="72" t="s">
        <v>324</v>
      </c>
      <c r="G47" s="72" t="s">
        <v>325</v>
      </c>
      <c r="H47" s="73">
        <f t="shared" ref="H47:H63" si="4">ROUND(1,2)</f>
        <v>1</v>
      </c>
      <c r="I47" s="72" t="s">
        <v>126</v>
      </c>
      <c r="J47" s="74" t="s">
        <v>127</v>
      </c>
      <c r="L47" s="17">
        <f t="shared" si="1"/>
        <v>45785</v>
      </c>
      <c r="N47">
        <f t="shared" si="2"/>
        <v>5</v>
      </c>
    </row>
    <row r="48" spans="1:14" ht="15.75">
      <c r="A48" s="72" t="s">
        <v>59</v>
      </c>
      <c r="B48" s="72" t="s">
        <v>137</v>
      </c>
      <c r="C48" s="72" t="s">
        <v>138</v>
      </c>
      <c r="D48" s="72" t="s">
        <v>139</v>
      </c>
      <c r="E48" s="72" t="s">
        <v>124</v>
      </c>
      <c r="F48" s="72" t="s">
        <v>319</v>
      </c>
      <c r="G48" s="72" t="s">
        <v>182</v>
      </c>
      <c r="H48" s="73">
        <f t="shared" si="4"/>
        <v>1</v>
      </c>
      <c r="I48" s="72" t="s">
        <v>126</v>
      </c>
      <c r="J48" s="74" t="s">
        <v>127</v>
      </c>
      <c r="L48" s="17">
        <f t="shared" si="1"/>
        <v>46020</v>
      </c>
      <c r="N48">
        <f t="shared" si="2"/>
        <v>12</v>
      </c>
    </row>
    <row r="49" spans="1:14" ht="15.75">
      <c r="A49" s="72" t="s">
        <v>59</v>
      </c>
      <c r="B49" s="72" t="s">
        <v>137</v>
      </c>
      <c r="C49" s="72" t="s">
        <v>138</v>
      </c>
      <c r="D49" s="72" t="s">
        <v>139</v>
      </c>
      <c r="E49" s="72" t="s">
        <v>124</v>
      </c>
      <c r="F49" s="72" t="s">
        <v>326</v>
      </c>
      <c r="G49" s="72" t="s">
        <v>327</v>
      </c>
      <c r="H49" s="73">
        <f t="shared" si="4"/>
        <v>1</v>
      </c>
      <c r="I49" s="72" t="s">
        <v>126</v>
      </c>
      <c r="J49" s="74" t="s">
        <v>127</v>
      </c>
      <c r="L49" s="17">
        <f t="shared" si="1"/>
        <v>45924</v>
      </c>
      <c r="N49">
        <f t="shared" si="2"/>
        <v>9</v>
      </c>
    </row>
    <row r="50" spans="1:14" ht="15.75">
      <c r="A50" s="72" t="s">
        <v>59</v>
      </c>
      <c r="B50" s="72" t="s">
        <v>137</v>
      </c>
      <c r="C50" s="72" t="s">
        <v>138</v>
      </c>
      <c r="D50" s="72" t="s">
        <v>139</v>
      </c>
      <c r="E50" s="72" t="s">
        <v>124</v>
      </c>
      <c r="F50" s="72" t="s">
        <v>326</v>
      </c>
      <c r="G50" s="72" t="s">
        <v>328</v>
      </c>
      <c r="H50" s="73">
        <f t="shared" si="4"/>
        <v>1</v>
      </c>
      <c r="I50" s="72" t="s">
        <v>126</v>
      </c>
      <c r="J50" s="74" t="s">
        <v>127</v>
      </c>
      <c r="L50" s="17">
        <f t="shared" si="1"/>
        <v>45922</v>
      </c>
      <c r="N50">
        <f t="shared" si="2"/>
        <v>9</v>
      </c>
    </row>
    <row r="51" spans="1:14" ht="15.75">
      <c r="A51" s="72" t="s">
        <v>59</v>
      </c>
      <c r="B51" s="72" t="s">
        <v>137</v>
      </c>
      <c r="C51" s="72" t="s">
        <v>138</v>
      </c>
      <c r="D51" s="72" t="s">
        <v>139</v>
      </c>
      <c r="E51" s="72" t="s">
        <v>124</v>
      </c>
      <c r="F51" s="72" t="s">
        <v>319</v>
      </c>
      <c r="G51" s="72" t="s">
        <v>318</v>
      </c>
      <c r="H51" s="73">
        <f t="shared" si="4"/>
        <v>1</v>
      </c>
      <c r="I51" s="72" t="s">
        <v>126</v>
      </c>
      <c r="J51" s="74" t="s">
        <v>127</v>
      </c>
      <c r="L51" s="17">
        <f t="shared" si="1"/>
        <v>46021</v>
      </c>
      <c r="N51">
        <f t="shared" si="2"/>
        <v>12</v>
      </c>
    </row>
    <row r="52" spans="1:14" ht="15.75">
      <c r="A52" s="72" t="s">
        <v>59</v>
      </c>
      <c r="B52" s="72" t="s">
        <v>137</v>
      </c>
      <c r="C52" s="72" t="s">
        <v>138</v>
      </c>
      <c r="D52" s="72" t="s">
        <v>139</v>
      </c>
      <c r="E52" s="72" t="s">
        <v>124</v>
      </c>
      <c r="F52" s="72" t="s">
        <v>326</v>
      </c>
      <c r="G52" s="72" t="s">
        <v>329</v>
      </c>
      <c r="H52" s="73">
        <f t="shared" si="4"/>
        <v>1</v>
      </c>
      <c r="I52" s="72" t="s">
        <v>126</v>
      </c>
      <c r="J52" s="74" t="s">
        <v>127</v>
      </c>
      <c r="L52" s="17">
        <f t="shared" si="1"/>
        <v>45916</v>
      </c>
      <c r="N52">
        <f t="shared" si="2"/>
        <v>9</v>
      </c>
    </row>
    <row r="53" spans="1:14" ht="15.75">
      <c r="A53" s="72" t="s">
        <v>59</v>
      </c>
      <c r="B53" s="72" t="s">
        <v>137</v>
      </c>
      <c r="C53" s="72" t="s">
        <v>138</v>
      </c>
      <c r="D53" s="72" t="s">
        <v>139</v>
      </c>
      <c r="E53" s="72" t="s">
        <v>124</v>
      </c>
      <c r="F53" s="72" t="s">
        <v>324</v>
      </c>
      <c r="G53" s="72" t="s">
        <v>330</v>
      </c>
      <c r="H53" s="73">
        <f t="shared" si="4"/>
        <v>1</v>
      </c>
      <c r="I53" s="72" t="s">
        <v>126</v>
      </c>
      <c r="J53" s="74" t="s">
        <v>127</v>
      </c>
      <c r="L53" s="17">
        <f t="shared" si="1"/>
        <v>45786</v>
      </c>
      <c r="N53">
        <f t="shared" si="2"/>
        <v>5</v>
      </c>
    </row>
    <row r="54" spans="1:14" ht="15.75">
      <c r="A54" s="72" t="s">
        <v>59</v>
      </c>
      <c r="B54" s="72" t="s">
        <v>137</v>
      </c>
      <c r="C54" s="72" t="s">
        <v>138</v>
      </c>
      <c r="D54" s="72" t="s">
        <v>139</v>
      </c>
      <c r="E54" s="72" t="s">
        <v>124</v>
      </c>
      <c r="F54" s="72" t="s">
        <v>331</v>
      </c>
      <c r="G54" s="72" t="s">
        <v>332</v>
      </c>
      <c r="H54" s="73">
        <f t="shared" si="4"/>
        <v>1</v>
      </c>
      <c r="I54" s="72" t="s">
        <v>126</v>
      </c>
      <c r="J54" s="74" t="s">
        <v>127</v>
      </c>
      <c r="L54" s="17">
        <f t="shared" si="1"/>
        <v>45772</v>
      </c>
      <c r="N54">
        <f t="shared" si="2"/>
        <v>4</v>
      </c>
    </row>
    <row r="55" spans="1:14" ht="15.75">
      <c r="A55" s="72" t="s">
        <v>59</v>
      </c>
      <c r="B55" s="72" t="s">
        <v>137</v>
      </c>
      <c r="C55" s="72" t="s">
        <v>138</v>
      </c>
      <c r="D55" s="72" t="s">
        <v>139</v>
      </c>
      <c r="E55" s="72" t="s">
        <v>124</v>
      </c>
      <c r="F55" s="72" t="s">
        <v>326</v>
      </c>
      <c r="G55" s="72" t="s">
        <v>333</v>
      </c>
      <c r="H55" s="73">
        <f t="shared" si="4"/>
        <v>1</v>
      </c>
      <c r="I55" s="72" t="s">
        <v>126</v>
      </c>
      <c r="J55" s="74" t="s">
        <v>127</v>
      </c>
      <c r="L55" s="17">
        <f t="shared" si="1"/>
        <v>45923</v>
      </c>
      <c r="N55">
        <f t="shared" si="2"/>
        <v>9</v>
      </c>
    </row>
    <row r="56" spans="1:14" ht="15.75">
      <c r="A56" s="72" t="s">
        <v>59</v>
      </c>
      <c r="B56" s="72" t="s">
        <v>137</v>
      </c>
      <c r="C56" s="72" t="s">
        <v>138</v>
      </c>
      <c r="D56" s="72" t="s">
        <v>139</v>
      </c>
      <c r="E56" s="72" t="s">
        <v>124</v>
      </c>
      <c r="F56" s="72" t="s">
        <v>331</v>
      </c>
      <c r="G56" s="72" t="s">
        <v>334</v>
      </c>
      <c r="H56" s="73">
        <f t="shared" si="4"/>
        <v>1</v>
      </c>
      <c r="I56" s="72" t="s">
        <v>126</v>
      </c>
      <c r="J56" s="74" t="s">
        <v>127</v>
      </c>
      <c r="L56" s="17">
        <f t="shared" si="1"/>
        <v>45775</v>
      </c>
      <c r="N56">
        <f t="shared" si="2"/>
        <v>4</v>
      </c>
    </row>
    <row r="57" spans="1:14" ht="15.75">
      <c r="A57" s="72" t="s">
        <v>59</v>
      </c>
      <c r="B57" s="72" t="s">
        <v>137</v>
      </c>
      <c r="C57" s="72" t="s">
        <v>138</v>
      </c>
      <c r="D57" s="72" t="s">
        <v>139</v>
      </c>
      <c r="E57" s="72" t="s">
        <v>124</v>
      </c>
      <c r="F57" s="72" t="s">
        <v>335</v>
      </c>
      <c r="G57" s="72" t="s">
        <v>336</v>
      </c>
      <c r="H57" s="73">
        <f t="shared" si="4"/>
        <v>1</v>
      </c>
      <c r="I57" s="72" t="s">
        <v>126</v>
      </c>
      <c r="J57" s="74" t="s">
        <v>127</v>
      </c>
      <c r="L57" s="17">
        <f t="shared" si="1"/>
        <v>45700</v>
      </c>
      <c r="N57">
        <f t="shared" si="2"/>
        <v>2</v>
      </c>
    </row>
    <row r="58" spans="1:14" ht="15.75">
      <c r="A58" s="72" t="s">
        <v>35</v>
      </c>
      <c r="B58" s="72" t="s">
        <v>143</v>
      </c>
      <c r="C58" s="72" t="s">
        <v>138</v>
      </c>
      <c r="D58" s="72" t="s">
        <v>123</v>
      </c>
      <c r="E58" s="72" t="s">
        <v>124</v>
      </c>
      <c r="F58" s="72" t="s">
        <v>317</v>
      </c>
      <c r="G58" s="72" t="s">
        <v>337</v>
      </c>
      <c r="H58" s="73">
        <f t="shared" si="4"/>
        <v>1</v>
      </c>
      <c r="I58" s="72" t="s">
        <v>126</v>
      </c>
      <c r="J58" s="74" t="s">
        <v>127</v>
      </c>
      <c r="L58" s="17">
        <f t="shared" si="1"/>
        <v>45854</v>
      </c>
      <c r="N58">
        <f t="shared" si="2"/>
        <v>7</v>
      </c>
    </row>
    <row r="59" spans="1:14" ht="15.75">
      <c r="A59" s="72" t="s">
        <v>35</v>
      </c>
      <c r="B59" s="72" t="s">
        <v>143</v>
      </c>
      <c r="C59" s="72" t="s">
        <v>138</v>
      </c>
      <c r="D59" s="72" t="s">
        <v>123</v>
      </c>
      <c r="E59" s="72" t="s">
        <v>124</v>
      </c>
      <c r="F59" s="72" t="s">
        <v>317</v>
      </c>
      <c r="G59" s="72" t="s">
        <v>273</v>
      </c>
      <c r="H59" s="73">
        <f t="shared" si="4"/>
        <v>1</v>
      </c>
      <c r="I59" s="72" t="s">
        <v>126</v>
      </c>
      <c r="J59" s="74" t="s">
        <v>127</v>
      </c>
      <c r="L59" s="17">
        <f t="shared" si="1"/>
        <v>45859</v>
      </c>
      <c r="N59">
        <f t="shared" si="2"/>
        <v>7</v>
      </c>
    </row>
    <row r="60" spans="1:14" ht="15.75">
      <c r="A60" s="72" t="s">
        <v>35</v>
      </c>
      <c r="B60" s="72" t="s">
        <v>143</v>
      </c>
      <c r="C60" s="72" t="s">
        <v>138</v>
      </c>
      <c r="D60" s="72" t="s">
        <v>123</v>
      </c>
      <c r="E60" s="72" t="s">
        <v>124</v>
      </c>
      <c r="F60" s="72" t="s">
        <v>317</v>
      </c>
      <c r="G60" s="72" t="s">
        <v>338</v>
      </c>
      <c r="H60" s="73">
        <f t="shared" si="4"/>
        <v>1</v>
      </c>
      <c r="I60" s="72" t="s">
        <v>126</v>
      </c>
      <c r="J60" s="74" t="s">
        <v>127</v>
      </c>
      <c r="L60" s="17">
        <f t="shared" si="1"/>
        <v>45853</v>
      </c>
      <c r="N60">
        <f t="shared" si="2"/>
        <v>7</v>
      </c>
    </row>
    <row r="61" spans="1:14" ht="15.75">
      <c r="A61" s="72" t="s">
        <v>35</v>
      </c>
      <c r="B61" s="72" t="s">
        <v>143</v>
      </c>
      <c r="C61" s="72" t="s">
        <v>138</v>
      </c>
      <c r="D61" s="72" t="s">
        <v>123</v>
      </c>
      <c r="E61" s="72" t="s">
        <v>124</v>
      </c>
      <c r="F61" s="72" t="s">
        <v>339</v>
      </c>
      <c r="G61" s="72" t="s">
        <v>340</v>
      </c>
      <c r="H61" s="73">
        <f t="shared" si="4"/>
        <v>1</v>
      </c>
      <c r="I61" s="72" t="s">
        <v>126</v>
      </c>
      <c r="J61" s="74" t="s">
        <v>127</v>
      </c>
      <c r="L61" s="17">
        <f t="shared" si="1"/>
        <v>45940</v>
      </c>
      <c r="N61">
        <f t="shared" si="2"/>
        <v>10</v>
      </c>
    </row>
    <row r="62" spans="1:14" ht="15.75">
      <c r="A62" s="72" t="s">
        <v>35</v>
      </c>
      <c r="B62" s="72" t="s">
        <v>143</v>
      </c>
      <c r="C62" s="72" t="s">
        <v>138</v>
      </c>
      <c r="D62" s="72" t="s">
        <v>123</v>
      </c>
      <c r="E62" s="72" t="s">
        <v>124</v>
      </c>
      <c r="F62" s="72" t="s">
        <v>317</v>
      </c>
      <c r="G62" s="72" t="s">
        <v>341</v>
      </c>
      <c r="H62" s="73">
        <f t="shared" si="4"/>
        <v>1</v>
      </c>
      <c r="I62" s="72" t="s">
        <v>126</v>
      </c>
      <c r="J62" s="74" t="s">
        <v>127</v>
      </c>
      <c r="L62" s="17">
        <f t="shared" si="1"/>
        <v>45856</v>
      </c>
      <c r="N62">
        <f t="shared" si="2"/>
        <v>7</v>
      </c>
    </row>
    <row r="63" spans="1:14" ht="15.75">
      <c r="A63" s="72" t="s">
        <v>35</v>
      </c>
      <c r="B63" s="72" t="s">
        <v>143</v>
      </c>
      <c r="C63" s="72" t="s">
        <v>138</v>
      </c>
      <c r="D63" s="72" t="s">
        <v>123</v>
      </c>
      <c r="E63" s="72" t="s">
        <v>124</v>
      </c>
      <c r="F63" s="72" t="s">
        <v>317</v>
      </c>
      <c r="G63" s="72" t="s">
        <v>342</v>
      </c>
      <c r="H63" s="73">
        <f t="shared" si="4"/>
        <v>1</v>
      </c>
      <c r="I63" s="72" t="s">
        <v>126</v>
      </c>
      <c r="J63" s="74" t="s">
        <v>127</v>
      </c>
      <c r="L63" s="17">
        <f t="shared" si="1"/>
        <v>45855</v>
      </c>
      <c r="N63">
        <f t="shared" si="2"/>
        <v>7</v>
      </c>
    </row>
    <row r="64" spans="1:14" ht="27.75">
      <c r="A64" s="72" t="s">
        <v>41</v>
      </c>
      <c r="B64" s="72" t="s">
        <v>343</v>
      </c>
      <c r="C64" s="72" t="s">
        <v>164</v>
      </c>
      <c r="D64" s="72" t="s">
        <v>165</v>
      </c>
      <c r="E64" s="72" t="s">
        <v>124</v>
      </c>
      <c r="F64" s="72" t="s">
        <v>344</v>
      </c>
      <c r="G64" s="72" t="s">
        <v>345</v>
      </c>
      <c r="H64" s="73">
        <f>ROUND(0.5,2)</f>
        <v>0.5</v>
      </c>
      <c r="I64" s="72" t="s">
        <v>126</v>
      </c>
      <c r="J64" s="74" t="s">
        <v>127</v>
      </c>
      <c r="L64" s="17">
        <f t="shared" si="1"/>
        <v>46000</v>
      </c>
      <c r="N64">
        <f t="shared" si="2"/>
        <v>12</v>
      </c>
    </row>
    <row r="65" spans="1:14" ht="27.75">
      <c r="A65" s="72" t="s">
        <v>78</v>
      </c>
      <c r="B65" s="72" t="s">
        <v>148</v>
      </c>
      <c r="C65" s="72" t="s">
        <v>149</v>
      </c>
      <c r="D65" s="72" t="s">
        <v>150</v>
      </c>
      <c r="E65" s="72" t="s">
        <v>151</v>
      </c>
      <c r="F65" s="72" t="s">
        <v>329</v>
      </c>
      <c r="G65" s="72" t="s">
        <v>346</v>
      </c>
      <c r="H65" s="73">
        <f>ROUND(3.5,2)</f>
        <v>3.5</v>
      </c>
      <c r="I65" s="72" t="s">
        <v>134</v>
      </c>
      <c r="J65" s="74" t="s">
        <v>127</v>
      </c>
      <c r="L65" s="17">
        <f t="shared" si="1"/>
        <v>45926</v>
      </c>
      <c r="N65">
        <f t="shared" si="2"/>
        <v>9</v>
      </c>
    </row>
    <row r="66" spans="1:14" ht="27.75">
      <c r="A66" s="72" t="s">
        <v>78</v>
      </c>
      <c r="B66" s="72" t="s">
        <v>148</v>
      </c>
      <c r="C66" s="72" t="s">
        <v>149</v>
      </c>
      <c r="D66" s="72" t="s">
        <v>139</v>
      </c>
      <c r="E66" s="72" t="s">
        <v>124</v>
      </c>
      <c r="F66" s="72" t="s">
        <v>307</v>
      </c>
      <c r="G66" s="72" t="s">
        <v>319</v>
      </c>
      <c r="H66" s="73">
        <f>ROUND(0.5,2)</f>
        <v>0.5</v>
      </c>
      <c r="I66" s="72" t="s">
        <v>126</v>
      </c>
      <c r="J66" s="74" t="s">
        <v>127</v>
      </c>
      <c r="L66" s="17">
        <f t="shared" si="1"/>
        <v>46003</v>
      </c>
      <c r="N66">
        <f t="shared" si="2"/>
        <v>12</v>
      </c>
    </row>
    <row r="67" spans="1:14" ht="15.75">
      <c r="A67" s="72" t="s">
        <v>90</v>
      </c>
      <c r="B67" s="72" t="s">
        <v>158</v>
      </c>
      <c r="C67" s="72" t="s">
        <v>159</v>
      </c>
      <c r="D67" s="72" t="s">
        <v>139</v>
      </c>
      <c r="E67" s="72" t="s">
        <v>124</v>
      </c>
      <c r="F67" s="72" t="s">
        <v>347</v>
      </c>
      <c r="G67" s="72" t="s">
        <v>348</v>
      </c>
      <c r="H67" s="73">
        <f>ROUND(1,2)</f>
        <v>1</v>
      </c>
      <c r="I67" s="72" t="s">
        <v>126</v>
      </c>
      <c r="J67" s="74" t="s">
        <v>127</v>
      </c>
      <c r="L67" s="17">
        <f t="shared" ref="L67:L130" si="5">DATE(RIGHT(G67,4), MID(G67,4,2), LEFT(G67,2))</f>
        <v>45677</v>
      </c>
      <c r="N67">
        <f t="shared" ref="N67:N130" si="6">MONTH(L67)</f>
        <v>1</v>
      </c>
    </row>
    <row r="68" spans="1:14" ht="15.75">
      <c r="A68" s="72" t="s">
        <v>90</v>
      </c>
      <c r="B68" s="72" t="s">
        <v>158</v>
      </c>
      <c r="C68" s="72" t="s">
        <v>159</v>
      </c>
      <c r="D68" s="72" t="s">
        <v>139</v>
      </c>
      <c r="E68" s="72" t="s">
        <v>124</v>
      </c>
      <c r="F68" s="72" t="s">
        <v>349</v>
      </c>
      <c r="G68" s="72" t="s">
        <v>302</v>
      </c>
      <c r="H68" s="73">
        <f>ROUND(1,2)</f>
        <v>1</v>
      </c>
      <c r="I68" s="72" t="s">
        <v>126</v>
      </c>
      <c r="J68" s="74" t="s">
        <v>127</v>
      </c>
      <c r="L68" s="17">
        <f t="shared" si="5"/>
        <v>45659</v>
      </c>
      <c r="N68">
        <f t="shared" si="6"/>
        <v>1</v>
      </c>
    </row>
    <row r="69" spans="1:14" ht="15.75">
      <c r="A69" s="72" t="s">
        <v>90</v>
      </c>
      <c r="B69" s="72" t="s">
        <v>158</v>
      </c>
      <c r="C69" s="72" t="s">
        <v>159</v>
      </c>
      <c r="D69" s="72" t="s">
        <v>139</v>
      </c>
      <c r="E69" s="72" t="s">
        <v>124</v>
      </c>
      <c r="F69" s="72" t="s">
        <v>276</v>
      </c>
      <c r="G69" s="72" t="s">
        <v>350</v>
      </c>
      <c r="H69" s="73">
        <f>ROUND(0.5,2)</f>
        <v>0.5</v>
      </c>
      <c r="I69" s="72" t="s">
        <v>126</v>
      </c>
      <c r="J69" s="74" t="s">
        <v>127</v>
      </c>
      <c r="L69" s="17">
        <f t="shared" si="5"/>
        <v>45835</v>
      </c>
      <c r="N69">
        <f t="shared" si="6"/>
        <v>6</v>
      </c>
    </row>
    <row r="70" spans="1:14" ht="15.75">
      <c r="A70" s="72" t="s">
        <v>90</v>
      </c>
      <c r="B70" s="72" t="s">
        <v>158</v>
      </c>
      <c r="C70" s="72" t="s">
        <v>159</v>
      </c>
      <c r="D70" s="72" t="s">
        <v>139</v>
      </c>
      <c r="E70" s="72" t="s">
        <v>124</v>
      </c>
      <c r="F70" s="72" t="s">
        <v>328</v>
      </c>
      <c r="G70" s="72" t="s">
        <v>346</v>
      </c>
      <c r="H70" s="73">
        <f>ROUND(1,2)</f>
        <v>1</v>
      </c>
      <c r="I70" s="72" t="s">
        <v>126</v>
      </c>
      <c r="J70" s="74" t="s">
        <v>127</v>
      </c>
      <c r="L70" s="17">
        <f t="shared" si="5"/>
        <v>45926</v>
      </c>
      <c r="N70">
        <f t="shared" si="6"/>
        <v>9</v>
      </c>
    </row>
    <row r="71" spans="1:14" ht="15.75">
      <c r="A71" s="72" t="s">
        <v>90</v>
      </c>
      <c r="B71" s="72" t="s">
        <v>158</v>
      </c>
      <c r="C71" s="72" t="s">
        <v>159</v>
      </c>
      <c r="D71" s="72" t="s">
        <v>139</v>
      </c>
      <c r="E71" s="72" t="s">
        <v>124</v>
      </c>
      <c r="F71" s="72" t="s">
        <v>276</v>
      </c>
      <c r="G71" s="72" t="s">
        <v>277</v>
      </c>
      <c r="H71" s="73">
        <f>ROUND(1,2)</f>
        <v>1</v>
      </c>
      <c r="I71" s="72" t="s">
        <v>126</v>
      </c>
      <c r="J71" s="74" t="s">
        <v>127</v>
      </c>
      <c r="L71" s="17">
        <f t="shared" si="5"/>
        <v>45838</v>
      </c>
      <c r="N71">
        <f t="shared" si="6"/>
        <v>6</v>
      </c>
    </row>
    <row r="72" spans="1:14" ht="15.75">
      <c r="A72" s="72" t="s">
        <v>90</v>
      </c>
      <c r="B72" s="72" t="s">
        <v>158</v>
      </c>
      <c r="C72" s="72" t="s">
        <v>159</v>
      </c>
      <c r="D72" s="72" t="s">
        <v>139</v>
      </c>
      <c r="E72" s="72" t="s">
        <v>124</v>
      </c>
      <c r="F72" s="72" t="s">
        <v>347</v>
      </c>
      <c r="G72" s="72" t="s">
        <v>351</v>
      </c>
      <c r="H72" s="73">
        <f>ROUND(1,2)</f>
        <v>1</v>
      </c>
      <c r="I72" s="72" t="s">
        <v>126</v>
      </c>
      <c r="J72" s="74" t="s">
        <v>127</v>
      </c>
      <c r="L72" s="17">
        <f t="shared" si="5"/>
        <v>45679</v>
      </c>
      <c r="N72">
        <f t="shared" si="6"/>
        <v>1</v>
      </c>
    </row>
    <row r="73" spans="1:14" ht="15.75">
      <c r="A73" s="72" t="s">
        <v>90</v>
      </c>
      <c r="B73" s="72" t="s">
        <v>158</v>
      </c>
      <c r="C73" s="72" t="s">
        <v>159</v>
      </c>
      <c r="D73" s="72" t="s">
        <v>139</v>
      </c>
      <c r="E73" s="72" t="s">
        <v>124</v>
      </c>
      <c r="F73" s="72" t="s">
        <v>347</v>
      </c>
      <c r="G73" s="72" t="s">
        <v>352</v>
      </c>
      <c r="H73" s="73">
        <f>ROUND(1,2)</f>
        <v>1</v>
      </c>
      <c r="I73" s="72" t="s">
        <v>126</v>
      </c>
      <c r="J73" s="74" t="s">
        <v>127</v>
      </c>
      <c r="L73" s="17">
        <f t="shared" si="5"/>
        <v>45680</v>
      </c>
      <c r="N73">
        <f t="shared" si="6"/>
        <v>1</v>
      </c>
    </row>
    <row r="74" spans="1:14" ht="15.75">
      <c r="A74" s="72" t="s">
        <v>90</v>
      </c>
      <c r="B74" s="72" t="s">
        <v>158</v>
      </c>
      <c r="C74" s="72" t="s">
        <v>159</v>
      </c>
      <c r="D74" s="72" t="s">
        <v>139</v>
      </c>
      <c r="E74" s="72" t="s">
        <v>124</v>
      </c>
      <c r="F74" s="72" t="s">
        <v>353</v>
      </c>
      <c r="G74" s="72" t="s">
        <v>353</v>
      </c>
      <c r="H74" s="73">
        <f>ROUND(0.5,2)</f>
        <v>0.5</v>
      </c>
      <c r="I74" s="72" t="s">
        <v>126</v>
      </c>
      <c r="J74" s="74" t="s">
        <v>127</v>
      </c>
      <c r="L74" s="17">
        <f t="shared" si="5"/>
        <v>45792</v>
      </c>
      <c r="N74">
        <f t="shared" si="6"/>
        <v>5</v>
      </c>
    </row>
    <row r="75" spans="1:14" ht="15.75">
      <c r="A75" s="72" t="s">
        <v>90</v>
      </c>
      <c r="B75" s="72" t="s">
        <v>158</v>
      </c>
      <c r="C75" s="72" t="s">
        <v>159</v>
      </c>
      <c r="D75" s="72" t="s">
        <v>139</v>
      </c>
      <c r="E75" s="72" t="s">
        <v>124</v>
      </c>
      <c r="F75" s="72" t="s">
        <v>310</v>
      </c>
      <c r="G75" s="72" t="s">
        <v>313</v>
      </c>
      <c r="H75" s="73">
        <f>ROUND(1,2)</f>
        <v>1</v>
      </c>
      <c r="I75" s="72" t="s">
        <v>126</v>
      </c>
      <c r="J75" s="74" t="s">
        <v>127</v>
      </c>
      <c r="L75" s="17">
        <f t="shared" si="5"/>
        <v>45813</v>
      </c>
      <c r="N75">
        <f t="shared" si="6"/>
        <v>6</v>
      </c>
    </row>
    <row r="76" spans="1:14" ht="15.75">
      <c r="A76" s="72" t="s">
        <v>90</v>
      </c>
      <c r="B76" s="72" t="s">
        <v>158</v>
      </c>
      <c r="C76" s="72" t="s">
        <v>159</v>
      </c>
      <c r="D76" s="72" t="s">
        <v>139</v>
      </c>
      <c r="E76" s="72" t="s">
        <v>124</v>
      </c>
      <c r="F76" s="72" t="s">
        <v>353</v>
      </c>
      <c r="G76" s="72" t="s">
        <v>311</v>
      </c>
      <c r="H76" s="73">
        <f>ROUND(0.5,2)</f>
        <v>0.5</v>
      </c>
      <c r="I76" s="72" t="s">
        <v>126</v>
      </c>
      <c r="J76" s="74" t="s">
        <v>127</v>
      </c>
      <c r="L76" s="17">
        <f t="shared" si="5"/>
        <v>45793</v>
      </c>
      <c r="N76">
        <f t="shared" si="6"/>
        <v>5</v>
      </c>
    </row>
    <row r="77" spans="1:14" ht="15.75">
      <c r="A77" s="72" t="s">
        <v>90</v>
      </c>
      <c r="B77" s="72" t="s">
        <v>158</v>
      </c>
      <c r="C77" s="72" t="s">
        <v>159</v>
      </c>
      <c r="D77" s="72" t="s">
        <v>139</v>
      </c>
      <c r="E77" s="72" t="s">
        <v>124</v>
      </c>
      <c r="F77" s="72" t="s">
        <v>354</v>
      </c>
      <c r="G77" s="72" t="s">
        <v>355</v>
      </c>
      <c r="H77" s="73">
        <f>ROUND(1,2)</f>
        <v>1</v>
      </c>
      <c r="I77" s="72" t="s">
        <v>126</v>
      </c>
      <c r="J77" s="74" t="s">
        <v>127</v>
      </c>
      <c r="L77" s="17">
        <f t="shared" si="5"/>
        <v>45841</v>
      </c>
      <c r="N77">
        <f t="shared" si="6"/>
        <v>7</v>
      </c>
    </row>
    <row r="78" spans="1:14" ht="15.75">
      <c r="A78" s="72" t="s">
        <v>90</v>
      </c>
      <c r="B78" s="72" t="s">
        <v>158</v>
      </c>
      <c r="C78" s="72" t="s">
        <v>159</v>
      </c>
      <c r="D78" s="72" t="s">
        <v>139</v>
      </c>
      <c r="E78" s="72" t="s">
        <v>124</v>
      </c>
      <c r="F78" s="72" t="s">
        <v>347</v>
      </c>
      <c r="G78" s="72" t="s">
        <v>356</v>
      </c>
      <c r="H78" s="73">
        <f>ROUND(1,2)</f>
        <v>1</v>
      </c>
      <c r="I78" s="72" t="s">
        <v>126</v>
      </c>
      <c r="J78" s="74" t="s">
        <v>127</v>
      </c>
      <c r="L78" s="17">
        <f t="shared" si="5"/>
        <v>45678</v>
      </c>
      <c r="N78">
        <f t="shared" si="6"/>
        <v>1</v>
      </c>
    </row>
    <row r="79" spans="1:14" ht="15.75">
      <c r="A79" s="72" t="s">
        <v>90</v>
      </c>
      <c r="B79" s="72" t="s">
        <v>158</v>
      </c>
      <c r="C79" s="72" t="s">
        <v>159</v>
      </c>
      <c r="D79" s="72" t="s">
        <v>139</v>
      </c>
      <c r="E79" s="72" t="s">
        <v>124</v>
      </c>
      <c r="F79" s="72" t="s">
        <v>347</v>
      </c>
      <c r="G79" s="72" t="s">
        <v>357</v>
      </c>
      <c r="H79" s="73">
        <f>ROUND(1,2)</f>
        <v>1</v>
      </c>
      <c r="I79" s="72" t="s">
        <v>126</v>
      </c>
      <c r="J79" s="74" t="s">
        <v>127</v>
      </c>
      <c r="L79" s="17">
        <f t="shared" si="5"/>
        <v>45681</v>
      </c>
      <c r="N79">
        <f t="shared" si="6"/>
        <v>1</v>
      </c>
    </row>
    <row r="80" spans="1:14" ht="15.75">
      <c r="A80" s="72" t="s">
        <v>90</v>
      </c>
      <c r="B80" s="72" t="s">
        <v>158</v>
      </c>
      <c r="C80" s="72" t="s">
        <v>159</v>
      </c>
      <c r="D80" s="72" t="s">
        <v>139</v>
      </c>
      <c r="E80" s="72" t="s">
        <v>124</v>
      </c>
      <c r="F80" s="72" t="s">
        <v>347</v>
      </c>
      <c r="G80" s="72" t="s">
        <v>358</v>
      </c>
      <c r="H80" s="73">
        <f>ROUND(1,2)</f>
        <v>1</v>
      </c>
      <c r="I80" s="72" t="s">
        <v>126</v>
      </c>
      <c r="J80" s="74" t="s">
        <v>127</v>
      </c>
      <c r="L80" s="17">
        <f t="shared" si="5"/>
        <v>45674</v>
      </c>
      <c r="N80">
        <f t="shared" si="6"/>
        <v>1</v>
      </c>
    </row>
    <row r="81" spans="1:14" ht="27.75">
      <c r="A81" s="72" t="s">
        <v>42</v>
      </c>
      <c r="B81" s="72" t="s">
        <v>163</v>
      </c>
      <c r="C81" s="72" t="s">
        <v>164</v>
      </c>
      <c r="D81" s="72" t="s">
        <v>165</v>
      </c>
      <c r="E81" s="72" t="s">
        <v>124</v>
      </c>
      <c r="F81" s="72" t="s">
        <v>323</v>
      </c>
      <c r="G81" s="72" t="s">
        <v>290</v>
      </c>
      <c r="H81" s="73">
        <f>ROUND(0.5,2)</f>
        <v>0.5</v>
      </c>
      <c r="I81" s="72" t="s">
        <v>126</v>
      </c>
      <c r="J81" s="74" t="s">
        <v>127</v>
      </c>
      <c r="L81" s="17">
        <f t="shared" si="5"/>
        <v>46015</v>
      </c>
      <c r="N81">
        <f t="shared" si="6"/>
        <v>12</v>
      </c>
    </row>
    <row r="82" spans="1:14" ht="15.75">
      <c r="A82" s="72" t="s">
        <v>168</v>
      </c>
      <c r="B82" s="72" t="s">
        <v>169</v>
      </c>
      <c r="C82" s="72" t="s">
        <v>170</v>
      </c>
      <c r="D82" s="72" t="s">
        <v>131</v>
      </c>
      <c r="E82" s="72" t="s">
        <v>124</v>
      </c>
      <c r="F82" s="72" t="s">
        <v>359</v>
      </c>
      <c r="G82" s="72" t="s">
        <v>302</v>
      </c>
      <c r="H82" s="73">
        <f>ROUND(7.5,2)</f>
        <v>7.5</v>
      </c>
      <c r="I82" s="72" t="s">
        <v>134</v>
      </c>
      <c r="J82" s="74" t="s">
        <v>127</v>
      </c>
      <c r="L82" s="17">
        <f t="shared" si="5"/>
        <v>45659</v>
      </c>
      <c r="N82">
        <f t="shared" si="6"/>
        <v>1</v>
      </c>
    </row>
    <row r="83" spans="1:14">
      <c r="A83" s="72" t="s">
        <v>168</v>
      </c>
      <c r="B83" s="72" t="s">
        <v>169</v>
      </c>
      <c r="C83" s="72" t="s">
        <v>170</v>
      </c>
      <c r="D83" s="72" t="s">
        <v>360</v>
      </c>
      <c r="E83" s="72" t="s">
        <v>360</v>
      </c>
      <c r="F83" s="72" t="s">
        <v>321</v>
      </c>
      <c r="G83" s="72" t="s">
        <v>321</v>
      </c>
      <c r="H83" s="73">
        <f>ROUND(1,2)</f>
        <v>1</v>
      </c>
      <c r="I83" s="72" t="s">
        <v>126</v>
      </c>
      <c r="J83" s="74" t="s">
        <v>127</v>
      </c>
      <c r="L83" s="17">
        <f t="shared" si="5"/>
        <v>45733</v>
      </c>
      <c r="N83">
        <f t="shared" si="6"/>
        <v>3</v>
      </c>
    </row>
    <row r="84" spans="1:14">
      <c r="A84" s="72" t="s">
        <v>168</v>
      </c>
      <c r="B84" s="72" t="s">
        <v>169</v>
      </c>
      <c r="C84" s="72" t="s">
        <v>170</v>
      </c>
      <c r="D84" s="72" t="s">
        <v>150</v>
      </c>
      <c r="E84" s="72" t="s">
        <v>151</v>
      </c>
      <c r="F84" s="72" t="s">
        <v>339</v>
      </c>
      <c r="G84" s="72" t="s">
        <v>251</v>
      </c>
      <c r="H84" s="73">
        <f>ROUND(7.5,2)</f>
        <v>7.5</v>
      </c>
      <c r="I84" s="72" t="s">
        <v>134</v>
      </c>
      <c r="J84" s="74" t="s">
        <v>127</v>
      </c>
      <c r="L84" s="17">
        <f t="shared" si="5"/>
        <v>45939</v>
      </c>
      <c r="N84">
        <f t="shared" si="6"/>
        <v>10</v>
      </c>
    </row>
    <row r="85" spans="1:14">
      <c r="A85" s="72" t="s">
        <v>168</v>
      </c>
      <c r="B85" s="72" t="s">
        <v>169</v>
      </c>
      <c r="C85" s="72" t="s">
        <v>170</v>
      </c>
      <c r="D85" s="72" t="s">
        <v>150</v>
      </c>
      <c r="E85" s="72" t="s">
        <v>151</v>
      </c>
      <c r="F85" s="72" t="s">
        <v>339</v>
      </c>
      <c r="G85" s="72" t="s">
        <v>340</v>
      </c>
      <c r="H85" s="73">
        <f>ROUND(6,2)</f>
        <v>6</v>
      </c>
      <c r="I85" s="72" t="s">
        <v>134</v>
      </c>
      <c r="J85" s="74" t="s">
        <v>127</v>
      </c>
      <c r="L85" s="17">
        <f t="shared" si="5"/>
        <v>45940</v>
      </c>
      <c r="N85">
        <f t="shared" si="6"/>
        <v>10</v>
      </c>
    </row>
    <row r="86" spans="1:14">
      <c r="A86" s="72" t="s">
        <v>168</v>
      </c>
      <c r="B86" s="72" t="s">
        <v>169</v>
      </c>
      <c r="C86" s="72" t="s">
        <v>170</v>
      </c>
      <c r="D86" s="72" t="s">
        <v>131</v>
      </c>
      <c r="E86" s="72" t="s">
        <v>124</v>
      </c>
      <c r="F86" s="72" t="s">
        <v>160</v>
      </c>
      <c r="G86" s="72" t="s">
        <v>182</v>
      </c>
      <c r="H86" s="73">
        <f>ROUND(7.5,2)</f>
        <v>7.5</v>
      </c>
      <c r="I86" s="72" t="s">
        <v>134</v>
      </c>
      <c r="J86" s="74" t="s">
        <v>127</v>
      </c>
      <c r="L86" s="17">
        <f t="shared" si="5"/>
        <v>46020</v>
      </c>
      <c r="N86">
        <f t="shared" si="6"/>
        <v>12</v>
      </c>
    </row>
    <row r="87" spans="1:14">
      <c r="A87" s="72" t="s">
        <v>168</v>
      </c>
      <c r="B87" s="72" t="s">
        <v>169</v>
      </c>
      <c r="C87" s="72" t="s">
        <v>170</v>
      </c>
      <c r="D87" s="72" t="s">
        <v>131</v>
      </c>
      <c r="E87" s="72" t="s">
        <v>124</v>
      </c>
      <c r="F87" s="72" t="s">
        <v>317</v>
      </c>
      <c r="G87" s="72" t="s">
        <v>361</v>
      </c>
      <c r="H87" s="73">
        <f>ROUND(7.5,2)</f>
        <v>7.5</v>
      </c>
      <c r="I87" s="72" t="s">
        <v>134</v>
      </c>
      <c r="J87" s="74" t="s">
        <v>127</v>
      </c>
      <c r="L87" s="17">
        <f t="shared" si="5"/>
        <v>45825</v>
      </c>
      <c r="N87">
        <f t="shared" si="6"/>
        <v>6</v>
      </c>
    </row>
    <row r="88" spans="1:14">
      <c r="A88" s="72" t="s">
        <v>168</v>
      </c>
      <c r="B88" s="72" t="s">
        <v>169</v>
      </c>
      <c r="C88" s="72" t="s">
        <v>170</v>
      </c>
      <c r="D88" s="72" t="s">
        <v>360</v>
      </c>
      <c r="E88" s="72" t="s">
        <v>360</v>
      </c>
      <c r="F88" s="72" t="s">
        <v>362</v>
      </c>
      <c r="G88" s="72" t="s">
        <v>363</v>
      </c>
      <c r="H88" s="73">
        <f>ROUND(1,2)</f>
        <v>1</v>
      </c>
      <c r="I88" s="72" t="s">
        <v>126</v>
      </c>
      <c r="J88" s="74" t="s">
        <v>127</v>
      </c>
      <c r="L88" s="17">
        <f t="shared" si="5"/>
        <v>45734</v>
      </c>
      <c r="N88">
        <f t="shared" si="6"/>
        <v>3</v>
      </c>
    </row>
    <row r="89" spans="1:14">
      <c r="A89" s="72" t="s">
        <v>168</v>
      </c>
      <c r="B89" s="72" t="s">
        <v>169</v>
      </c>
      <c r="C89" s="72" t="s">
        <v>170</v>
      </c>
      <c r="D89" s="72" t="s">
        <v>150</v>
      </c>
      <c r="E89" s="72" t="s">
        <v>151</v>
      </c>
      <c r="F89" s="72" t="s">
        <v>317</v>
      </c>
      <c r="G89" s="72" t="s">
        <v>364</v>
      </c>
      <c r="H89" s="73">
        <f t="shared" ref="H89:H102" si="7">ROUND(7.5,2)</f>
        <v>7.5</v>
      </c>
      <c r="I89" s="72" t="s">
        <v>134</v>
      </c>
      <c r="J89" s="74" t="s">
        <v>127</v>
      </c>
      <c r="L89" s="17">
        <f t="shared" si="5"/>
        <v>45828</v>
      </c>
      <c r="N89">
        <f t="shared" si="6"/>
        <v>6</v>
      </c>
    </row>
    <row r="90" spans="1:14">
      <c r="A90" s="72" t="s">
        <v>168</v>
      </c>
      <c r="B90" s="72" t="s">
        <v>169</v>
      </c>
      <c r="C90" s="72" t="s">
        <v>170</v>
      </c>
      <c r="D90" s="72" t="s">
        <v>150</v>
      </c>
      <c r="E90" s="72" t="s">
        <v>151</v>
      </c>
      <c r="F90" s="72" t="s">
        <v>317</v>
      </c>
      <c r="G90" s="72" t="s">
        <v>365</v>
      </c>
      <c r="H90" s="73">
        <f t="shared" si="7"/>
        <v>7.5</v>
      </c>
      <c r="I90" s="72" t="s">
        <v>134</v>
      </c>
      <c r="J90" s="74" t="s">
        <v>127</v>
      </c>
      <c r="L90" s="17">
        <f t="shared" si="5"/>
        <v>45827</v>
      </c>
      <c r="N90">
        <f t="shared" si="6"/>
        <v>6</v>
      </c>
    </row>
    <row r="91" spans="1:14">
      <c r="A91" s="72" t="s">
        <v>168</v>
      </c>
      <c r="B91" s="72" t="s">
        <v>169</v>
      </c>
      <c r="C91" s="72" t="s">
        <v>170</v>
      </c>
      <c r="D91" s="72" t="s">
        <v>131</v>
      </c>
      <c r="E91" s="72" t="s">
        <v>124</v>
      </c>
      <c r="F91" s="72" t="s">
        <v>366</v>
      </c>
      <c r="G91" s="72" t="s">
        <v>367</v>
      </c>
      <c r="H91" s="73">
        <f t="shared" si="7"/>
        <v>7.5</v>
      </c>
      <c r="I91" s="72" t="s">
        <v>134</v>
      </c>
      <c r="J91" s="74" t="s">
        <v>127</v>
      </c>
      <c r="L91" s="17">
        <f t="shared" si="5"/>
        <v>45726</v>
      </c>
      <c r="N91">
        <f t="shared" si="6"/>
        <v>3</v>
      </c>
    </row>
    <row r="92" spans="1:14">
      <c r="A92" s="72" t="s">
        <v>168</v>
      </c>
      <c r="B92" s="72" t="s">
        <v>169</v>
      </c>
      <c r="C92" s="72" t="s">
        <v>170</v>
      </c>
      <c r="D92" s="72" t="s">
        <v>131</v>
      </c>
      <c r="E92" s="72" t="s">
        <v>124</v>
      </c>
      <c r="F92" s="72" t="s">
        <v>366</v>
      </c>
      <c r="G92" s="72" t="s">
        <v>368</v>
      </c>
      <c r="H92" s="73">
        <f t="shared" si="7"/>
        <v>7.5</v>
      </c>
      <c r="I92" s="72" t="s">
        <v>134</v>
      </c>
      <c r="J92" s="74" t="s">
        <v>127</v>
      </c>
      <c r="L92" s="17">
        <f t="shared" si="5"/>
        <v>45729</v>
      </c>
      <c r="N92">
        <f t="shared" si="6"/>
        <v>3</v>
      </c>
    </row>
    <row r="93" spans="1:14">
      <c r="A93" s="72" t="s">
        <v>168</v>
      </c>
      <c r="B93" s="72" t="s">
        <v>169</v>
      </c>
      <c r="C93" s="72" t="s">
        <v>170</v>
      </c>
      <c r="D93" s="72" t="s">
        <v>150</v>
      </c>
      <c r="E93" s="72" t="s">
        <v>151</v>
      </c>
      <c r="F93" s="72" t="s">
        <v>317</v>
      </c>
      <c r="G93" s="72" t="s">
        <v>314</v>
      </c>
      <c r="H93" s="73">
        <f t="shared" si="7"/>
        <v>7.5</v>
      </c>
      <c r="I93" s="72" t="s">
        <v>134</v>
      </c>
      <c r="J93" s="74" t="s">
        <v>127</v>
      </c>
      <c r="L93" s="17">
        <f t="shared" si="5"/>
        <v>45821</v>
      </c>
      <c r="N93">
        <f t="shared" si="6"/>
        <v>6</v>
      </c>
    </row>
    <row r="94" spans="1:14">
      <c r="A94" s="72" t="s">
        <v>168</v>
      </c>
      <c r="B94" s="72" t="s">
        <v>169</v>
      </c>
      <c r="C94" s="72" t="s">
        <v>170</v>
      </c>
      <c r="D94" s="72" t="s">
        <v>131</v>
      </c>
      <c r="E94" s="72" t="s">
        <v>124</v>
      </c>
      <c r="F94" s="72" t="s">
        <v>369</v>
      </c>
      <c r="G94" s="72" t="s">
        <v>370</v>
      </c>
      <c r="H94" s="73">
        <f t="shared" si="7"/>
        <v>7.5</v>
      </c>
      <c r="I94" s="72" t="s">
        <v>134</v>
      </c>
      <c r="J94" s="74" t="s">
        <v>127</v>
      </c>
      <c r="L94" s="17">
        <f t="shared" si="5"/>
        <v>45903</v>
      </c>
      <c r="N94">
        <f t="shared" si="6"/>
        <v>9</v>
      </c>
    </row>
    <row r="95" spans="1:14">
      <c r="A95" s="72" t="s">
        <v>168</v>
      </c>
      <c r="B95" s="72" t="s">
        <v>169</v>
      </c>
      <c r="C95" s="72" t="s">
        <v>170</v>
      </c>
      <c r="D95" s="72" t="s">
        <v>131</v>
      </c>
      <c r="E95" s="72" t="s">
        <v>124</v>
      </c>
      <c r="F95" s="72" t="s">
        <v>366</v>
      </c>
      <c r="G95" s="72" t="s">
        <v>371</v>
      </c>
      <c r="H95" s="73">
        <f t="shared" si="7"/>
        <v>7.5</v>
      </c>
      <c r="I95" s="72" t="s">
        <v>134</v>
      </c>
      <c r="J95" s="74" t="s">
        <v>127</v>
      </c>
      <c r="L95" s="17">
        <f t="shared" si="5"/>
        <v>45728</v>
      </c>
      <c r="N95">
        <f t="shared" si="6"/>
        <v>3</v>
      </c>
    </row>
    <row r="96" spans="1:14">
      <c r="A96" s="72" t="s">
        <v>168</v>
      </c>
      <c r="B96" s="72" t="s">
        <v>169</v>
      </c>
      <c r="C96" s="72" t="s">
        <v>170</v>
      </c>
      <c r="D96" s="72" t="s">
        <v>131</v>
      </c>
      <c r="E96" s="72" t="s">
        <v>124</v>
      </c>
      <c r="F96" s="72" t="s">
        <v>317</v>
      </c>
      <c r="G96" s="72" t="s">
        <v>372</v>
      </c>
      <c r="H96" s="73">
        <f t="shared" si="7"/>
        <v>7.5</v>
      </c>
      <c r="I96" s="72" t="s">
        <v>134</v>
      </c>
      <c r="J96" s="74" t="s">
        <v>127</v>
      </c>
      <c r="L96" s="17">
        <f t="shared" si="5"/>
        <v>45824</v>
      </c>
      <c r="N96">
        <f t="shared" si="6"/>
        <v>6</v>
      </c>
    </row>
    <row r="97" spans="1:14">
      <c r="A97" s="72" t="s">
        <v>168</v>
      </c>
      <c r="B97" s="72" t="s">
        <v>169</v>
      </c>
      <c r="C97" s="72" t="s">
        <v>170</v>
      </c>
      <c r="D97" s="72" t="s">
        <v>131</v>
      </c>
      <c r="E97" s="72" t="s">
        <v>124</v>
      </c>
      <c r="F97" s="72" t="s">
        <v>366</v>
      </c>
      <c r="G97" s="72" t="s">
        <v>331</v>
      </c>
      <c r="H97" s="73">
        <f t="shared" si="7"/>
        <v>7.5</v>
      </c>
      <c r="I97" s="72" t="s">
        <v>134</v>
      </c>
      <c r="J97" s="74" t="s">
        <v>127</v>
      </c>
      <c r="L97" s="17">
        <f t="shared" si="5"/>
        <v>45727</v>
      </c>
      <c r="N97">
        <f t="shared" si="6"/>
        <v>3</v>
      </c>
    </row>
    <row r="98" spans="1:14">
      <c r="A98" s="72" t="s">
        <v>168</v>
      </c>
      <c r="B98" s="72" t="s">
        <v>169</v>
      </c>
      <c r="C98" s="72" t="s">
        <v>170</v>
      </c>
      <c r="D98" s="72" t="s">
        <v>131</v>
      </c>
      <c r="E98" s="72" t="s">
        <v>124</v>
      </c>
      <c r="F98" s="72" t="s">
        <v>366</v>
      </c>
      <c r="G98" s="72" t="s">
        <v>373</v>
      </c>
      <c r="H98" s="73">
        <f t="shared" si="7"/>
        <v>7.5</v>
      </c>
      <c r="I98" s="72" t="s">
        <v>134</v>
      </c>
      <c r="J98" s="74" t="s">
        <v>127</v>
      </c>
      <c r="L98" s="17">
        <f t="shared" si="5"/>
        <v>45730</v>
      </c>
      <c r="N98">
        <f t="shared" si="6"/>
        <v>3</v>
      </c>
    </row>
    <row r="99" spans="1:14">
      <c r="A99" s="72" t="s">
        <v>168</v>
      </c>
      <c r="B99" s="72" t="s">
        <v>169</v>
      </c>
      <c r="C99" s="72" t="s">
        <v>170</v>
      </c>
      <c r="D99" s="72" t="s">
        <v>131</v>
      </c>
      <c r="E99" s="72" t="s">
        <v>124</v>
      </c>
      <c r="F99" s="72" t="s">
        <v>317</v>
      </c>
      <c r="G99" s="72" t="s">
        <v>374</v>
      </c>
      <c r="H99" s="73">
        <f t="shared" si="7"/>
        <v>7.5</v>
      </c>
      <c r="I99" s="72" t="s">
        <v>134</v>
      </c>
      <c r="J99" s="74" t="s">
        <v>127</v>
      </c>
      <c r="L99" s="17">
        <f t="shared" si="5"/>
        <v>45826</v>
      </c>
      <c r="N99">
        <f t="shared" si="6"/>
        <v>6</v>
      </c>
    </row>
    <row r="100" spans="1:14">
      <c r="A100" s="72" t="s">
        <v>168</v>
      </c>
      <c r="B100" s="72" t="s">
        <v>169</v>
      </c>
      <c r="C100" s="72" t="s">
        <v>170</v>
      </c>
      <c r="D100" s="72" t="s">
        <v>131</v>
      </c>
      <c r="E100" s="72" t="s">
        <v>124</v>
      </c>
      <c r="F100" s="72" t="s">
        <v>160</v>
      </c>
      <c r="G100" s="72" t="s">
        <v>318</v>
      </c>
      <c r="H100" s="73">
        <f t="shared" si="7"/>
        <v>7.5</v>
      </c>
      <c r="I100" s="72" t="s">
        <v>134</v>
      </c>
      <c r="J100" s="74" t="s">
        <v>127</v>
      </c>
      <c r="L100" s="17">
        <f t="shared" si="5"/>
        <v>46021</v>
      </c>
      <c r="N100">
        <f t="shared" si="6"/>
        <v>12</v>
      </c>
    </row>
    <row r="101" spans="1:14">
      <c r="A101" s="72" t="s">
        <v>168</v>
      </c>
      <c r="B101" s="72" t="s">
        <v>169</v>
      </c>
      <c r="C101" s="72" t="s">
        <v>170</v>
      </c>
      <c r="D101" s="72" t="s">
        <v>131</v>
      </c>
      <c r="E101" s="72" t="s">
        <v>124</v>
      </c>
      <c r="F101" s="72" t="s">
        <v>160</v>
      </c>
      <c r="G101" s="72" t="s">
        <v>288</v>
      </c>
      <c r="H101" s="73">
        <f t="shared" si="7"/>
        <v>7.5</v>
      </c>
      <c r="I101" s="72" t="s">
        <v>134</v>
      </c>
      <c r="J101" s="74" t="s">
        <v>127</v>
      </c>
      <c r="L101" s="17">
        <f t="shared" si="5"/>
        <v>46022</v>
      </c>
      <c r="N101">
        <f t="shared" si="6"/>
        <v>12</v>
      </c>
    </row>
    <row r="102" spans="1:14">
      <c r="A102" s="72" t="s">
        <v>168</v>
      </c>
      <c r="B102" s="72" t="s">
        <v>169</v>
      </c>
      <c r="C102" s="72" t="s">
        <v>170</v>
      </c>
      <c r="D102" s="72" t="s">
        <v>131</v>
      </c>
      <c r="E102" s="72" t="s">
        <v>124</v>
      </c>
      <c r="F102" s="72" t="s">
        <v>369</v>
      </c>
      <c r="G102" s="72" t="s">
        <v>375</v>
      </c>
      <c r="H102" s="73">
        <f t="shared" si="7"/>
        <v>7.5</v>
      </c>
      <c r="I102" s="72" t="s">
        <v>134</v>
      </c>
      <c r="J102" s="74" t="s">
        <v>127</v>
      </c>
      <c r="L102" s="17">
        <f t="shared" si="5"/>
        <v>45902</v>
      </c>
      <c r="N102">
        <f t="shared" si="6"/>
        <v>9</v>
      </c>
    </row>
    <row r="103" spans="1:14" ht="26.45">
      <c r="A103" s="72" t="s">
        <v>69</v>
      </c>
      <c r="B103" s="72" t="s">
        <v>174</v>
      </c>
      <c r="C103" s="72" t="s">
        <v>122</v>
      </c>
      <c r="D103" s="72" t="s">
        <v>139</v>
      </c>
      <c r="E103" s="72" t="s">
        <v>124</v>
      </c>
      <c r="F103" s="72" t="s">
        <v>283</v>
      </c>
      <c r="G103" s="72" t="s">
        <v>376</v>
      </c>
      <c r="H103" s="73">
        <f t="shared" ref="H103:H126" si="8">ROUND(1,2)</f>
        <v>1</v>
      </c>
      <c r="I103" s="72" t="s">
        <v>126</v>
      </c>
      <c r="J103" s="74" t="s">
        <v>127</v>
      </c>
      <c r="L103" s="17">
        <f t="shared" si="5"/>
        <v>45938</v>
      </c>
      <c r="N103">
        <f t="shared" si="6"/>
        <v>10</v>
      </c>
    </row>
    <row r="104" spans="1:14" ht="26.45">
      <c r="A104" s="72" t="s">
        <v>69</v>
      </c>
      <c r="B104" s="72" t="s">
        <v>174</v>
      </c>
      <c r="C104" s="72" t="s">
        <v>122</v>
      </c>
      <c r="D104" s="72" t="s">
        <v>139</v>
      </c>
      <c r="E104" s="72" t="s">
        <v>124</v>
      </c>
      <c r="F104" s="72" t="s">
        <v>283</v>
      </c>
      <c r="G104" s="72" t="s">
        <v>377</v>
      </c>
      <c r="H104" s="73">
        <f t="shared" si="8"/>
        <v>1</v>
      </c>
      <c r="I104" s="72" t="s">
        <v>126</v>
      </c>
      <c r="J104" s="74" t="s">
        <v>127</v>
      </c>
      <c r="L104" s="17">
        <f t="shared" si="5"/>
        <v>45933</v>
      </c>
      <c r="N104">
        <f t="shared" si="6"/>
        <v>10</v>
      </c>
    </row>
    <row r="105" spans="1:14" ht="26.45">
      <c r="A105" s="72" t="s">
        <v>69</v>
      </c>
      <c r="B105" s="72" t="s">
        <v>174</v>
      </c>
      <c r="C105" s="72" t="s">
        <v>122</v>
      </c>
      <c r="D105" s="72" t="s">
        <v>139</v>
      </c>
      <c r="E105" s="72" t="s">
        <v>124</v>
      </c>
      <c r="F105" s="72" t="s">
        <v>283</v>
      </c>
      <c r="G105" s="72" t="s">
        <v>339</v>
      </c>
      <c r="H105" s="73">
        <f t="shared" si="8"/>
        <v>1</v>
      </c>
      <c r="I105" s="72" t="s">
        <v>126</v>
      </c>
      <c r="J105" s="74" t="s">
        <v>127</v>
      </c>
      <c r="L105" s="17">
        <f t="shared" si="5"/>
        <v>45937</v>
      </c>
      <c r="N105">
        <f t="shared" si="6"/>
        <v>10</v>
      </c>
    </row>
    <row r="106" spans="1:14" ht="26.45">
      <c r="A106" s="72" t="s">
        <v>69</v>
      </c>
      <c r="B106" s="72" t="s">
        <v>174</v>
      </c>
      <c r="C106" s="72" t="s">
        <v>122</v>
      </c>
      <c r="D106" s="72" t="s">
        <v>139</v>
      </c>
      <c r="E106" s="72" t="s">
        <v>124</v>
      </c>
      <c r="F106" s="72" t="s">
        <v>378</v>
      </c>
      <c r="G106" s="72" t="s">
        <v>275</v>
      </c>
      <c r="H106" s="73">
        <f t="shared" si="8"/>
        <v>1</v>
      </c>
      <c r="I106" s="72" t="s">
        <v>126</v>
      </c>
      <c r="J106" s="74" t="s">
        <v>127</v>
      </c>
      <c r="L106" s="17">
        <f t="shared" si="5"/>
        <v>45891</v>
      </c>
      <c r="N106">
        <f t="shared" si="6"/>
        <v>8</v>
      </c>
    </row>
    <row r="107" spans="1:14" ht="26.45">
      <c r="A107" s="72" t="s">
        <v>69</v>
      </c>
      <c r="B107" s="72" t="s">
        <v>174</v>
      </c>
      <c r="C107" s="72" t="s">
        <v>122</v>
      </c>
      <c r="D107" s="72" t="s">
        <v>139</v>
      </c>
      <c r="E107" s="72" t="s">
        <v>124</v>
      </c>
      <c r="F107" s="72" t="s">
        <v>379</v>
      </c>
      <c r="G107" s="72" t="s">
        <v>313</v>
      </c>
      <c r="H107" s="73">
        <f t="shared" si="8"/>
        <v>1</v>
      </c>
      <c r="I107" s="72" t="s">
        <v>126</v>
      </c>
      <c r="J107" s="74" t="s">
        <v>127</v>
      </c>
      <c r="L107" s="17">
        <f t="shared" si="5"/>
        <v>45813</v>
      </c>
      <c r="N107">
        <f t="shared" si="6"/>
        <v>6</v>
      </c>
    </row>
    <row r="108" spans="1:14" ht="26.45">
      <c r="A108" s="72" t="s">
        <v>69</v>
      </c>
      <c r="B108" s="72" t="s">
        <v>174</v>
      </c>
      <c r="C108" s="72" t="s">
        <v>122</v>
      </c>
      <c r="D108" s="72" t="s">
        <v>139</v>
      </c>
      <c r="E108" s="72" t="s">
        <v>124</v>
      </c>
      <c r="F108" s="72" t="s">
        <v>379</v>
      </c>
      <c r="G108" s="72" t="s">
        <v>297</v>
      </c>
      <c r="H108" s="73">
        <f t="shared" si="8"/>
        <v>1</v>
      </c>
      <c r="I108" s="72" t="s">
        <v>126</v>
      </c>
      <c r="J108" s="74" t="s">
        <v>127</v>
      </c>
      <c r="L108" s="17">
        <f t="shared" si="5"/>
        <v>45814</v>
      </c>
      <c r="N108">
        <f t="shared" si="6"/>
        <v>6</v>
      </c>
    </row>
    <row r="109" spans="1:14" ht="26.45">
      <c r="A109" s="72" t="s">
        <v>69</v>
      </c>
      <c r="B109" s="72" t="s">
        <v>174</v>
      </c>
      <c r="C109" s="72" t="s">
        <v>122</v>
      </c>
      <c r="D109" s="72" t="s">
        <v>139</v>
      </c>
      <c r="E109" s="72" t="s">
        <v>124</v>
      </c>
      <c r="F109" s="72" t="s">
        <v>283</v>
      </c>
      <c r="G109" s="72" t="s">
        <v>380</v>
      </c>
      <c r="H109" s="73">
        <f t="shared" si="8"/>
        <v>1</v>
      </c>
      <c r="I109" s="72" t="s">
        <v>126</v>
      </c>
      <c r="J109" s="74" t="s">
        <v>127</v>
      </c>
      <c r="L109" s="17">
        <f t="shared" si="5"/>
        <v>45936</v>
      </c>
      <c r="N109">
        <f t="shared" si="6"/>
        <v>10</v>
      </c>
    </row>
    <row r="110" spans="1:14" ht="26.45">
      <c r="A110" s="72" t="s">
        <v>69</v>
      </c>
      <c r="B110" s="72" t="s">
        <v>174</v>
      </c>
      <c r="C110" s="72" t="s">
        <v>122</v>
      </c>
      <c r="D110" s="72" t="s">
        <v>139</v>
      </c>
      <c r="E110" s="72" t="s">
        <v>124</v>
      </c>
      <c r="F110" s="72" t="s">
        <v>283</v>
      </c>
      <c r="G110" s="72" t="s">
        <v>251</v>
      </c>
      <c r="H110" s="73">
        <f t="shared" si="8"/>
        <v>1</v>
      </c>
      <c r="I110" s="72" t="s">
        <v>126</v>
      </c>
      <c r="J110" s="74" t="s">
        <v>127</v>
      </c>
      <c r="L110" s="17">
        <f t="shared" si="5"/>
        <v>45939</v>
      </c>
      <c r="N110">
        <f t="shared" si="6"/>
        <v>10</v>
      </c>
    </row>
    <row r="111" spans="1:14" ht="26.45">
      <c r="A111" s="72" t="s">
        <v>33</v>
      </c>
      <c r="B111" s="72" t="s">
        <v>179</v>
      </c>
      <c r="C111" s="72" t="s">
        <v>164</v>
      </c>
      <c r="D111" s="72" t="s">
        <v>123</v>
      </c>
      <c r="E111" s="72" t="s">
        <v>124</v>
      </c>
      <c r="F111" s="72" t="s">
        <v>381</v>
      </c>
      <c r="G111" s="72" t="s">
        <v>379</v>
      </c>
      <c r="H111" s="73">
        <f t="shared" si="8"/>
        <v>1</v>
      </c>
      <c r="I111" s="72" t="s">
        <v>126</v>
      </c>
      <c r="J111" s="74" t="s">
        <v>127</v>
      </c>
      <c r="L111" s="17">
        <f t="shared" si="5"/>
        <v>45799</v>
      </c>
      <c r="N111">
        <f t="shared" si="6"/>
        <v>5</v>
      </c>
    </row>
    <row r="112" spans="1:14" ht="26.45">
      <c r="A112" s="72" t="s">
        <v>33</v>
      </c>
      <c r="B112" s="72" t="s">
        <v>179</v>
      </c>
      <c r="C112" s="72" t="s">
        <v>164</v>
      </c>
      <c r="D112" s="72" t="s">
        <v>123</v>
      </c>
      <c r="E112" s="72" t="s">
        <v>124</v>
      </c>
      <c r="F112" s="72" t="s">
        <v>332</v>
      </c>
      <c r="G112" s="72" t="s">
        <v>382</v>
      </c>
      <c r="H112" s="73">
        <f t="shared" si="8"/>
        <v>1</v>
      </c>
      <c r="I112" s="72" t="s">
        <v>126</v>
      </c>
      <c r="J112" s="74" t="s">
        <v>127</v>
      </c>
      <c r="L112" s="17">
        <f t="shared" si="5"/>
        <v>45769</v>
      </c>
      <c r="N112">
        <f t="shared" si="6"/>
        <v>4</v>
      </c>
    </row>
    <row r="113" spans="1:14" ht="26.45">
      <c r="A113" s="72" t="s">
        <v>33</v>
      </c>
      <c r="B113" s="72" t="s">
        <v>179</v>
      </c>
      <c r="C113" s="72" t="s">
        <v>164</v>
      </c>
      <c r="D113" s="72" t="s">
        <v>123</v>
      </c>
      <c r="E113" s="72" t="s">
        <v>124</v>
      </c>
      <c r="F113" s="72" t="s">
        <v>362</v>
      </c>
      <c r="G113" s="72" t="s">
        <v>292</v>
      </c>
      <c r="H113" s="73">
        <f t="shared" si="8"/>
        <v>1</v>
      </c>
      <c r="I113" s="72" t="s">
        <v>126</v>
      </c>
      <c r="J113" s="74" t="s">
        <v>127</v>
      </c>
      <c r="L113" s="17">
        <f t="shared" si="5"/>
        <v>45995</v>
      </c>
      <c r="N113">
        <f t="shared" si="6"/>
        <v>12</v>
      </c>
    </row>
    <row r="114" spans="1:14" ht="26.45">
      <c r="A114" s="72" t="s">
        <v>33</v>
      </c>
      <c r="B114" s="72" t="s">
        <v>179</v>
      </c>
      <c r="C114" s="72" t="s">
        <v>164</v>
      </c>
      <c r="D114" s="72" t="s">
        <v>123</v>
      </c>
      <c r="E114" s="72" t="s">
        <v>124</v>
      </c>
      <c r="F114" s="72" t="s">
        <v>362</v>
      </c>
      <c r="G114" s="72" t="s">
        <v>383</v>
      </c>
      <c r="H114" s="73">
        <f t="shared" si="8"/>
        <v>1</v>
      </c>
      <c r="I114" s="72" t="s">
        <v>126</v>
      </c>
      <c r="J114" s="74" t="s">
        <v>127</v>
      </c>
      <c r="L114" s="17">
        <f t="shared" si="5"/>
        <v>45988</v>
      </c>
      <c r="N114">
        <f t="shared" si="6"/>
        <v>11</v>
      </c>
    </row>
    <row r="115" spans="1:14" ht="26.45">
      <c r="A115" s="72" t="s">
        <v>33</v>
      </c>
      <c r="B115" s="72" t="s">
        <v>179</v>
      </c>
      <c r="C115" s="72" t="s">
        <v>164</v>
      </c>
      <c r="D115" s="72" t="s">
        <v>123</v>
      </c>
      <c r="E115" s="72" t="s">
        <v>124</v>
      </c>
      <c r="F115" s="72" t="s">
        <v>362</v>
      </c>
      <c r="G115" s="72" t="s">
        <v>384</v>
      </c>
      <c r="H115" s="73">
        <f t="shared" si="8"/>
        <v>1</v>
      </c>
      <c r="I115" s="72" t="s">
        <v>126</v>
      </c>
      <c r="J115" s="74" t="s">
        <v>127</v>
      </c>
      <c r="L115" s="17">
        <f t="shared" si="5"/>
        <v>45992</v>
      </c>
      <c r="N115">
        <f t="shared" si="6"/>
        <v>12</v>
      </c>
    </row>
    <row r="116" spans="1:14" ht="26.45">
      <c r="A116" s="72" t="s">
        <v>33</v>
      </c>
      <c r="B116" s="72" t="s">
        <v>179</v>
      </c>
      <c r="C116" s="72" t="s">
        <v>164</v>
      </c>
      <c r="D116" s="72" t="s">
        <v>123</v>
      </c>
      <c r="E116" s="72" t="s">
        <v>124</v>
      </c>
      <c r="F116" s="72" t="s">
        <v>362</v>
      </c>
      <c r="G116" s="72" t="s">
        <v>385</v>
      </c>
      <c r="H116" s="73">
        <f t="shared" si="8"/>
        <v>1</v>
      </c>
      <c r="I116" s="72" t="s">
        <v>126</v>
      </c>
      <c r="J116" s="74" t="s">
        <v>127</v>
      </c>
      <c r="L116" s="17">
        <f t="shared" si="5"/>
        <v>45993</v>
      </c>
      <c r="N116">
        <f t="shared" si="6"/>
        <v>12</v>
      </c>
    </row>
    <row r="117" spans="1:14" ht="26.45">
      <c r="A117" s="72" t="s">
        <v>33</v>
      </c>
      <c r="B117" s="72" t="s">
        <v>179</v>
      </c>
      <c r="C117" s="72" t="s">
        <v>164</v>
      </c>
      <c r="D117" s="72" t="s">
        <v>123</v>
      </c>
      <c r="E117" s="72" t="s">
        <v>124</v>
      </c>
      <c r="F117" s="72" t="s">
        <v>362</v>
      </c>
      <c r="G117" s="72" t="s">
        <v>386</v>
      </c>
      <c r="H117" s="73">
        <f t="shared" si="8"/>
        <v>1</v>
      </c>
      <c r="I117" s="72" t="s">
        <v>126</v>
      </c>
      <c r="J117" s="74" t="s">
        <v>127</v>
      </c>
      <c r="L117" s="17">
        <f t="shared" si="5"/>
        <v>45989</v>
      </c>
      <c r="N117">
        <f t="shared" si="6"/>
        <v>11</v>
      </c>
    </row>
    <row r="118" spans="1:14" ht="26.45">
      <c r="A118" s="72" t="s">
        <v>33</v>
      </c>
      <c r="B118" s="72" t="s">
        <v>179</v>
      </c>
      <c r="C118" s="72" t="s">
        <v>164</v>
      </c>
      <c r="D118" s="72" t="s">
        <v>123</v>
      </c>
      <c r="E118" s="72" t="s">
        <v>124</v>
      </c>
      <c r="F118" s="72" t="s">
        <v>361</v>
      </c>
      <c r="G118" s="72" t="s">
        <v>277</v>
      </c>
      <c r="H118" s="73">
        <f t="shared" si="8"/>
        <v>1</v>
      </c>
      <c r="I118" s="72" t="s">
        <v>126</v>
      </c>
      <c r="J118" s="74" t="s">
        <v>127</v>
      </c>
      <c r="L118" s="17">
        <f t="shared" si="5"/>
        <v>45838</v>
      </c>
      <c r="N118">
        <f t="shared" si="6"/>
        <v>6</v>
      </c>
    </row>
    <row r="119" spans="1:14" ht="26.45">
      <c r="A119" s="72" t="s">
        <v>33</v>
      </c>
      <c r="B119" s="72" t="s">
        <v>179</v>
      </c>
      <c r="C119" s="72" t="s">
        <v>164</v>
      </c>
      <c r="D119" s="72" t="s">
        <v>123</v>
      </c>
      <c r="E119" s="72" t="s">
        <v>124</v>
      </c>
      <c r="F119" s="72" t="s">
        <v>381</v>
      </c>
      <c r="G119" s="72" t="s">
        <v>387</v>
      </c>
      <c r="H119" s="73">
        <f t="shared" si="8"/>
        <v>1</v>
      </c>
      <c r="I119" s="72" t="s">
        <v>126</v>
      </c>
      <c r="J119" s="74" t="s">
        <v>127</v>
      </c>
      <c r="L119" s="17">
        <f t="shared" si="5"/>
        <v>45797</v>
      </c>
      <c r="N119">
        <f t="shared" si="6"/>
        <v>5</v>
      </c>
    </row>
    <row r="120" spans="1:14" ht="26.45">
      <c r="A120" s="72" t="s">
        <v>33</v>
      </c>
      <c r="B120" s="72" t="s">
        <v>179</v>
      </c>
      <c r="C120" s="72" t="s">
        <v>164</v>
      </c>
      <c r="D120" s="72" t="s">
        <v>123</v>
      </c>
      <c r="E120" s="72" t="s">
        <v>124</v>
      </c>
      <c r="F120" s="72" t="s">
        <v>362</v>
      </c>
      <c r="G120" s="72" t="s">
        <v>388</v>
      </c>
      <c r="H120" s="73">
        <f t="shared" si="8"/>
        <v>1</v>
      </c>
      <c r="I120" s="72" t="s">
        <v>126</v>
      </c>
      <c r="J120" s="74" t="s">
        <v>127</v>
      </c>
      <c r="L120" s="17">
        <f t="shared" si="5"/>
        <v>45994</v>
      </c>
      <c r="N120">
        <f t="shared" si="6"/>
        <v>12</v>
      </c>
    </row>
    <row r="121" spans="1:14" ht="26.45">
      <c r="A121" s="72" t="s">
        <v>33</v>
      </c>
      <c r="B121" s="72" t="s">
        <v>179</v>
      </c>
      <c r="C121" s="72" t="s">
        <v>164</v>
      </c>
      <c r="D121" s="72" t="s">
        <v>123</v>
      </c>
      <c r="E121" s="72" t="s">
        <v>124</v>
      </c>
      <c r="F121" s="72" t="s">
        <v>362</v>
      </c>
      <c r="G121" s="72" t="s">
        <v>291</v>
      </c>
      <c r="H121" s="73">
        <f t="shared" si="8"/>
        <v>1</v>
      </c>
      <c r="I121" s="72" t="s">
        <v>126</v>
      </c>
      <c r="J121" s="74" t="s">
        <v>127</v>
      </c>
      <c r="L121" s="17">
        <f t="shared" si="5"/>
        <v>45996</v>
      </c>
      <c r="N121">
        <f t="shared" si="6"/>
        <v>12</v>
      </c>
    </row>
    <row r="122" spans="1:14" ht="26.45">
      <c r="A122" s="72" t="s">
        <v>33</v>
      </c>
      <c r="B122" s="72" t="s">
        <v>179</v>
      </c>
      <c r="C122" s="72" t="s">
        <v>164</v>
      </c>
      <c r="D122" s="72" t="s">
        <v>123</v>
      </c>
      <c r="E122" s="72" t="s">
        <v>124</v>
      </c>
      <c r="F122" s="72" t="s">
        <v>381</v>
      </c>
      <c r="G122" s="72" t="s">
        <v>389</v>
      </c>
      <c r="H122" s="73">
        <f t="shared" si="8"/>
        <v>1</v>
      </c>
      <c r="I122" s="72" t="s">
        <v>126</v>
      </c>
      <c r="J122" s="74" t="s">
        <v>127</v>
      </c>
      <c r="L122" s="17">
        <f t="shared" si="5"/>
        <v>45798</v>
      </c>
      <c r="N122">
        <f t="shared" si="6"/>
        <v>5</v>
      </c>
    </row>
    <row r="123" spans="1:14" ht="26.45">
      <c r="A123" s="72" t="s">
        <v>33</v>
      </c>
      <c r="B123" s="72" t="s">
        <v>179</v>
      </c>
      <c r="C123" s="72" t="s">
        <v>164</v>
      </c>
      <c r="D123" s="72" t="s">
        <v>123</v>
      </c>
      <c r="E123" s="72" t="s">
        <v>124</v>
      </c>
      <c r="F123" s="72" t="s">
        <v>362</v>
      </c>
      <c r="G123" s="72" t="s">
        <v>166</v>
      </c>
      <c r="H123" s="73">
        <f t="shared" si="8"/>
        <v>1</v>
      </c>
      <c r="I123" s="72" t="s">
        <v>126</v>
      </c>
      <c r="J123" s="74" t="s">
        <v>127</v>
      </c>
      <c r="L123" s="17">
        <f t="shared" si="5"/>
        <v>45986</v>
      </c>
      <c r="N123">
        <f t="shared" si="6"/>
        <v>11</v>
      </c>
    </row>
    <row r="124" spans="1:14" ht="26.45">
      <c r="A124" s="72" t="s">
        <v>33</v>
      </c>
      <c r="B124" s="72" t="s">
        <v>179</v>
      </c>
      <c r="C124" s="72" t="s">
        <v>164</v>
      </c>
      <c r="D124" s="72" t="s">
        <v>123</v>
      </c>
      <c r="E124" s="72" t="s">
        <v>124</v>
      </c>
      <c r="F124" s="72" t="s">
        <v>362</v>
      </c>
      <c r="G124" s="72" t="s">
        <v>175</v>
      </c>
      <c r="H124" s="73">
        <f t="shared" si="8"/>
        <v>1</v>
      </c>
      <c r="I124" s="72" t="s">
        <v>126</v>
      </c>
      <c r="J124" s="74" t="s">
        <v>127</v>
      </c>
      <c r="L124" s="17">
        <f t="shared" si="5"/>
        <v>45987</v>
      </c>
      <c r="N124">
        <f t="shared" si="6"/>
        <v>11</v>
      </c>
    </row>
    <row r="125" spans="1:14" ht="26.45">
      <c r="A125" s="72" t="s">
        <v>33</v>
      </c>
      <c r="B125" s="72" t="s">
        <v>179</v>
      </c>
      <c r="C125" s="72" t="s">
        <v>164</v>
      </c>
      <c r="D125" s="72" t="s">
        <v>123</v>
      </c>
      <c r="E125" s="72" t="s">
        <v>124</v>
      </c>
      <c r="F125" s="72" t="s">
        <v>381</v>
      </c>
      <c r="G125" s="72" t="s">
        <v>390</v>
      </c>
      <c r="H125" s="73">
        <f t="shared" si="8"/>
        <v>1</v>
      </c>
      <c r="I125" s="72" t="s">
        <v>126</v>
      </c>
      <c r="J125" s="74" t="s">
        <v>127</v>
      </c>
      <c r="L125" s="17">
        <f t="shared" si="5"/>
        <v>45800</v>
      </c>
      <c r="N125">
        <f t="shared" si="6"/>
        <v>5</v>
      </c>
    </row>
    <row r="126" spans="1:14" ht="26.45">
      <c r="A126" s="72" t="s">
        <v>33</v>
      </c>
      <c r="B126" s="72" t="s">
        <v>179</v>
      </c>
      <c r="C126" s="72" t="s">
        <v>164</v>
      </c>
      <c r="D126" s="72" t="s">
        <v>123</v>
      </c>
      <c r="E126" s="72" t="s">
        <v>124</v>
      </c>
      <c r="F126" s="72" t="s">
        <v>362</v>
      </c>
      <c r="G126" s="72" t="s">
        <v>307</v>
      </c>
      <c r="H126" s="73">
        <f t="shared" si="8"/>
        <v>1</v>
      </c>
      <c r="I126" s="72" t="s">
        <v>126</v>
      </c>
      <c r="J126" s="74" t="s">
        <v>127</v>
      </c>
      <c r="L126" s="17">
        <f t="shared" si="5"/>
        <v>45985</v>
      </c>
      <c r="N126">
        <f t="shared" si="6"/>
        <v>11</v>
      </c>
    </row>
    <row r="127" spans="1:14" ht="26.45">
      <c r="A127" s="72" t="s">
        <v>190</v>
      </c>
      <c r="B127" s="72" t="s">
        <v>191</v>
      </c>
      <c r="C127" s="72" t="s">
        <v>192</v>
      </c>
      <c r="D127" s="72" t="s">
        <v>131</v>
      </c>
      <c r="E127" s="72" t="s">
        <v>124</v>
      </c>
      <c r="F127" s="72" t="s">
        <v>391</v>
      </c>
      <c r="G127" s="72" t="s">
        <v>288</v>
      </c>
      <c r="H127" s="73">
        <f t="shared" ref="H127:H134" si="9">ROUND(7.5,2)</f>
        <v>7.5</v>
      </c>
      <c r="I127" s="72" t="s">
        <v>134</v>
      </c>
      <c r="J127" s="74" t="s">
        <v>127</v>
      </c>
      <c r="L127" s="17">
        <f t="shared" si="5"/>
        <v>46022</v>
      </c>
      <c r="N127">
        <f t="shared" si="6"/>
        <v>12</v>
      </c>
    </row>
    <row r="128" spans="1:14" ht="26.45">
      <c r="A128" s="72" t="s">
        <v>190</v>
      </c>
      <c r="B128" s="72" t="s">
        <v>191</v>
      </c>
      <c r="C128" s="72" t="s">
        <v>192</v>
      </c>
      <c r="D128" s="72" t="s">
        <v>131</v>
      </c>
      <c r="E128" s="72" t="s">
        <v>124</v>
      </c>
      <c r="F128" s="72" t="s">
        <v>378</v>
      </c>
      <c r="G128" s="72" t="s">
        <v>392</v>
      </c>
      <c r="H128" s="73">
        <f t="shared" si="9"/>
        <v>7.5</v>
      </c>
      <c r="I128" s="72" t="s">
        <v>134</v>
      </c>
      <c r="J128" s="74" t="s">
        <v>127</v>
      </c>
      <c r="L128" s="17">
        <f t="shared" si="5"/>
        <v>45874</v>
      </c>
      <c r="N128">
        <f t="shared" si="6"/>
        <v>8</v>
      </c>
    </row>
    <row r="129" spans="1:14" ht="26.45">
      <c r="A129" s="72" t="s">
        <v>190</v>
      </c>
      <c r="B129" s="72" t="s">
        <v>191</v>
      </c>
      <c r="C129" s="72" t="s">
        <v>192</v>
      </c>
      <c r="D129" s="72" t="s">
        <v>131</v>
      </c>
      <c r="E129" s="72" t="s">
        <v>124</v>
      </c>
      <c r="F129" s="72" t="s">
        <v>362</v>
      </c>
      <c r="G129" s="72" t="s">
        <v>393</v>
      </c>
      <c r="H129" s="73">
        <f t="shared" si="9"/>
        <v>7.5</v>
      </c>
      <c r="I129" s="72" t="s">
        <v>134</v>
      </c>
      <c r="J129" s="74" t="s">
        <v>127</v>
      </c>
      <c r="L129" s="17">
        <f t="shared" si="5"/>
        <v>45735</v>
      </c>
      <c r="N129">
        <f t="shared" si="6"/>
        <v>3</v>
      </c>
    </row>
    <row r="130" spans="1:14" ht="26.45">
      <c r="A130" s="72" t="s">
        <v>190</v>
      </c>
      <c r="B130" s="72" t="s">
        <v>191</v>
      </c>
      <c r="C130" s="72" t="s">
        <v>192</v>
      </c>
      <c r="D130" s="72" t="s">
        <v>131</v>
      </c>
      <c r="E130" s="72" t="s">
        <v>124</v>
      </c>
      <c r="F130" s="72" t="s">
        <v>391</v>
      </c>
      <c r="G130" s="72" t="s">
        <v>318</v>
      </c>
      <c r="H130" s="73">
        <f t="shared" si="9"/>
        <v>7.5</v>
      </c>
      <c r="I130" s="72" t="s">
        <v>134</v>
      </c>
      <c r="J130" s="74" t="s">
        <v>127</v>
      </c>
      <c r="L130" s="17">
        <f t="shared" si="5"/>
        <v>46021</v>
      </c>
      <c r="N130">
        <f t="shared" si="6"/>
        <v>12</v>
      </c>
    </row>
    <row r="131" spans="1:14" ht="26.45">
      <c r="A131" s="72" t="s">
        <v>190</v>
      </c>
      <c r="B131" s="72" t="s">
        <v>191</v>
      </c>
      <c r="C131" s="72" t="s">
        <v>192</v>
      </c>
      <c r="D131" s="72" t="s">
        <v>131</v>
      </c>
      <c r="E131" s="72" t="s">
        <v>124</v>
      </c>
      <c r="F131" s="72" t="s">
        <v>378</v>
      </c>
      <c r="G131" s="72" t="s">
        <v>298</v>
      </c>
      <c r="H131" s="73">
        <f t="shared" si="9"/>
        <v>7.5</v>
      </c>
      <c r="I131" s="72" t="s">
        <v>134</v>
      </c>
      <c r="J131" s="74" t="s">
        <v>127</v>
      </c>
      <c r="L131" s="17">
        <f t="shared" ref="L131:L194" si="10">DATE(RIGHT(G131,4), MID(G131,4,2), LEFT(G131,2))</f>
        <v>45869</v>
      </c>
      <c r="N131">
        <f t="shared" ref="N131:N194" si="11">MONTH(L131)</f>
        <v>7</v>
      </c>
    </row>
    <row r="132" spans="1:14" ht="26.45">
      <c r="A132" s="72" t="s">
        <v>190</v>
      </c>
      <c r="B132" s="72" t="s">
        <v>191</v>
      </c>
      <c r="C132" s="72" t="s">
        <v>192</v>
      </c>
      <c r="D132" s="72" t="s">
        <v>131</v>
      </c>
      <c r="E132" s="72" t="s">
        <v>124</v>
      </c>
      <c r="F132" s="72" t="s">
        <v>391</v>
      </c>
      <c r="G132" s="72" t="s">
        <v>182</v>
      </c>
      <c r="H132" s="73">
        <f t="shared" si="9"/>
        <v>7.5</v>
      </c>
      <c r="I132" s="72" t="s">
        <v>134</v>
      </c>
      <c r="J132" s="74" t="s">
        <v>127</v>
      </c>
      <c r="L132" s="17">
        <f t="shared" si="10"/>
        <v>46020</v>
      </c>
      <c r="N132">
        <f t="shared" si="11"/>
        <v>12</v>
      </c>
    </row>
    <row r="133" spans="1:14" ht="26.45">
      <c r="A133" s="72" t="s">
        <v>190</v>
      </c>
      <c r="B133" s="72" t="s">
        <v>191</v>
      </c>
      <c r="C133" s="72" t="s">
        <v>192</v>
      </c>
      <c r="D133" s="72" t="s">
        <v>131</v>
      </c>
      <c r="E133" s="72" t="s">
        <v>124</v>
      </c>
      <c r="F133" s="72" t="s">
        <v>391</v>
      </c>
      <c r="G133" s="72" t="s">
        <v>290</v>
      </c>
      <c r="H133" s="73">
        <f t="shared" si="9"/>
        <v>7.5</v>
      </c>
      <c r="I133" s="72" t="s">
        <v>134</v>
      </c>
      <c r="J133" s="74" t="s">
        <v>127</v>
      </c>
      <c r="L133" s="17">
        <f t="shared" si="10"/>
        <v>46015</v>
      </c>
      <c r="N133">
        <f t="shared" si="11"/>
        <v>12</v>
      </c>
    </row>
    <row r="134" spans="1:14" ht="26.45">
      <c r="A134" s="72" t="s">
        <v>190</v>
      </c>
      <c r="B134" s="72" t="s">
        <v>191</v>
      </c>
      <c r="C134" s="72" t="s">
        <v>192</v>
      </c>
      <c r="D134" s="72" t="s">
        <v>131</v>
      </c>
      <c r="E134" s="72" t="s">
        <v>124</v>
      </c>
      <c r="F134" s="72" t="s">
        <v>391</v>
      </c>
      <c r="G134" s="72" t="s">
        <v>289</v>
      </c>
      <c r="H134" s="73">
        <f t="shared" si="9"/>
        <v>7.5</v>
      </c>
      <c r="I134" s="72" t="s">
        <v>134</v>
      </c>
      <c r="J134" s="74" t="s">
        <v>127</v>
      </c>
      <c r="L134" s="17">
        <f t="shared" si="10"/>
        <v>46017</v>
      </c>
      <c r="N134">
        <f t="shared" si="11"/>
        <v>12</v>
      </c>
    </row>
    <row r="135" spans="1:14" ht="26.45">
      <c r="A135" s="72" t="s">
        <v>84</v>
      </c>
      <c r="B135" s="72" t="s">
        <v>394</v>
      </c>
      <c r="C135" s="72" t="s">
        <v>159</v>
      </c>
      <c r="D135" s="72" t="s">
        <v>165</v>
      </c>
      <c r="E135" s="72" t="s">
        <v>124</v>
      </c>
      <c r="F135" s="72" t="s">
        <v>395</v>
      </c>
      <c r="G135" s="72" t="s">
        <v>396</v>
      </c>
      <c r="H135" s="73">
        <f t="shared" ref="H135:H141" si="12">ROUND(1,2)</f>
        <v>1</v>
      </c>
      <c r="I135" s="72" t="s">
        <v>126</v>
      </c>
      <c r="J135" s="74" t="s">
        <v>127</v>
      </c>
      <c r="L135" s="17">
        <f t="shared" si="10"/>
        <v>46009</v>
      </c>
      <c r="N135">
        <f t="shared" si="11"/>
        <v>12</v>
      </c>
    </row>
    <row r="136" spans="1:14" ht="26.45">
      <c r="A136" s="72" t="s">
        <v>84</v>
      </c>
      <c r="B136" s="72" t="s">
        <v>394</v>
      </c>
      <c r="C136" s="72" t="s">
        <v>159</v>
      </c>
      <c r="D136" s="72" t="s">
        <v>165</v>
      </c>
      <c r="E136" s="72" t="s">
        <v>124</v>
      </c>
      <c r="F136" s="72" t="s">
        <v>309</v>
      </c>
      <c r="G136" s="72" t="s">
        <v>318</v>
      </c>
      <c r="H136" s="73">
        <f t="shared" si="12"/>
        <v>1</v>
      </c>
      <c r="I136" s="72" t="s">
        <v>126</v>
      </c>
      <c r="J136" s="74" t="s">
        <v>127</v>
      </c>
      <c r="L136" s="17">
        <f t="shared" si="10"/>
        <v>46021</v>
      </c>
      <c r="N136">
        <f t="shared" si="11"/>
        <v>12</v>
      </c>
    </row>
    <row r="137" spans="1:14" ht="26.45">
      <c r="A137" s="72" t="s">
        <v>84</v>
      </c>
      <c r="B137" s="72" t="s">
        <v>394</v>
      </c>
      <c r="C137" s="72" t="s">
        <v>159</v>
      </c>
      <c r="D137" s="72" t="s">
        <v>165</v>
      </c>
      <c r="E137" s="72" t="s">
        <v>124</v>
      </c>
      <c r="F137" s="72" t="s">
        <v>309</v>
      </c>
      <c r="G137" s="72" t="s">
        <v>323</v>
      </c>
      <c r="H137" s="73">
        <f t="shared" si="12"/>
        <v>1</v>
      </c>
      <c r="I137" s="72" t="s">
        <v>126</v>
      </c>
      <c r="J137" s="74" t="s">
        <v>127</v>
      </c>
      <c r="L137" s="17">
        <f t="shared" si="10"/>
        <v>46013</v>
      </c>
      <c r="N137">
        <f t="shared" si="11"/>
        <v>12</v>
      </c>
    </row>
    <row r="138" spans="1:14" ht="26.45">
      <c r="A138" s="72" t="s">
        <v>84</v>
      </c>
      <c r="B138" s="72" t="s">
        <v>394</v>
      </c>
      <c r="C138" s="72" t="s">
        <v>159</v>
      </c>
      <c r="D138" s="72" t="s">
        <v>165</v>
      </c>
      <c r="E138" s="72" t="s">
        <v>124</v>
      </c>
      <c r="F138" s="72" t="s">
        <v>309</v>
      </c>
      <c r="G138" s="72" t="s">
        <v>160</v>
      </c>
      <c r="H138" s="73">
        <f t="shared" si="12"/>
        <v>1</v>
      </c>
      <c r="I138" s="72" t="s">
        <v>126</v>
      </c>
      <c r="J138" s="74" t="s">
        <v>127</v>
      </c>
      <c r="L138" s="17">
        <f t="shared" si="10"/>
        <v>46014</v>
      </c>
      <c r="N138">
        <f t="shared" si="11"/>
        <v>12</v>
      </c>
    </row>
    <row r="139" spans="1:14" ht="26.45">
      <c r="A139" s="72" t="s">
        <v>84</v>
      </c>
      <c r="B139" s="72" t="s">
        <v>394</v>
      </c>
      <c r="C139" s="72" t="s">
        <v>159</v>
      </c>
      <c r="D139" s="72" t="s">
        <v>165</v>
      </c>
      <c r="E139" s="72" t="s">
        <v>124</v>
      </c>
      <c r="F139" s="72" t="s">
        <v>309</v>
      </c>
      <c r="G139" s="72" t="s">
        <v>290</v>
      </c>
      <c r="H139" s="73">
        <f t="shared" si="12"/>
        <v>1</v>
      </c>
      <c r="I139" s="72" t="s">
        <v>126</v>
      </c>
      <c r="J139" s="74" t="s">
        <v>127</v>
      </c>
      <c r="L139" s="17">
        <f t="shared" si="10"/>
        <v>46015</v>
      </c>
      <c r="N139">
        <f t="shared" si="11"/>
        <v>12</v>
      </c>
    </row>
    <row r="140" spans="1:14" ht="26.45">
      <c r="A140" s="72" t="s">
        <v>84</v>
      </c>
      <c r="B140" s="72" t="s">
        <v>394</v>
      </c>
      <c r="C140" s="72" t="s">
        <v>159</v>
      </c>
      <c r="D140" s="72" t="s">
        <v>165</v>
      </c>
      <c r="E140" s="72" t="s">
        <v>124</v>
      </c>
      <c r="F140" s="72" t="s">
        <v>309</v>
      </c>
      <c r="G140" s="72" t="s">
        <v>182</v>
      </c>
      <c r="H140" s="73">
        <f t="shared" si="12"/>
        <v>1</v>
      </c>
      <c r="I140" s="72" t="s">
        <v>126</v>
      </c>
      <c r="J140" s="74" t="s">
        <v>127</v>
      </c>
      <c r="L140" s="17">
        <f t="shared" si="10"/>
        <v>46020</v>
      </c>
      <c r="N140">
        <f t="shared" si="11"/>
        <v>12</v>
      </c>
    </row>
    <row r="141" spans="1:14" ht="26.45">
      <c r="A141" s="72" t="s">
        <v>84</v>
      </c>
      <c r="B141" s="72" t="s">
        <v>394</v>
      </c>
      <c r="C141" s="72" t="s">
        <v>159</v>
      </c>
      <c r="D141" s="72" t="s">
        <v>165</v>
      </c>
      <c r="E141" s="72" t="s">
        <v>124</v>
      </c>
      <c r="F141" s="72" t="s">
        <v>309</v>
      </c>
      <c r="G141" s="72" t="s">
        <v>397</v>
      </c>
      <c r="H141" s="73">
        <f t="shared" si="12"/>
        <v>1</v>
      </c>
      <c r="I141" s="72" t="s">
        <v>126</v>
      </c>
      <c r="J141" s="74" t="s">
        <v>127</v>
      </c>
      <c r="L141" s="17">
        <f t="shared" si="10"/>
        <v>46010</v>
      </c>
      <c r="N141">
        <f t="shared" si="11"/>
        <v>12</v>
      </c>
    </row>
    <row r="142" spans="1:14" ht="26.45">
      <c r="A142" s="72" t="s">
        <v>398</v>
      </c>
      <c r="B142" s="72" t="s">
        <v>399</v>
      </c>
      <c r="C142" s="72" t="s">
        <v>192</v>
      </c>
      <c r="D142" s="72" t="s">
        <v>131</v>
      </c>
      <c r="E142" s="72" t="s">
        <v>124</v>
      </c>
      <c r="F142" s="72" t="s">
        <v>318</v>
      </c>
      <c r="G142" s="72" t="s">
        <v>318</v>
      </c>
      <c r="H142" s="73">
        <f>ROUND(7.5,2)</f>
        <v>7.5</v>
      </c>
      <c r="I142" s="72" t="s">
        <v>134</v>
      </c>
      <c r="J142" s="74" t="s">
        <v>127</v>
      </c>
      <c r="L142" s="17">
        <f t="shared" si="10"/>
        <v>46021</v>
      </c>
      <c r="N142">
        <f t="shared" si="11"/>
        <v>12</v>
      </c>
    </row>
    <row r="143" spans="1:14" ht="26.45">
      <c r="A143" s="72" t="s">
        <v>398</v>
      </c>
      <c r="B143" s="72" t="s">
        <v>399</v>
      </c>
      <c r="C143" s="72" t="s">
        <v>192</v>
      </c>
      <c r="D143" s="72" t="s">
        <v>131</v>
      </c>
      <c r="E143" s="72" t="s">
        <v>124</v>
      </c>
      <c r="F143" s="72" t="s">
        <v>318</v>
      </c>
      <c r="G143" s="72" t="s">
        <v>182</v>
      </c>
      <c r="H143" s="73">
        <f>ROUND(7.5,2)</f>
        <v>7.5</v>
      </c>
      <c r="I143" s="72" t="s">
        <v>134</v>
      </c>
      <c r="J143" s="74" t="s">
        <v>127</v>
      </c>
      <c r="L143" s="17">
        <f t="shared" si="10"/>
        <v>46020</v>
      </c>
      <c r="N143">
        <f t="shared" si="11"/>
        <v>12</v>
      </c>
    </row>
    <row r="144" spans="1:14" ht="26.45">
      <c r="A144" s="72" t="s">
        <v>398</v>
      </c>
      <c r="B144" s="72" t="s">
        <v>399</v>
      </c>
      <c r="C144" s="72" t="s">
        <v>192</v>
      </c>
      <c r="D144" s="72" t="s">
        <v>131</v>
      </c>
      <c r="E144" s="72" t="s">
        <v>124</v>
      </c>
      <c r="F144" s="72" t="s">
        <v>318</v>
      </c>
      <c r="G144" s="72" t="s">
        <v>289</v>
      </c>
      <c r="H144" s="73">
        <f>ROUND(7.5,2)</f>
        <v>7.5</v>
      </c>
      <c r="I144" s="72" t="s">
        <v>134</v>
      </c>
      <c r="J144" s="74" t="s">
        <v>127</v>
      </c>
      <c r="L144" s="17">
        <f t="shared" si="10"/>
        <v>46017</v>
      </c>
      <c r="N144">
        <f t="shared" si="11"/>
        <v>12</v>
      </c>
    </row>
    <row r="145" spans="1:14" ht="26.45">
      <c r="A145" s="72" t="s">
        <v>398</v>
      </c>
      <c r="B145" s="72" t="s">
        <v>399</v>
      </c>
      <c r="C145" s="72" t="s">
        <v>192</v>
      </c>
      <c r="D145" s="72" t="s">
        <v>131</v>
      </c>
      <c r="E145" s="72" t="s">
        <v>124</v>
      </c>
      <c r="F145" s="72" t="s">
        <v>318</v>
      </c>
      <c r="G145" s="72" t="s">
        <v>288</v>
      </c>
      <c r="H145" s="73">
        <f>ROUND(7.5,2)</f>
        <v>7.5</v>
      </c>
      <c r="I145" s="72" t="s">
        <v>134</v>
      </c>
      <c r="J145" s="74" t="s">
        <v>127</v>
      </c>
      <c r="L145" s="17">
        <f t="shared" si="10"/>
        <v>46022</v>
      </c>
      <c r="N145">
        <f t="shared" si="11"/>
        <v>12</v>
      </c>
    </row>
    <row r="146" spans="1:14" ht="26.45">
      <c r="A146" s="72" t="s">
        <v>398</v>
      </c>
      <c r="B146" s="72" t="s">
        <v>399</v>
      </c>
      <c r="C146" s="72" t="s">
        <v>192</v>
      </c>
      <c r="D146" s="72" t="s">
        <v>131</v>
      </c>
      <c r="E146" s="72" t="s">
        <v>124</v>
      </c>
      <c r="F146" s="72" t="s">
        <v>318</v>
      </c>
      <c r="G146" s="72" t="s">
        <v>290</v>
      </c>
      <c r="H146" s="73">
        <f>ROUND(7.5,2)</f>
        <v>7.5</v>
      </c>
      <c r="I146" s="72" t="s">
        <v>134</v>
      </c>
      <c r="J146" s="74" t="s">
        <v>127</v>
      </c>
      <c r="L146" s="17">
        <f t="shared" si="10"/>
        <v>46015</v>
      </c>
      <c r="N146">
        <f t="shared" si="11"/>
        <v>12</v>
      </c>
    </row>
    <row r="147" spans="1:14">
      <c r="A147" s="72" t="s">
        <v>91</v>
      </c>
      <c r="B147" s="72" t="s">
        <v>400</v>
      </c>
      <c r="C147" s="72" t="s">
        <v>159</v>
      </c>
      <c r="D147" s="72" t="s">
        <v>165</v>
      </c>
      <c r="E147" s="72" t="s">
        <v>124</v>
      </c>
      <c r="F147" s="72" t="s">
        <v>328</v>
      </c>
      <c r="G147" s="72" t="s">
        <v>346</v>
      </c>
      <c r="H147" s="73">
        <f t="shared" ref="H147:H161" si="13">ROUND(1,2)</f>
        <v>1</v>
      </c>
      <c r="I147" s="72" t="s">
        <v>126</v>
      </c>
      <c r="J147" s="74" t="s">
        <v>127</v>
      </c>
      <c r="L147" s="17">
        <f t="shared" si="10"/>
        <v>45926</v>
      </c>
      <c r="N147">
        <f t="shared" si="11"/>
        <v>9</v>
      </c>
    </row>
    <row r="148" spans="1:14">
      <c r="A148" s="72" t="s">
        <v>91</v>
      </c>
      <c r="B148" s="72" t="s">
        <v>400</v>
      </c>
      <c r="C148" s="72" t="s">
        <v>159</v>
      </c>
      <c r="D148" s="72" t="s">
        <v>165</v>
      </c>
      <c r="E148" s="72" t="s">
        <v>124</v>
      </c>
      <c r="F148" s="72" t="s">
        <v>328</v>
      </c>
      <c r="G148" s="72" t="s">
        <v>401</v>
      </c>
      <c r="H148" s="73">
        <f t="shared" si="13"/>
        <v>1</v>
      </c>
      <c r="I148" s="72" t="s">
        <v>126</v>
      </c>
      <c r="J148" s="74" t="s">
        <v>127</v>
      </c>
      <c r="L148" s="17">
        <f t="shared" si="10"/>
        <v>45925</v>
      </c>
      <c r="N148">
        <f t="shared" si="11"/>
        <v>9</v>
      </c>
    </row>
    <row r="149" spans="1:14" ht="26.45">
      <c r="A149" s="72" t="s">
        <v>46</v>
      </c>
      <c r="B149" s="72" t="s">
        <v>402</v>
      </c>
      <c r="C149" s="72" t="s">
        <v>256</v>
      </c>
      <c r="D149" s="72" t="s">
        <v>139</v>
      </c>
      <c r="E149" s="72" t="s">
        <v>124</v>
      </c>
      <c r="F149" s="72" t="s">
        <v>403</v>
      </c>
      <c r="G149" s="72" t="s">
        <v>355</v>
      </c>
      <c r="H149" s="73">
        <f t="shared" si="13"/>
        <v>1</v>
      </c>
      <c r="I149" s="72" t="s">
        <v>126</v>
      </c>
      <c r="J149" s="74" t="s">
        <v>127</v>
      </c>
      <c r="L149" s="17">
        <f t="shared" si="10"/>
        <v>45841</v>
      </c>
      <c r="N149">
        <f t="shared" si="11"/>
        <v>7</v>
      </c>
    </row>
    <row r="150" spans="1:14" ht="26.45">
      <c r="A150" s="72" t="s">
        <v>46</v>
      </c>
      <c r="B150" s="72" t="s">
        <v>402</v>
      </c>
      <c r="C150" s="72" t="s">
        <v>256</v>
      </c>
      <c r="D150" s="72" t="s">
        <v>139</v>
      </c>
      <c r="E150" s="72" t="s">
        <v>124</v>
      </c>
      <c r="F150" s="72" t="s">
        <v>392</v>
      </c>
      <c r="G150" s="72" t="s">
        <v>404</v>
      </c>
      <c r="H150" s="73">
        <f t="shared" si="13"/>
        <v>1</v>
      </c>
      <c r="I150" s="72" t="s">
        <v>126</v>
      </c>
      <c r="J150" s="74" t="s">
        <v>127</v>
      </c>
      <c r="L150" s="17">
        <f t="shared" si="10"/>
        <v>45877</v>
      </c>
      <c r="N150">
        <f t="shared" si="11"/>
        <v>8</v>
      </c>
    </row>
    <row r="151" spans="1:14" ht="26.45">
      <c r="A151" s="72" t="s">
        <v>46</v>
      </c>
      <c r="B151" s="72" t="s">
        <v>402</v>
      </c>
      <c r="C151" s="72" t="s">
        <v>256</v>
      </c>
      <c r="D151" s="72" t="s">
        <v>139</v>
      </c>
      <c r="E151" s="72" t="s">
        <v>124</v>
      </c>
      <c r="F151" s="72" t="s">
        <v>392</v>
      </c>
      <c r="G151" s="72" t="s">
        <v>405</v>
      </c>
      <c r="H151" s="73">
        <f t="shared" si="13"/>
        <v>1</v>
      </c>
      <c r="I151" s="72" t="s">
        <v>126</v>
      </c>
      <c r="J151" s="74" t="s">
        <v>127</v>
      </c>
      <c r="L151" s="17">
        <f t="shared" si="10"/>
        <v>45876</v>
      </c>
      <c r="N151">
        <f t="shared" si="11"/>
        <v>8</v>
      </c>
    </row>
    <row r="152" spans="1:14" ht="26.45">
      <c r="A152" s="72" t="s">
        <v>46</v>
      </c>
      <c r="B152" s="72" t="s">
        <v>402</v>
      </c>
      <c r="C152" s="72" t="s">
        <v>256</v>
      </c>
      <c r="D152" s="72" t="s">
        <v>139</v>
      </c>
      <c r="E152" s="72" t="s">
        <v>124</v>
      </c>
      <c r="F152" s="72" t="s">
        <v>403</v>
      </c>
      <c r="G152" s="72" t="s">
        <v>406</v>
      </c>
      <c r="H152" s="73">
        <f t="shared" si="13"/>
        <v>1</v>
      </c>
      <c r="I152" s="72" t="s">
        <v>126</v>
      </c>
      <c r="J152" s="74" t="s">
        <v>127</v>
      </c>
      <c r="L152" s="17">
        <f t="shared" si="10"/>
        <v>45840</v>
      </c>
      <c r="N152">
        <f t="shared" si="11"/>
        <v>7</v>
      </c>
    </row>
    <row r="153" spans="1:14" ht="26.45">
      <c r="A153" s="72" t="s">
        <v>46</v>
      </c>
      <c r="B153" s="72" t="s">
        <v>402</v>
      </c>
      <c r="C153" s="72" t="s">
        <v>256</v>
      </c>
      <c r="D153" s="72" t="s">
        <v>139</v>
      </c>
      <c r="E153" s="72" t="s">
        <v>124</v>
      </c>
      <c r="F153" s="72" t="s">
        <v>392</v>
      </c>
      <c r="G153" s="72" t="s">
        <v>407</v>
      </c>
      <c r="H153" s="73">
        <f t="shared" si="13"/>
        <v>1</v>
      </c>
      <c r="I153" s="72" t="s">
        <v>126</v>
      </c>
      <c r="J153" s="74" t="s">
        <v>127</v>
      </c>
      <c r="L153" s="17">
        <f t="shared" si="10"/>
        <v>45875</v>
      </c>
      <c r="N153">
        <f t="shared" si="11"/>
        <v>8</v>
      </c>
    </row>
    <row r="154" spans="1:14" ht="26.45">
      <c r="A154" s="72" t="s">
        <v>46</v>
      </c>
      <c r="B154" s="72" t="s">
        <v>402</v>
      </c>
      <c r="C154" s="72" t="s">
        <v>256</v>
      </c>
      <c r="D154" s="72" t="s">
        <v>139</v>
      </c>
      <c r="E154" s="72" t="s">
        <v>124</v>
      </c>
      <c r="F154" s="72" t="s">
        <v>392</v>
      </c>
      <c r="G154" s="72" t="s">
        <v>392</v>
      </c>
      <c r="H154" s="73">
        <f t="shared" si="13"/>
        <v>1</v>
      </c>
      <c r="I154" s="72" t="s">
        <v>126</v>
      </c>
      <c r="J154" s="74" t="s">
        <v>127</v>
      </c>
      <c r="L154" s="17">
        <f t="shared" si="10"/>
        <v>45874</v>
      </c>
      <c r="N154">
        <f t="shared" si="11"/>
        <v>8</v>
      </c>
    </row>
    <row r="155" spans="1:14" ht="26.45">
      <c r="A155" s="72" t="s">
        <v>43</v>
      </c>
      <c r="B155" s="72" t="s">
        <v>197</v>
      </c>
      <c r="C155" s="72" t="s">
        <v>164</v>
      </c>
      <c r="D155" s="72" t="s">
        <v>165</v>
      </c>
      <c r="E155" s="72" t="s">
        <v>124</v>
      </c>
      <c r="F155" s="72" t="s">
        <v>384</v>
      </c>
      <c r="G155" s="72" t="s">
        <v>160</v>
      </c>
      <c r="H155" s="73">
        <f t="shared" si="13"/>
        <v>1</v>
      </c>
      <c r="I155" s="72" t="s">
        <v>126</v>
      </c>
      <c r="J155" s="74" t="s">
        <v>127</v>
      </c>
      <c r="L155" s="17">
        <f t="shared" si="10"/>
        <v>46014</v>
      </c>
      <c r="N155">
        <f t="shared" si="11"/>
        <v>12</v>
      </c>
    </row>
    <row r="156" spans="1:14" ht="26.45">
      <c r="A156" s="72" t="s">
        <v>43</v>
      </c>
      <c r="B156" s="72" t="s">
        <v>197</v>
      </c>
      <c r="C156" s="72" t="s">
        <v>164</v>
      </c>
      <c r="D156" s="72" t="s">
        <v>165</v>
      </c>
      <c r="E156" s="72" t="s">
        <v>124</v>
      </c>
      <c r="F156" s="72" t="s">
        <v>408</v>
      </c>
      <c r="G156" s="72" t="s">
        <v>409</v>
      </c>
      <c r="H156" s="73">
        <f t="shared" si="13"/>
        <v>1</v>
      </c>
      <c r="I156" s="72" t="s">
        <v>126</v>
      </c>
      <c r="J156" s="74" t="s">
        <v>127</v>
      </c>
      <c r="L156" s="17">
        <f t="shared" si="10"/>
        <v>45702</v>
      </c>
      <c r="N156">
        <f t="shared" si="11"/>
        <v>2</v>
      </c>
    </row>
    <row r="157" spans="1:14" ht="26.45">
      <c r="A157" s="72" t="s">
        <v>43</v>
      </c>
      <c r="B157" s="72" t="s">
        <v>197</v>
      </c>
      <c r="C157" s="72" t="s">
        <v>164</v>
      </c>
      <c r="D157" s="72" t="s">
        <v>165</v>
      </c>
      <c r="E157" s="72" t="s">
        <v>124</v>
      </c>
      <c r="F157" s="72" t="s">
        <v>328</v>
      </c>
      <c r="G157" s="72" t="s">
        <v>346</v>
      </c>
      <c r="H157" s="73">
        <f t="shared" si="13"/>
        <v>1</v>
      </c>
      <c r="I157" s="72" t="s">
        <v>126</v>
      </c>
      <c r="J157" s="74" t="s">
        <v>127</v>
      </c>
      <c r="L157" s="17">
        <f t="shared" si="10"/>
        <v>45926</v>
      </c>
      <c r="N157">
        <f t="shared" si="11"/>
        <v>9</v>
      </c>
    </row>
    <row r="158" spans="1:14" ht="26.45">
      <c r="A158" s="72" t="s">
        <v>43</v>
      </c>
      <c r="B158" s="72" t="s">
        <v>197</v>
      </c>
      <c r="C158" s="72" t="s">
        <v>164</v>
      </c>
      <c r="D158" s="72" t="s">
        <v>165</v>
      </c>
      <c r="E158" s="72" t="s">
        <v>124</v>
      </c>
      <c r="F158" s="72" t="s">
        <v>384</v>
      </c>
      <c r="G158" s="72" t="s">
        <v>182</v>
      </c>
      <c r="H158" s="73">
        <f t="shared" si="13"/>
        <v>1</v>
      </c>
      <c r="I158" s="72" t="s">
        <v>126</v>
      </c>
      <c r="J158" s="74" t="s">
        <v>127</v>
      </c>
      <c r="L158" s="17">
        <f t="shared" si="10"/>
        <v>46020</v>
      </c>
      <c r="N158">
        <f t="shared" si="11"/>
        <v>12</v>
      </c>
    </row>
    <row r="159" spans="1:14" ht="26.45">
      <c r="A159" s="72" t="s">
        <v>43</v>
      </c>
      <c r="B159" s="72" t="s">
        <v>197</v>
      </c>
      <c r="C159" s="72" t="s">
        <v>164</v>
      </c>
      <c r="D159" s="72" t="s">
        <v>165</v>
      </c>
      <c r="E159" s="72" t="s">
        <v>124</v>
      </c>
      <c r="F159" s="72" t="s">
        <v>406</v>
      </c>
      <c r="G159" s="72" t="s">
        <v>295</v>
      </c>
      <c r="H159" s="73">
        <f t="shared" si="13"/>
        <v>1</v>
      </c>
      <c r="I159" s="72" t="s">
        <v>126</v>
      </c>
      <c r="J159" s="74" t="s">
        <v>127</v>
      </c>
      <c r="L159" s="17">
        <f t="shared" si="10"/>
        <v>45862</v>
      </c>
      <c r="N159">
        <f t="shared" si="11"/>
        <v>7</v>
      </c>
    </row>
    <row r="160" spans="1:14" ht="26.45">
      <c r="A160" s="72" t="s">
        <v>43</v>
      </c>
      <c r="B160" s="72" t="s">
        <v>197</v>
      </c>
      <c r="C160" s="72" t="s">
        <v>164</v>
      </c>
      <c r="D160" s="72" t="s">
        <v>165</v>
      </c>
      <c r="E160" s="72" t="s">
        <v>124</v>
      </c>
      <c r="F160" s="72" t="s">
        <v>406</v>
      </c>
      <c r="G160" s="72" t="s">
        <v>410</v>
      </c>
      <c r="H160" s="73">
        <f t="shared" si="13"/>
        <v>1</v>
      </c>
      <c r="I160" s="72" t="s">
        <v>126</v>
      </c>
      <c r="J160" s="74" t="s">
        <v>127</v>
      </c>
      <c r="L160" s="17">
        <f t="shared" si="10"/>
        <v>45863</v>
      </c>
      <c r="N160">
        <f t="shared" si="11"/>
        <v>7</v>
      </c>
    </row>
    <row r="161" spans="1:14" ht="26.45">
      <c r="A161" s="72" t="s">
        <v>43</v>
      </c>
      <c r="B161" s="72" t="s">
        <v>197</v>
      </c>
      <c r="C161" s="72" t="s">
        <v>164</v>
      </c>
      <c r="D161" s="72" t="s">
        <v>165</v>
      </c>
      <c r="E161" s="72" t="s">
        <v>124</v>
      </c>
      <c r="F161" s="72" t="s">
        <v>406</v>
      </c>
      <c r="G161" s="72" t="s">
        <v>378</v>
      </c>
      <c r="H161" s="73">
        <f t="shared" si="13"/>
        <v>1</v>
      </c>
      <c r="I161" s="72" t="s">
        <v>126</v>
      </c>
      <c r="J161" s="74" t="s">
        <v>127</v>
      </c>
      <c r="L161" s="17">
        <f t="shared" si="10"/>
        <v>45860</v>
      </c>
      <c r="N161">
        <f t="shared" si="11"/>
        <v>7</v>
      </c>
    </row>
    <row r="162" spans="1:14" ht="26.45">
      <c r="A162" s="72" t="s">
        <v>43</v>
      </c>
      <c r="B162" s="72" t="s">
        <v>197</v>
      </c>
      <c r="C162" s="72" t="s">
        <v>164</v>
      </c>
      <c r="D162" s="72" t="s">
        <v>165</v>
      </c>
      <c r="E162" s="72" t="s">
        <v>124</v>
      </c>
      <c r="F162" s="72" t="s">
        <v>323</v>
      </c>
      <c r="G162" s="72" t="s">
        <v>290</v>
      </c>
      <c r="H162" s="73">
        <f>ROUND(0.5,2)</f>
        <v>0.5</v>
      </c>
      <c r="I162" s="72" t="s">
        <v>126</v>
      </c>
      <c r="J162" s="74" t="s">
        <v>127</v>
      </c>
      <c r="L162" s="17">
        <f t="shared" si="10"/>
        <v>46015</v>
      </c>
      <c r="N162">
        <f t="shared" si="11"/>
        <v>12</v>
      </c>
    </row>
    <row r="163" spans="1:14" ht="26.45">
      <c r="A163" s="72" t="s">
        <v>43</v>
      </c>
      <c r="B163" s="72" t="s">
        <v>197</v>
      </c>
      <c r="C163" s="72" t="s">
        <v>164</v>
      </c>
      <c r="D163" s="72" t="s">
        <v>165</v>
      </c>
      <c r="E163" s="72" t="s">
        <v>124</v>
      </c>
      <c r="F163" s="72" t="s">
        <v>406</v>
      </c>
      <c r="G163" s="72" t="s">
        <v>411</v>
      </c>
      <c r="H163" s="73">
        <f>ROUND(1,2)</f>
        <v>1</v>
      </c>
      <c r="I163" s="72" t="s">
        <v>126</v>
      </c>
      <c r="J163" s="74" t="s">
        <v>127</v>
      </c>
      <c r="L163" s="17">
        <f t="shared" si="10"/>
        <v>45861</v>
      </c>
      <c r="N163">
        <f t="shared" si="11"/>
        <v>7</v>
      </c>
    </row>
    <row r="164" spans="1:14" ht="26.45">
      <c r="A164" s="72" t="s">
        <v>43</v>
      </c>
      <c r="B164" s="72" t="s">
        <v>197</v>
      </c>
      <c r="C164" s="72" t="s">
        <v>164</v>
      </c>
      <c r="D164" s="72" t="s">
        <v>165</v>
      </c>
      <c r="E164" s="72" t="s">
        <v>124</v>
      </c>
      <c r="F164" s="72" t="s">
        <v>406</v>
      </c>
      <c r="G164" s="72" t="s">
        <v>273</v>
      </c>
      <c r="H164" s="73">
        <f>ROUND(1,2)</f>
        <v>1</v>
      </c>
      <c r="I164" s="72" t="s">
        <v>126</v>
      </c>
      <c r="J164" s="74" t="s">
        <v>127</v>
      </c>
      <c r="L164" s="17">
        <f t="shared" si="10"/>
        <v>45859</v>
      </c>
      <c r="N164">
        <f t="shared" si="11"/>
        <v>7</v>
      </c>
    </row>
    <row r="165" spans="1:14" ht="26.45">
      <c r="A165" s="72" t="s">
        <v>43</v>
      </c>
      <c r="B165" s="72" t="s">
        <v>197</v>
      </c>
      <c r="C165" s="72" t="s">
        <v>164</v>
      </c>
      <c r="D165" s="72" t="s">
        <v>165</v>
      </c>
      <c r="E165" s="72" t="s">
        <v>124</v>
      </c>
      <c r="F165" s="72" t="s">
        <v>314</v>
      </c>
      <c r="G165" s="72" t="s">
        <v>372</v>
      </c>
      <c r="H165" s="73">
        <f>ROUND(0.5,2)</f>
        <v>0.5</v>
      </c>
      <c r="I165" s="72" t="s">
        <v>126</v>
      </c>
      <c r="J165" s="74" t="s">
        <v>127</v>
      </c>
      <c r="L165" s="17">
        <f t="shared" si="10"/>
        <v>45824</v>
      </c>
      <c r="N165">
        <f t="shared" si="11"/>
        <v>6</v>
      </c>
    </row>
    <row r="166" spans="1:14" ht="26.45">
      <c r="A166" s="72" t="s">
        <v>38</v>
      </c>
      <c r="B166" s="72" t="s">
        <v>412</v>
      </c>
      <c r="C166" s="72" t="s">
        <v>164</v>
      </c>
      <c r="D166" s="72" t="s">
        <v>232</v>
      </c>
      <c r="E166" s="72" t="s">
        <v>124</v>
      </c>
      <c r="F166" s="72" t="s">
        <v>413</v>
      </c>
      <c r="G166" s="72" t="s">
        <v>414</v>
      </c>
      <c r="H166" s="73">
        <f t="shared" ref="H166:H174" si="14">ROUND(1,2)</f>
        <v>1</v>
      </c>
      <c r="I166" s="72" t="s">
        <v>126</v>
      </c>
      <c r="J166" s="74" t="s">
        <v>127</v>
      </c>
      <c r="L166" s="17">
        <f t="shared" si="10"/>
        <v>45881</v>
      </c>
      <c r="N166">
        <f t="shared" si="11"/>
        <v>8</v>
      </c>
    </row>
    <row r="167" spans="1:14" ht="26.45">
      <c r="A167" s="72" t="s">
        <v>38</v>
      </c>
      <c r="B167" s="72" t="s">
        <v>412</v>
      </c>
      <c r="C167" s="72" t="s">
        <v>164</v>
      </c>
      <c r="D167" s="72" t="s">
        <v>232</v>
      </c>
      <c r="E167" s="72" t="s">
        <v>124</v>
      </c>
      <c r="F167" s="72" t="s">
        <v>372</v>
      </c>
      <c r="G167" s="72" t="s">
        <v>415</v>
      </c>
      <c r="H167" s="73">
        <f t="shared" si="14"/>
        <v>1</v>
      </c>
      <c r="I167" s="72" t="s">
        <v>126</v>
      </c>
      <c r="J167" s="74" t="s">
        <v>127</v>
      </c>
      <c r="L167" s="17">
        <f t="shared" si="10"/>
        <v>45842</v>
      </c>
      <c r="N167">
        <f t="shared" si="11"/>
        <v>7</v>
      </c>
    </row>
    <row r="168" spans="1:14" ht="26.45">
      <c r="A168" s="72" t="s">
        <v>38</v>
      </c>
      <c r="B168" s="72" t="s">
        <v>412</v>
      </c>
      <c r="C168" s="72" t="s">
        <v>164</v>
      </c>
      <c r="D168" s="72" t="s">
        <v>232</v>
      </c>
      <c r="E168" s="72" t="s">
        <v>124</v>
      </c>
      <c r="F168" s="72" t="s">
        <v>416</v>
      </c>
      <c r="G168" s="72" t="s">
        <v>417</v>
      </c>
      <c r="H168" s="73">
        <f t="shared" si="14"/>
        <v>1</v>
      </c>
      <c r="I168" s="72" t="s">
        <v>126</v>
      </c>
      <c r="J168" s="74" t="s">
        <v>127</v>
      </c>
      <c r="L168" s="17">
        <f t="shared" si="10"/>
        <v>45720</v>
      </c>
      <c r="N168">
        <f t="shared" si="11"/>
        <v>3</v>
      </c>
    </row>
    <row r="169" spans="1:14" ht="26.45">
      <c r="A169" s="72" t="s">
        <v>38</v>
      </c>
      <c r="B169" s="72" t="s">
        <v>412</v>
      </c>
      <c r="C169" s="72" t="s">
        <v>164</v>
      </c>
      <c r="D169" s="72" t="s">
        <v>232</v>
      </c>
      <c r="E169" s="72" t="s">
        <v>124</v>
      </c>
      <c r="F169" s="72" t="s">
        <v>413</v>
      </c>
      <c r="G169" s="72" t="s">
        <v>392</v>
      </c>
      <c r="H169" s="73">
        <f t="shared" si="14"/>
        <v>1</v>
      </c>
      <c r="I169" s="72" t="s">
        <v>126</v>
      </c>
      <c r="J169" s="74" t="s">
        <v>127</v>
      </c>
      <c r="L169" s="17">
        <f t="shared" si="10"/>
        <v>45874</v>
      </c>
      <c r="N169">
        <f t="shared" si="11"/>
        <v>8</v>
      </c>
    </row>
    <row r="170" spans="1:14" ht="26.45">
      <c r="A170" s="72" t="s">
        <v>38</v>
      </c>
      <c r="B170" s="72" t="s">
        <v>412</v>
      </c>
      <c r="C170" s="72" t="s">
        <v>164</v>
      </c>
      <c r="D170" s="72" t="s">
        <v>232</v>
      </c>
      <c r="E170" s="72" t="s">
        <v>124</v>
      </c>
      <c r="F170" s="72" t="s">
        <v>413</v>
      </c>
      <c r="G170" s="72" t="s">
        <v>405</v>
      </c>
      <c r="H170" s="73">
        <f t="shared" si="14"/>
        <v>1</v>
      </c>
      <c r="I170" s="72" t="s">
        <v>126</v>
      </c>
      <c r="J170" s="74" t="s">
        <v>127</v>
      </c>
      <c r="L170" s="17">
        <f t="shared" si="10"/>
        <v>45876</v>
      </c>
      <c r="N170">
        <f t="shared" si="11"/>
        <v>8</v>
      </c>
    </row>
    <row r="171" spans="1:14" ht="26.45">
      <c r="A171" s="72" t="s">
        <v>38</v>
      </c>
      <c r="B171" s="72" t="s">
        <v>412</v>
      </c>
      <c r="C171" s="72" t="s">
        <v>164</v>
      </c>
      <c r="D171" s="72" t="s">
        <v>232</v>
      </c>
      <c r="E171" s="72" t="s">
        <v>124</v>
      </c>
      <c r="F171" s="72" t="s">
        <v>284</v>
      </c>
      <c r="G171" s="72" t="s">
        <v>275</v>
      </c>
      <c r="H171" s="73">
        <f t="shared" si="14"/>
        <v>1</v>
      </c>
      <c r="I171" s="72" t="s">
        <v>126</v>
      </c>
      <c r="J171" s="74" t="s">
        <v>127</v>
      </c>
      <c r="L171" s="17">
        <f t="shared" si="10"/>
        <v>45891</v>
      </c>
      <c r="N171">
        <f t="shared" si="11"/>
        <v>8</v>
      </c>
    </row>
    <row r="172" spans="1:14" ht="26.45">
      <c r="A172" s="72" t="s">
        <v>38</v>
      </c>
      <c r="B172" s="72" t="s">
        <v>412</v>
      </c>
      <c r="C172" s="72" t="s">
        <v>164</v>
      </c>
      <c r="D172" s="72" t="s">
        <v>232</v>
      </c>
      <c r="E172" s="72" t="s">
        <v>124</v>
      </c>
      <c r="F172" s="72" t="s">
        <v>284</v>
      </c>
      <c r="G172" s="72" t="s">
        <v>282</v>
      </c>
      <c r="H172" s="73">
        <f t="shared" si="14"/>
        <v>1</v>
      </c>
      <c r="I172" s="72" t="s">
        <v>126</v>
      </c>
      <c r="J172" s="74" t="s">
        <v>127</v>
      </c>
      <c r="L172" s="17">
        <f t="shared" si="10"/>
        <v>45894</v>
      </c>
      <c r="N172">
        <f t="shared" si="11"/>
        <v>8</v>
      </c>
    </row>
    <row r="173" spans="1:14" ht="26.45">
      <c r="A173" s="72" t="s">
        <v>38</v>
      </c>
      <c r="B173" s="72" t="s">
        <v>412</v>
      </c>
      <c r="C173" s="72" t="s">
        <v>164</v>
      </c>
      <c r="D173" s="72" t="s">
        <v>232</v>
      </c>
      <c r="E173" s="72" t="s">
        <v>124</v>
      </c>
      <c r="F173" s="72" t="s">
        <v>413</v>
      </c>
      <c r="G173" s="72" t="s">
        <v>418</v>
      </c>
      <c r="H173" s="73">
        <f t="shared" si="14"/>
        <v>1</v>
      </c>
      <c r="I173" s="72" t="s">
        <v>126</v>
      </c>
      <c r="J173" s="74" t="s">
        <v>127</v>
      </c>
      <c r="L173" s="17">
        <f t="shared" si="10"/>
        <v>45882</v>
      </c>
      <c r="N173">
        <f t="shared" si="11"/>
        <v>8</v>
      </c>
    </row>
    <row r="174" spans="1:14" ht="26.45">
      <c r="A174" s="72" t="s">
        <v>38</v>
      </c>
      <c r="B174" s="72" t="s">
        <v>412</v>
      </c>
      <c r="C174" s="72" t="s">
        <v>164</v>
      </c>
      <c r="D174" s="72" t="s">
        <v>232</v>
      </c>
      <c r="E174" s="72" t="s">
        <v>124</v>
      </c>
      <c r="F174" s="72" t="s">
        <v>385</v>
      </c>
      <c r="G174" s="72" t="s">
        <v>182</v>
      </c>
      <c r="H174" s="73">
        <f t="shared" si="14"/>
        <v>1</v>
      </c>
      <c r="I174" s="72" t="s">
        <v>126</v>
      </c>
      <c r="J174" s="74" t="s">
        <v>127</v>
      </c>
      <c r="L174" s="17">
        <f t="shared" si="10"/>
        <v>46020</v>
      </c>
      <c r="N174">
        <f t="shared" si="11"/>
        <v>12</v>
      </c>
    </row>
    <row r="175" spans="1:14" ht="26.45">
      <c r="A175" s="72" t="s">
        <v>38</v>
      </c>
      <c r="B175" s="72" t="s">
        <v>412</v>
      </c>
      <c r="C175" s="72" t="s">
        <v>164</v>
      </c>
      <c r="D175" s="72" t="s">
        <v>232</v>
      </c>
      <c r="E175" s="72" t="s">
        <v>124</v>
      </c>
      <c r="F175" s="72" t="s">
        <v>323</v>
      </c>
      <c r="G175" s="72" t="s">
        <v>288</v>
      </c>
      <c r="H175" s="73">
        <f>ROUND(0.5,2)</f>
        <v>0.5</v>
      </c>
      <c r="I175" s="72" t="s">
        <v>126</v>
      </c>
      <c r="J175" s="74" t="s">
        <v>127</v>
      </c>
      <c r="L175" s="17">
        <f t="shared" si="10"/>
        <v>46022</v>
      </c>
      <c r="N175">
        <f t="shared" si="11"/>
        <v>12</v>
      </c>
    </row>
    <row r="176" spans="1:14" ht="26.45">
      <c r="A176" s="72" t="s">
        <v>38</v>
      </c>
      <c r="B176" s="72" t="s">
        <v>412</v>
      </c>
      <c r="C176" s="72" t="s">
        <v>164</v>
      </c>
      <c r="D176" s="72" t="s">
        <v>232</v>
      </c>
      <c r="E176" s="72" t="s">
        <v>124</v>
      </c>
      <c r="F176" s="72" t="s">
        <v>284</v>
      </c>
      <c r="G176" s="72" t="s">
        <v>285</v>
      </c>
      <c r="H176" s="73">
        <f t="shared" ref="H176:H186" si="15">ROUND(1,2)</f>
        <v>1</v>
      </c>
      <c r="I176" s="72" t="s">
        <v>126</v>
      </c>
      <c r="J176" s="74" t="s">
        <v>127</v>
      </c>
      <c r="L176" s="17">
        <f t="shared" si="10"/>
        <v>45895</v>
      </c>
      <c r="N176">
        <f t="shared" si="11"/>
        <v>8</v>
      </c>
    </row>
    <row r="177" spans="1:14" ht="26.45">
      <c r="A177" s="72" t="s">
        <v>38</v>
      </c>
      <c r="B177" s="72" t="s">
        <v>412</v>
      </c>
      <c r="C177" s="72" t="s">
        <v>164</v>
      </c>
      <c r="D177" s="72" t="s">
        <v>232</v>
      </c>
      <c r="E177" s="72" t="s">
        <v>124</v>
      </c>
      <c r="F177" s="72" t="s">
        <v>413</v>
      </c>
      <c r="G177" s="72" t="s">
        <v>404</v>
      </c>
      <c r="H177" s="73">
        <f t="shared" si="15"/>
        <v>1</v>
      </c>
      <c r="I177" s="72" t="s">
        <v>126</v>
      </c>
      <c r="J177" s="74" t="s">
        <v>127</v>
      </c>
      <c r="L177" s="17">
        <f t="shared" si="10"/>
        <v>45877</v>
      </c>
      <c r="N177">
        <f t="shared" si="11"/>
        <v>8</v>
      </c>
    </row>
    <row r="178" spans="1:14" ht="26.45">
      <c r="A178" s="72" t="s">
        <v>38</v>
      </c>
      <c r="B178" s="72" t="s">
        <v>412</v>
      </c>
      <c r="C178" s="72" t="s">
        <v>164</v>
      </c>
      <c r="D178" s="72" t="s">
        <v>232</v>
      </c>
      <c r="E178" s="72" t="s">
        <v>124</v>
      </c>
      <c r="F178" s="72" t="s">
        <v>413</v>
      </c>
      <c r="G178" s="72" t="s">
        <v>419</v>
      </c>
      <c r="H178" s="73">
        <f t="shared" si="15"/>
        <v>1</v>
      </c>
      <c r="I178" s="72" t="s">
        <v>126</v>
      </c>
      <c r="J178" s="74" t="s">
        <v>127</v>
      </c>
      <c r="L178" s="17">
        <f t="shared" si="10"/>
        <v>45880</v>
      </c>
      <c r="N178">
        <f t="shared" si="11"/>
        <v>8</v>
      </c>
    </row>
    <row r="179" spans="1:14" ht="26.45">
      <c r="A179" s="72" t="s">
        <v>38</v>
      </c>
      <c r="B179" s="72" t="s">
        <v>412</v>
      </c>
      <c r="C179" s="72" t="s">
        <v>164</v>
      </c>
      <c r="D179" s="72" t="s">
        <v>232</v>
      </c>
      <c r="E179" s="72" t="s">
        <v>124</v>
      </c>
      <c r="F179" s="72" t="s">
        <v>372</v>
      </c>
      <c r="G179" s="72" t="s">
        <v>355</v>
      </c>
      <c r="H179" s="73">
        <f t="shared" si="15"/>
        <v>1</v>
      </c>
      <c r="I179" s="72" t="s">
        <v>126</v>
      </c>
      <c r="J179" s="74" t="s">
        <v>127</v>
      </c>
      <c r="L179" s="17">
        <f t="shared" si="10"/>
        <v>45841</v>
      </c>
      <c r="N179">
        <f t="shared" si="11"/>
        <v>7</v>
      </c>
    </row>
    <row r="180" spans="1:14" ht="26.45">
      <c r="A180" s="72" t="s">
        <v>38</v>
      </c>
      <c r="B180" s="72" t="s">
        <v>412</v>
      </c>
      <c r="C180" s="72" t="s">
        <v>164</v>
      </c>
      <c r="D180" s="72" t="s">
        <v>232</v>
      </c>
      <c r="E180" s="72" t="s">
        <v>124</v>
      </c>
      <c r="F180" s="72" t="s">
        <v>420</v>
      </c>
      <c r="G180" s="72" t="s">
        <v>421</v>
      </c>
      <c r="H180" s="73">
        <f t="shared" si="15"/>
        <v>1</v>
      </c>
      <c r="I180" s="72" t="s">
        <v>126</v>
      </c>
      <c r="J180" s="74" t="s">
        <v>127</v>
      </c>
      <c r="L180" s="17">
        <f t="shared" si="10"/>
        <v>45691</v>
      </c>
      <c r="N180">
        <f t="shared" si="11"/>
        <v>2</v>
      </c>
    </row>
    <row r="181" spans="1:14" ht="26.45">
      <c r="A181" s="72" t="s">
        <v>38</v>
      </c>
      <c r="B181" s="72" t="s">
        <v>412</v>
      </c>
      <c r="C181" s="72" t="s">
        <v>164</v>
      </c>
      <c r="D181" s="72" t="s">
        <v>232</v>
      </c>
      <c r="E181" s="72" t="s">
        <v>124</v>
      </c>
      <c r="F181" s="72" t="s">
        <v>385</v>
      </c>
      <c r="G181" s="72" t="s">
        <v>318</v>
      </c>
      <c r="H181" s="73">
        <f t="shared" si="15"/>
        <v>1</v>
      </c>
      <c r="I181" s="72" t="s">
        <v>126</v>
      </c>
      <c r="J181" s="74" t="s">
        <v>127</v>
      </c>
      <c r="L181" s="17">
        <f t="shared" si="10"/>
        <v>46021</v>
      </c>
      <c r="N181">
        <f t="shared" si="11"/>
        <v>12</v>
      </c>
    </row>
    <row r="182" spans="1:14" ht="26.45">
      <c r="A182" s="72" t="s">
        <v>38</v>
      </c>
      <c r="B182" s="72" t="s">
        <v>412</v>
      </c>
      <c r="C182" s="72" t="s">
        <v>164</v>
      </c>
      <c r="D182" s="72" t="s">
        <v>232</v>
      </c>
      <c r="E182" s="72" t="s">
        <v>124</v>
      </c>
      <c r="F182" s="72" t="s">
        <v>413</v>
      </c>
      <c r="G182" s="72" t="s">
        <v>407</v>
      </c>
      <c r="H182" s="73">
        <f t="shared" si="15"/>
        <v>1</v>
      </c>
      <c r="I182" s="72" t="s">
        <v>126</v>
      </c>
      <c r="J182" s="74" t="s">
        <v>127</v>
      </c>
      <c r="L182" s="17">
        <f t="shared" si="10"/>
        <v>45875</v>
      </c>
      <c r="N182">
        <f t="shared" si="11"/>
        <v>8</v>
      </c>
    </row>
    <row r="183" spans="1:14" ht="26.45">
      <c r="A183" s="72" t="s">
        <v>38</v>
      </c>
      <c r="B183" s="72" t="s">
        <v>412</v>
      </c>
      <c r="C183" s="72" t="s">
        <v>164</v>
      </c>
      <c r="D183" s="72" t="s">
        <v>232</v>
      </c>
      <c r="E183" s="72" t="s">
        <v>124</v>
      </c>
      <c r="F183" s="72" t="s">
        <v>372</v>
      </c>
      <c r="G183" s="72" t="s">
        <v>406</v>
      </c>
      <c r="H183" s="73">
        <f t="shared" si="15"/>
        <v>1</v>
      </c>
      <c r="I183" s="72" t="s">
        <v>126</v>
      </c>
      <c r="J183" s="74" t="s">
        <v>127</v>
      </c>
      <c r="L183" s="17">
        <f t="shared" si="10"/>
        <v>45840</v>
      </c>
      <c r="N183">
        <f t="shared" si="11"/>
        <v>7</v>
      </c>
    </row>
    <row r="184" spans="1:14" ht="26.45">
      <c r="A184" s="72" t="s">
        <v>38</v>
      </c>
      <c r="B184" s="72" t="s">
        <v>412</v>
      </c>
      <c r="C184" s="72" t="s">
        <v>164</v>
      </c>
      <c r="D184" s="72" t="s">
        <v>232</v>
      </c>
      <c r="E184" s="72" t="s">
        <v>124</v>
      </c>
      <c r="F184" s="72" t="s">
        <v>422</v>
      </c>
      <c r="G184" s="72" t="s">
        <v>304</v>
      </c>
      <c r="H184" s="73">
        <f t="shared" si="15"/>
        <v>1</v>
      </c>
      <c r="I184" s="72" t="s">
        <v>126</v>
      </c>
      <c r="J184" s="74" t="s">
        <v>127</v>
      </c>
      <c r="L184" s="17">
        <f t="shared" si="10"/>
        <v>45748</v>
      </c>
      <c r="N184">
        <f t="shared" si="11"/>
        <v>4</v>
      </c>
    </row>
    <row r="185" spans="1:14" ht="26.45">
      <c r="A185" s="72" t="s">
        <v>38</v>
      </c>
      <c r="B185" s="72" t="s">
        <v>412</v>
      </c>
      <c r="C185" s="72" t="s">
        <v>164</v>
      </c>
      <c r="D185" s="72" t="s">
        <v>232</v>
      </c>
      <c r="E185" s="72" t="s">
        <v>124</v>
      </c>
      <c r="F185" s="72" t="s">
        <v>416</v>
      </c>
      <c r="G185" s="72" t="s">
        <v>423</v>
      </c>
      <c r="H185" s="73">
        <f t="shared" si="15"/>
        <v>1</v>
      </c>
      <c r="I185" s="72" t="s">
        <v>126</v>
      </c>
      <c r="J185" s="74" t="s">
        <v>127</v>
      </c>
      <c r="L185" s="17">
        <f t="shared" si="10"/>
        <v>45721</v>
      </c>
      <c r="N185">
        <f t="shared" si="11"/>
        <v>3</v>
      </c>
    </row>
    <row r="186" spans="1:14" ht="26.45">
      <c r="A186" s="72" t="s">
        <v>38</v>
      </c>
      <c r="B186" s="72" t="s">
        <v>412</v>
      </c>
      <c r="C186" s="72" t="s">
        <v>164</v>
      </c>
      <c r="D186" s="72" t="s">
        <v>232</v>
      </c>
      <c r="E186" s="72" t="s">
        <v>124</v>
      </c>
      <c r="F186" s="72" t="s">
        <v>416</v>
      </c>
      <c r="G186" s="72" t="s">
        <v>424</v>
      </c>
      <c r="H186" s="73">
        <f t="shared" si="15"/>
        <v>1</v>
      </c>
      <c r="I186" s="72" t="s">
        <v>126</v>
      </c>
      <c r="J186" s="74" t="s">
        <v>127</v>
      </c>
      <c r="L186" s="17">
        <f t="shared" si="10"/>
        <v>45719</v>
      </c>
      <c r="N186">
        <f t="shared" si="11"/>
        <v>3</v>
      </c>
    </row>
    <row r="187" spans="1:14" ht="26.45">
      <c r="A187" s="72" t="s">
        <v>204</v>
      </c>
      <c r="B187" s="72" t="s">
        <v>205</v>
      </c>
      <c r="C187" s="72" t="s">
        <v>192</v>
      </c>
      <c r="D187" s="72" t="s">
        <v>131</v>
      </c>
      <c r="E187" s="72" t="s">
        <v>124</v>
      </c>
      <c r="F187" s="72" t="s">
        <v>206</v>
      </c>
      <c r="G187" s="72" t="s">
        <v>182</v>
      </c>
      <c r="H187" s="73">
        <f t="shared" ref="H187:H208" si="16">ROUND(7.5,2)</f>
        <v>7.5</v>
      </c>
      <c r="I187" s="72" t="s">
        <v>134</v>
      </c>
      <c r="J187" s="74" t="s">
        <v>127</v>
      </c>
      <c r="L187" s="17">
        <f t="shared" si="10"/>
        <v>46020</v>
      </c>
      <c r="N187">
        <f t="shared" si="11"/>
        <v>12</v>
      </c>
    </row>
    <row r="188" spans="1:14" ht="26.45">
      <c r="A188" s="72" t="s">
        <v>204</v>
      </c>
      <c r="B188" s="72" t="s">
        <v>205</v>
      </c>
      <c r="C188" s="72" t="s">
        <v>192</v>
      </c>
      <c r="D188" s="72" t="s">
        <v>131</v>
      </c>
      <c r="E188" s="72" t="s">
        <v>124</v>
      </c>
      <c r="F188" s="72" t="s">
        <v>419</v>
      </c>
      <c r="G188" s="72" t="s">
        <v>407</v>
      </c>
      <c r="H188" s="73">
        <f t="shared" si="16"/>
        <v>7.5</v>
      </c>
      <c r="I188" s="72" t="s">
        <v>134</v>
      </c>
      <c r="J188" s="74" t="s">
        <v>127</v>
      </c>
      <c r="L188" s="17">
        <f t="shared" si="10"/>
        <v>45875</v>
      </c>
      <c r="N188">
        <f t="shared" si="11"/>
        <v>8</v>
      </c>
    </row>
    <row r="189" spans="1:14" ht="26.45">
      <c r="A189" s="72" t="s">
        <v>204</v>
      </c>
      <c r="B189" s="72" t="s">
        <v>205</v>
      </c>
      <c r="C189" s="72" t="s">
        <v>192</v>
      </c>
      <c r="D189" s="72" t="s">
        <v>131</v>
      </c>
      <c r="E189" s="72" t="s">
        <v>124</v>
      </c>
      <c r="F189" s="72" t="s">
        <v>425</v>
      </c>
      <c r="G189" s="72" t="s">
        <v>375</v>
      </c>
      <c r="H189" s="73">
        <f t="shared" si="16"/>
        <v>7.5</v>
      </c>
      <c r="I189" s="72" t="s">
        <v>134</v>
      </c>
      <c r="J189" s="74" t="s">
        <v>127</v>
      </c>
      <c r="L189" s="17">
        <f t="shared" si="10"/>
        <v>45902</v>
      </c>
      <c r="N189">
        <f t="shared" si="11"/>
        <v>9</v>
      </c>
    </row>
    <row r="190" spans="1:14" ht="26.45">
      <c r="A190" s="72" t="s">
        <v>204</v>
      </c>
      <c r="B190" s="72" t="s">
        <v>205</v>
      </c>
      <c r="C190" s="72" t="s">
        <v>192</v>
      </c>
      <c r="D190" s="72" t="s">
        <v>131</v>
      </c>
      <c r="E190" s="72" t="s">
        <v>124</v>
      </c>
      <c r="F190" s="72" t="s">
        <v>206</v>
      </c>
      <c r="G190" s="72" t="s">
        <v>290</v>
      </c>
      <c r="H190" s="73">
        <f t="shared" si="16"/>
        <v>7.5</v>
      </c>
      <c r="I190" s="72" t="s">
        <v>134</v>
      </c>
      <c r="J190" s="74" t="s">
        <v>127</v>
      </c>
      <c r="L190" s="17">
        <f t="shared" si="10"/>
        <v>46015</v>
      </c>
      <c r="N190">
        <f t="shared" si="11"/>
        <v>12</v>
      </c>
    </row>
    <row r="191" spans="1:14" ht="26.45">
      <c r="A191" s="72" t="s">
        <v>204</v>
      </c>
      <c r="B191" s="72" t="s">
        <v>205</v>
      </c>
      <c r="C191" s="72" t="s">
        <v>192</v>
      </c>
      <c r="D191" s="72" t="s">
        <v>131</v>
      </c>
      <c r="E191" s="72" t="s">
        <v>124</v>
      </c>
      <c r="F191" s="72" t="s">
        <v>206</v>
      </c>
      <c r="G191" s="72" t="s">
        <v>288</v>
      </c>
      <c r="H191" s="73">
        <f t="shared" si="16"/>
        <v>7.5</v>
      </c>
      <c r="I191" s="72" t="s">
        <v>134</v>
      </c>
      <c r="J191" s="74" t="s">
        <v>127</v>
      </c>
      <c r="L191" s="17">
        <f t="shared" si="10"/>
        <v>46022</v>
      </c>
      <c r="N191">
        <f t="shared" si="11"/>
        <v>12</v>
      </c>
    </row>
    <row r="192" spans="1:14" ht="26.45">
      <c r="A192" s="72" t="s">
        <v>204</v>
      </c>
      <c r="B192" s="72" t="s">
        <v>205</v>
      </c>
      <c r="C192" s="72" t="s">
        <v>192</v>
      </c>
      <c r="D192" s="72" t="s">
        <v>131</v>
      </c>
      <c r="E192" s="72" t="s">
        <v>124</v>
      </c>
      <c r="F192" s="72" t="s">
        <v>206</v>
      </c>
      <c r="G192" s="72" t="s">
        <v>318</v>
      </c>
      <c r="H192" s="73">
        <f t="shared" si="16"/>
        <v>7.5</v>
      </c>
      <c r="I192" s="72" t="s">
        <v>134</v>
      </c>
      <c r="J192" s="74" t="s">
        <v>127</v>
      </c>
      <c r="L192" s="17">
        <f t="shared" si="10"/>
        <v>46021</v>
      </c>
      <c r="N192">
        <f t="shared" si="11"/>
        <v>12</v>
      </c>
    </row>
    <row r="193" spans="1:14" ht="26.45">
      <c r="A193" s="72" t="s">
        <v>204</v>
      </c>
      <c r="B193" s="72" t="s">
        <v>205</v>
      </c>
      <c r="C193" s="72" t="s">
        <v>192</v>
      </c>
      <c r="D193" s="72" t="s">
        <v>131</v>
      </c>
      <c r="E193" s="72" t="s">
        <v>124</v>
      </c>
      <c r="F193" s="72" t="s">
        <v>206</v>
      </c>
      <c r="G193" s="72" t="s">
        <v>289</v>
      </c>
      <c r="H193" s="73">
        <f t="shared" si="16"/>
        <v>7.5</v>
      </c>
      <c r="I193" s="72" t="s">
        <v>134</v>
      </c>
      <c r="J193" s="74" t="s">
        <v>127</v>
      </c>
      <c r="L193" s="17">
        <f t="shared" si="10"/>
        <v>46017</v>
      </c>
      <c r="N193">
        <f t="shared" si="11"/>
        <v>12</v>
      </c>
    </row>
    <row r="194" spans="1:14" ht="26.45">
      <c r="A194" s="72" t="s">
        <v>204</v>
      </c>
      <c r="B194" s="72" t="s">
        <v>205</v>
      </c>
      <c r="C194" s="72" t="s">
        <v>192</v>
      </c>
      <c r="D194" s="72" t="s">
        <v>131</v>
      </c>
      <c r="E194" s="72" t="s">
        <v>124</v>
      </c>
      <c r="F194" s="72" t="s">
        <v>419</v>
      </c>
      <c r="G194" s="72" t="s">
        <v>392</v>
      </c>
      <c r="H194" s="73">
        <f t="shared" si="16"/>
        <v>7.5</v>
      </c>
      <c r="I194" s="72" t="s">
        <v>134</v>
      </c>
      <c r="J194" s="74" t="s">
        <v>127</v>
      </c>
      <c r="L194" s="17">
        <f t="shared" si="10"/>
        <v>45874</v>
      </c>
      <c r="N194">
        <f t="shared" si="11"/>
        <v>8</v>
      </c>
    </row>
    <row r="195" spans="1:14" ht="26.45">
      <c r="A195" s="72" t="s">
        <v>204</v>
      </c>
      <c r="B195" s="72" t="s">
        <v>205</v>
      </c>
      <c r="C195" s="72" t="s">
        <v>192</v>
      </c>
      <c r="D195" s="72" t="s">
        <v>131</v>
      </c>
      <c r="E195" s="72" t="s">
        <v>124</v>
      </c>
      <c r="F195" s="72" t="s">
        <v>419</v>
      </c>
      <c r="G195" s="72" t="s">
        <v>405</v>
      </c>
      <c r="H195" s="73">
        <f t="shared" si="16"/>
        <v>7.5</v>
      </c>
      <c r="I195" s="72" t="s">
        <v>134</v>
      </c>
      <c r="J195" s="74" t="s">
        <v>127</v>
      </c>
      <c r="L195" s="17">
        <f t="shared" ref="L195:L258" si="17">DATE(RIGHT(G195,4), MID(G195,4,2), LEFT(G195,2))</f>
        <v>45876</v>
      </c>
      <c r="N195">
        <f t="shared" ref="N195:N258" si="18">MONTH(L195)</f>
        <v>8</v>
      </c>
    </row>
    <row r="196" spans="1:14" ht="26.45">
      <c r="A196" s="72" t="s">
        <v>426</v>
      </c>
      <c r="B196" s="72" t="s">
        <v>427</v>
      </c>
      <c r="C196" s="72" t="s">
        <v>130</v>
      </c>
      <c r="D196" s="72" t="s">
        <v>131</v>
      </c>
      <c r="E196" s="72" t="s">
        <v>124</v>
      </c>
      <c r="F196" s="72" t="s">
        <v>345</v>
      </c>
      <c r="G196" s="72" t="s">
        <v>182</v>
      </c>
      <c r="H196" s="73">
        <f t="shared" si="16"/>
        <v>7.5</v>
      </c>
      <c r="I196" s="72" t="s">
        <v>134</v>
      </c>
      <c r="J196" s="74" t="s">
        <v>127</v>
      </c>
      <c r="L196" s="17">
        <f t="shared" si="17"/>
        <v>46020</v>
      </c>
      <c r="N196">
        <f t="shared" si="18"/>
        <v>12</v>
      </c>
    </row>
    <row r="197" spans="1:14" ht="26.45">
      <c r="A197" s="72" t="s">
        <v>426</v>
      </c>
      <c r="B197" s="72" t="s">
        <v>427</v>
      </c>
      <c r="C197" s="72" t="s">
        <v>130</v>
      </c>
      <c r="D197" s="72" t="s">
        <v>131</v>
      </c>
      <c r="E197" s="72" t="s">
        <v>124</v>
      </c>
      <c r="F197" s="72" t="s">
        <v>313</v>
      </c>
      <c r="G197" s="72" t="s">
        <v>312</v>
      </c>
      <c r="H197" s="73">
        <f t="shared" si="16"/>
        <v>7.5</v>
      </c>
      <c r="I197" s="72" t="s">
        <v>134</v>
      </c>
      <c r="J197" s="74" t="s">
        <v>127</v>
      </c>
      <c r="L197" s="17">
        <f t="shared" si="17"/>
        <v>45818</v>
      </c>
      <c r="N197">
        <f t="shared" si="18"/>
        <v>6</v>
      </c>
    </row>
    <row r="198" spans="1:14" ht="26.45">
      <c r="A198" s="72" t="s">
        <v>426</v>
      </c>
      <c r="B198" s="72" t="s">
        <v>427</v>
      </c>
      <c r="C198" s="72" t="s">
        <v>130</v>
      </c>
      <c r="D198" s="72" t="s">
        <v>131</v>
      </c>
      <c r="E198" s="72" t="s">
        <v>124</v>
      </c>
      <c r="F198" s="72" t="s">
        <v>313</v>
      </c>
      <c r="G198" s="72" t="s">
        <v>315</v>
      </c>
      <c r="H198" s="73">
        <f t="shared" si="16"/>
        <v>7.5</v>
      </c>
      <c r="I198" s="72" t="s">
        <v>134</v>
      </c>
      <c r="J198" s="74" t="s">
        <v>127</v>
      </c>
      <c r="L198" s="17">
        <f t="shared" si="17"/>
        <v>45819</v>
      </c>
      <c r="N198">
        <f t="shared" si="18"/>
        <v>6</v>
      </c>
    </row>
    <row r="199" spans="1:14" ht="26.45">
      <c r="A199" s="72" t="s">
        <v>426</v>
      </c>
      <c r="B199" s="72" t="s">
        <v>427</v>
      </c>
      <c r="C199" s="72" t="s">
        <v>130</v>
      </c>
      <c r="D199" s="72" t="s">
        <v>131</v>
      </c>
      <c r="E199" s="72" t="s">
        <v>124</v>
      </c>
      <c r="F199" s="72" t="s">
        <v>313</v>
      </c>
      <c r="G199" s="72" t="s">
        <v>320</v>
      </c>
      <c r="H199" s="73">
        <f t="shared" si="16"/>
        <v>7.5</v>
      </c>
      <c r="I199" s="72" t="s">
        <v>134</v>
      </c>
      <c r="J199" s="74" t="s">
        <v>127</v>
      </c>
      <c r="L199" s="17">
        <f t="shared" si="17"/>
        <v>45820</v>
      </c>
      <c r="N199">
        <f t="shared" si="18"/>
        <v>6</v>
      </c>
    </row>
    <row r="200" spans="1:14" ht="26.45">
      <c r="A200" s="72" t="s">
        <v>426</v>
      </c>
      <c r="B200" s="72" t="s">
        <v>427</v>
      </c>
      <c r="C200" s="72" t="s">
        <v>130</v>
      </c>
      <c r="D200" s="72" t="s">
        <v>131</v>
      </c>
      <c r="E200" s="72" t="s">
        <v>124</v>
      </c>
      <c r="F200" s="72" t="s">
        <v>345</v>
      </c>
      <c r="G200" s="72" t="s">
        <v>289</v>
      </c>
      <c r="H200" s="73">
        <f t="shared" si="16"/>
        <v>7.5</v>
      </c>
      <c r="I200" s="72" t="s">
        <v>134</v>
      </c>
      <c r="J200" s="74" t="s">
        <v>127</v>
      </c>
      <c r="L200" s="17">
        <f t="shared" si="17"/>
        <v>46017</v>
      </c>
      <c r="N200">
        <f t="shared" si="18"/>
        <v>12</v>
      </c>
    </row>
    <row r="201" spans="1:14" ht="26.45">
      <c r="A201" s="72" t="s">
        <v>426</v>
      </c>
      <c r="B201" s="72" t="s">
        <v>427</v>
      </c>
      <c r="C201" s="72" t="s">
        <v>130</v>
      </c>
      <c r="D201" s="72" t="s">
        <v>131</v>
      </c>
      <c r="E201" s="72" t="s">
        <v>124</v>
      </c>
      <c r="F201" s="72" t="s">
        <v>313</v>
      </c>
      <c r="G201" s="72" t="s">
        <v>297</v>
      </c>
      <c r="H201" s="73">
        <f t="shared" si="16"/>
        <v>7.5</v>
      </c>
      <c r="I201" s="72" t="s">
        <v>134</v>
      </c>
      <c r="J201" s="74" t="s">
        <v>127</v>
      </c>
      <c r="L201" s="17">
        <f t="shared" si="17"/>
        <v>45814</v>
      </c>
      <c r="N201">
        <f t="shared" si="18"/>
        <v>6</v>
      </c>
    </row>
    <row r="202" spans="1:14" ht="26.45">
      <c r="A202" s="72" t="s">
        <v>426</v>
      </c>
      <c r="B202" s="72" t="s">
        <v>427</v>
      </c>
      <c r="C202" s="72" t="s">
        <v>130</v>
      </c>
      <c r="D202" s="72" t="s">
        <v>131</v>
      </c>
      <c r="E202" s="72" t="s">
        <v>124</v>
      </c>
      <c r="F202" s="72" t="s">
        <v>419</v>
      </c>
      <c r="G202" s="72" t="s">
        <v>418</v>
      </c>
      <c r="H202" s="73">
        <f t="shared" si="16"/>
        <v>7.5</v>
      </c>
      <c r="I202" s="72" t="s">
        <v>134</v>
      </c>
      <c r="J202" s="74" t="s">
        <v>127</v>
      </c>
      <c r="L202" s="17">
        <f t="shared" si="17"/>
        <v>45882</v>
      </c>
      <c r="N202">
        <f t="shared" si="18"/>
        <v>8</v>
      </c>
    </row>
    <row r="203" spans="1:14" ht="26.45">
      <c r="A203" s="72" t="s">
        <v>426</v>
      </c>
      <c r="B203" s="72" t="s">
        <v>427</v>
      </c>
      <c r="C203" s="72" t="s">
        <v>130</v>
      </c>
      <c r="D203" s="72" t="s">
        <v>131</v>
      </c>
      <c r="E203" s="72" t="s">
        <v>124</v>
      </c>
      <c r="F203" s="72" t="s">
        <v>313</v>
      </c>
      <c r="G203" s="72" t="s">
        <v>372</v>
      </c>
      <c r="H203" s="73">
        <f t="shared" si="16"/>
        <v>7.5</v>
      </c>
      <c r="I203" s="72" t="s">
        <v>134</v>
      </c>
      <c r="J203" s="74" t="s">
        <v>127</v>
      </c>
      <c r="L203" s="17">
        <f t="shared" si="17"/>
        <v>45824</v>
      </c>
      <c r="N203">
        <f t="shared" si="18"/>
        <v>6</v>
      </c>
    </row>
    <row r="204" spans="1:14" ht="26.45">
      <c r="A204" s="72" t="s">
        <v>426</v>
      </c>
      <c r="B204" s="72" t="s">
        <v>427</v>
      </c>
      <c r="C204" s="72" t="s">
        <v>130</v>
      </c>
      <c r="D204" s="72" t="s">
        <v>131</v>
      </c>
      <c r="E204" s="72" t="s">
        <v>124</v>
      </c>
      <c r="F204" s="72" t="s">
        <v>313</v>
      </c>
      <c r="G204" s="72" t="s">
        <v>314</v>
      </c>
      <c r="H204" s="73">
        <f t="shared" si="16"/>
        <v>7.5</v>
      </c>
      <c r="I204" s="72" t="s">
        <v>134</v>
      </c>
      <c r="J204" s="74" t="s">
        <v>127</v>
      </c>
      <c r="L204" s="17">
        <f t="shared" si="17"/>
        <v>45821</v>
      </c>
      <c r="N204">
        <f t="shared" si="18"/>
        <v>6</v>
      </c>
    </row>
    <row r="205" spans="1:14" ht="26.45">
      <c r="A205" s="72" t="s">
        <v>426</v>
      </c>
      <c r="B205" s="72" t="s">
        <v>427</v>
      </c>
      <c r="C205" s="72" t="s">
        <v>130</v>
      </c>
      <c r="D205" s="72" t="s">
        <v>131</v>
      </c>
      <c r="E205" s="72" t="s">
        <v>124</v>
      </c>
      <c r="F205" s="72" t="s">
        <v>419</v>
      </c>
      <c r="G205" s="72" t="s">
        <v>419</v>
      </c>
      <c r="H205" s="73">
        <f t="shared" si="16"/>
        <v>7.5</v>
      </c>
      <c r="I205" s="72" t="s">
        <v>134</v>
      </c>
      <c r="J205" s="74" t="s">
        <v>127</v>
      </c>
      <c r="L205" s="17">
        <f t="shared" si="17"/>
        <v>45880</v>
      </c>
      <c r="N205">
        <f t="shared" si="18"/>
        <v>8</v>
      </c>
    </row>
    <row r="206" spans="1:14" ht="26.45">
      <c r="A206" s="72" t="s">
        <v>426</v>
      </c>
      <c r="B206" s="72" t="s">
        <v>427</v>
      </c>
      <c r="C206" s="72" t="s">
        <v>130</v>
      </c>
      <c r="D206" s="72" t="s">
        <v>131</v>
      </c>
      <c r="E206" s="72" t="s">
        <v>124</v>
      </c>
      <c r="F206" s="72" t="s">
        <v>419</v>
      </c>
      <c r="G206" s="72" t="s">
        <v>414</v>
      </c>
      <c r="H206" s="73">
        <f t="shared" si="16"/>
        <v>7.5</v>
      </c>
      <c r="I206" s="72" t="s">
        <v>134</v>
      </c>
      <c r="J206" s="74" t="s">
        <v>127</v>
      </c>
      <c r="L206" s="17">
        <f t="shared" si="17"/>
        <v>45881</v>
      </c>
      <c r="N206">
        <f t="shared" si="18"/>
        <v>8</v>
      </c>
    </row>
    <row r="207" spans="1:14" ht="26.45">
      <c r="A207" s="72" t="s">
        <v>426</v>
      </c>
      <c r="B207" s="72" t="s">
        <v>427</v>
      </c>
      <c r="C207" s="72" t="s">
        <v>130</v>
      </c>
      <c r="D207" s="72" t="s">
        <v>131</v>
      </c>
      <c r="E207" s="72" t="s">
        <v>124</v>
      </c>
      <c r="F207" s="72" t="s">
        <v>345</v>
      </c>
      <c r="G207" s="72" t="s">
        <v>290</v>
      </c>
      <c r="H207" s="73">
        <f t="shared" si="16"/>
        <v>7.5</v>
      </c>
      <c r="I207" s="72" t="s">
        <v>134</v>
      </c>
      <c r="J207" s="74" t="s">
        <v>127</v>
      </c>
      <c r="L207" s="17">
        <f t="shared" si="17"/>
        <v>46015</v>
      </c>
      <c r="N207">
        <f t="shared" si="18"/>
        <v>12</v>
      </c>
    </row>
    <row r="208" spans="1:14" ht="26.45">
      <c r="A208" s="72" t="s">
        <v>426</v>
      </c>
      <c r="B208" s="72" t="s">
        <v>427</v>
      </c>
      <c r="C208" s="72" t="s">
        <v>130</v>
      </c>
      <c r="D208" s="72" t="s">
        <v>131</v>
      </c>
      <c r="E208" s="72" t="s">
        <v>124</v>
      </c>
      <c r="F208" s="72" t="s">
        <v>313</v>
      </c>
      <c r="G208" s="72" t="s">
        <v>428</v>
      </c>
      <c r="H208" s="73">
        <f t="shared" si="16"/>
        <v>7.5</v>
      </c>
      <c r="I208" s="72" t="s">
        <v>134</v>
      </c>
      <c r="J208" s="74" t="s">
        <v>127</v>
      </c>
      <c r="L208" s="17">
        <f t="shared" si="17"/>
        <v>45817</v>
      </c>
      <c r="N208">
        <f t="shared" si="18"/>
        <v>6</v>
      </c>
    </row>
    <row r="209" spans="1:14" ht="26.45">
      <c r="A209" s="72" t="s">
        <v>76</v>
      </c>
      <c r="B209" s="72" t="s">
        <v>209</v>
      </c>
      <c r="C209" s="72" t="s">
        <v>149</v>
      </c>
      <c r="D209" s="72" t="s">
        <v>165</v>
      </c>
      <c r="E209" s="72" t="s">
        <v>124</v>
      </c>
      <c r="F209" s="72" t="s">
        <v>425</v>
      </c>
      <c r="G209" s="72" t="s">
        <v>376</v>
      </c>
      <c r="H209" s="73">
        <f>ROUND(1,2)</f>
        <v>1</v>
      </c>
      <c r="I209" s="72" t="s">
        <v>126</v>
      </c>
      <c r="J209" s="74" t="s">
        <v>127</v>
      </c>
      <c r="L209" s="17">
        <f t="shared" si="17"/>
        <v>45938</v>
      </c>
      <c r="N209">
        <f t="shared" si="18"/>
        <v>10</v>
      </c>
    </row>
    <row r="210" spans="1:14" ht="26.45">
      <c r="A210" s="72" t="s">
        <v>76</v>
      </c>
      <c r="B210" s="72" t="s">
        <v>209</v>
      </c>
      <c r="C210" s="72" t="s">
        <v>149</v>
      </c>
      <c r="D210" s="72" t="s">
        <v>150</v>
      </c>
      <c r="E210" s="72" t="s">
        <v>151</v>
      </c>
      <c r="F210" s="72" t="s">
        <v>429</v>
      </c>
      <c r="G210" s="72" t="s">
        <v>410</v>
      </c>
      <c r="H210" s="73">
        <f>ROUND(8,2)</f>
        <v>8</v>
      </c>
      <c r="I210" s="72" t="s">
        <v>134</v>
      </c>
      <c r="J210" s="74" t="s">
        <v>127</v>
      </c>
      <c r="L210" s="17">
        <f t="shared" si="17"/>
        <v>45863</v>
      </c>
      <c r="N210">
        <f t="shared" si="18"/>
        <v>7</v>
      </c>
    </row>
    <row r="211" spans="1:14" ht="26.45">
      <c r="A211" s="72" t="s">
        <v>76</v>
      </c>
      <c r="B211" s="72" t="s">
        <v>209</v>
      </c>
      <c r="C211" s="72" t="s">
        <v>149</v>
      </c>
      <c r="D211" s="72" t="s">
        <v>165</v>
      </c>
      <c r="E211" s="72" t="s">
        <v>124</v>
      </c>
      <c r="F211" s="72" t="s">
        <v>425</v>
      </c>
      <c r="G211" s="72" t="s">
        <v>339</v>
      </c>
      <c r="H211" s="73">
        <f>ROUND(1,2)</f>
        <v>1</v>
      </c>
      <c r="I211" s="72" t="s">
        <v>126</v>
      </c>
      <c r="J211" s="74" t="s">
        <v>127</v>
      </c>
      <c r="L211" s="17">
        <f t="shared" si="17"/>
        <v>45937</v>
      </c>
      <c r="N211">
        <f t="shared" si="18"/>
        <v>10</v>
      </c>
    </row>
    <row r="212" spans="1:14" ht="26.45">
      <c r="A212" s="72" t="s">
        <v>76</v>
      </c>
      <c r="B212" s="72" t="s">
        <v>209</v>
      </c>
      <c r="C212" s="72" t="s">
        <v>149</v>
      </c>
      <c r="D212" s="72" t="s">
        <v>165</v>
      </c>
      <c r="E212" s="72" t="s">
        <v>124</v>
      </c>
      <c r="F212" s="72" t="s">
        <v>425</v>
      </c>
      <c r="G212" s="72" t="s">
        <v>251</v>
      </c>
      <c r="H212" s="73">
        <f>ROUND(1,2)</f>
        <v>1</v>
      </c>
      <c r="I212" s="72" t="s">
        <v>126</v>
      </c>
      <c r="J212" s="74" t="s">
        <v>127</v>
      </c>
      <c r="L212" s="17">
        <f t="shared" si="17"/>
        <v>45939</v>
      </c>
      <c r="N212">
        <f t="shared" si="18"/>
        <v>10</v>
      </c>
    </row>
    <row r="213" spans="1:14" ht="26.45">
      <c r="A213" s="72" t="s">
        <v>76</v>
      </c>
      <c r="B213" s="72" t="s">
        <v>209</v>
      </c>
      <c r="C213" s="72" t="s">
        <v>149</v>
      </c>
      <c r="D213" s="72" t="s">
        <v>165</v>
      </c>
      <c r="E213" s="72" t="s">
        <v>124</v>
      </c>
      <c r="F213" s="72" t="s">
        <v>425</v>
      </c>
      <c r="G213" s="72" t="s">
        <v>340</v>
      </c>
      <c r="H213" s="73">
        <f>ROUND(1,2)</f>
        <v>1</v>
      </c>
      <c r="I213" s="72" t="s">
        <v>126</v>
      </c>
      <c r="J213" s="74" t="s">
        <v>127</v>
      </c>
      <c r="L213" s="17">
        <f t="shared" si="17"/>
        <v>45940</v>
      </c>
      <c r="N213">
        <f t="shared" si="18"/>
        <v>10</v>
      </c>
    </row>
    <row r="214" spans="1:14" ht="26.45">
      <c r="A214" s="72" t="s">
        <v>76</v>
      </c>
      <c r="B214" s="72" t="s">
        <v>209</v>
      </c>
      <c r="C214" s="72" t="s">
        <v>149</v>
      </c>
      <c r="D214" s="72" t="s">
        <v>150</v>
      </c>
      <c r="E214" s="72" t="s">
        <v>151</v>
      </c>
      <c r="F214" s="72" t="s">
        <v>429</v>
      </c>
      <c r="G214" s="72" t="s">
        <v>378</v>
      </c>
      <c r="H214" s="73">
        <f>ROUND(8,2)</f>
        <v>8</v>
      </c>
      <c r="I214" s="72" t="s">
        <v>134</v>
      </c>
      <c r="J214" s="74" t="s">
        <v>127</v>
      </c>
      <c r="L214" s="17">
        <f t="shared" si="17"/>
        <v>45860</v>
      </c>
      <c r="N214">
        <f t="shared" si="18"/>
        <v>7</v>
      </c>
    </row>
    <row r="215" spans="1:14" ht="26.45">
      <c r="A215" s="72" t="s">
        <v>76</v>
      </c>
      <c r="B215" s="72" t="s">
        <v>209</v>
      </c>
      <c r="C215" s="72" t="s">
        <v>149</v>
      </c>
      <c r="D215" s="72" t="s">
        <v>150</v>
      </c>
      <c r="E215" s="72" t="s">
        <v>151</v>
      </c>
      <c r="F215" s="72" t="s">
        <v>429</v>
      </c>
      <c r="G215" s="72" t="s">
        <v>350</v>
      </c>
      <c r="H215" s="73">
        <f>ROUND(7.5,2)</f>
        <v>7.5</v>
      </c>
      <c r="I215" s="72" t="s">
        <v>134</v>
      </c>
      <c r="J215" s="74" t="s">
        <v>127</v>
      </c>
      <c r="L215" s="17">
        <f t="shared" si="17"/>
        <v>45835</v>
      </c>
      <c r="N215">
        <f t="shared" si="18"/>
        <v>6</v>
      </c>
    </row>
    <row r="216" spans="1:14" ht="26.45">
      <c r="A216" s="72" t="s">
        <v>76</v>
      </c>
      <c r="B216" s="72" t="s">
        <v>209</v>
      </c>
      <c r="C216" s="72" t="s">
        <v>149</v>
      </c>
      <c r="D216" s="72" t="s">
        <v>150</v>
      </c>
      <c r="E216" s="72" t="s">
        <v>151</v>
      </c>
      <c r="F216" s="72" t="s">
        <v>429</v>
      </c>
      <c r="G216" s="72" t="s">
        <v>411</v>
      </c>
      <c r="H216" s="73">
        <f>ROUND(8,2)</f>
        <v>8</v>
      </c>
      <c r="I216" s="72" t="s">
        <v>134</v>
      </c>
      <c r="J216" s="74" t="s">
        <v>127</v>
      </c>
      <c r="L216" s="17">
        <f t="shared" si="17"/>
        <v>45861</v>
      </c>
      <c r="N216">
        <f t="shared" si="18"/>
        <v>7</v>
      </c>
    </row>
    <row r="217" spans="1:14" ht="26.45">
      <c r="A217" s="72" t="s">
        <v>76</v>
      </c>
      <c r="B217" s="72" t="s">
        <v>209</v>
      </c>
      <c r="C217" s="72" t="s">
        <v>149</v>
      </c>
      <c r="D217" s="72" t="s">
        <v>165</v>
      </c>
      <c r="E217" s="72" t="s">
        <v>124</v>
      </c>
      <c r="F217" s="72" t="s">
        <v>425</v>
      </c>
      <c r="G217" s="72" t="s">
        <v>380</v>
      </c>
      <c r="H217" s="73">
        <f>ROUND(1,2)</f>
        <v>1</v>
      </c>
      <c r="I217" s="72" t="s">
        <v>126</v>
      </c>
      <c r="J217" s="74" t="s">
        <v>127</v>
      </c>
      <c r="L217" s="17">
        <f t="shared" si="17"/>
        <v>45936</v>
      </c>
      <c r="N217">
        <f t="shared" si="18"/>
        <v>10</v>
      </c>
    </row>
    <row r="218" spans="1:14" ht="26.45">
      <c r="A218" s="72" t="s">
        <v>76</v>
      </c>
      <c r="B218" s="72" t="s">
        <v>209</v>
      </c>
      <c r="C218" s="72" t="s">
        <v>149</v>
      </c>
      <c r="D218" s="72" t="s">
        <v>165</v>
      </c>
      <c r="E218" s="72" t="s">
        <v>124</v>
      </c>
      <c r="F218" s="72" t="s">
        <v>425</v>
      </c>
      <c r="G218" s="72" t="s">
        <v>377</v>
      </c>
      <c r="H218" s="73">
        <f>ROUND(1,2)</f>
        <v>1</v>
      </c>
      <c r="I218" s="72" t="s">
        <v>126</v>
      </c>
      <c r="J218" s="74" t="s">
        <v>127</v>
      </c>
      <c r="L218" s="17">
        <f t="shared" si="17"/>
        <v>45933</v>
      </c>
      <c r="N218">
        <f t="shared" si="18"/>
        <v>10</v>
      </c>
    </row>
    <row r="219" spans="1:14" ht="26.45">
      <c r="A219" s="72" t="s">
        <v>76</v>
      </c>
      <c r="B219" s="72" t="s">
        <v>209</v>
      </c>
      <c r="C219" s="72" t="s">
        <v>149</v>
      </c>
      <c r="D219" s="72" t="s">
        <v>150</v>
      </c>
      <c r="E219" s="72" t="s">
        <v>151</v>
      </c>
      <c r="F219" s="72" t="s">
        <v>429</v>
      </c>
      <c r="G219" s="72" t="s">
        <v>273</v>
      </c>
      <c r="H219" s="73">
        <f>ROUND(8,2)</f>
        <v>8</v>
      </c>
      <c r="I219" s="72" t="s">
        <v>134</v>
      </c>
      <c r="J219" s="74" t="s">
        <v>127</v>
      </c>
      <c r="L219" s="17">
        <f t="shared" si="17"/>
        <v>45859</v>
      </c>
      <c r="N219">
        <f t="shared" si="18"/>
        <v>7</v>
      </c>
    </row>
    <row r="220" spans="1:14" ht="26.45">
      <c r="A220" s="72" t="s">
        <v>76</v>
      </c>
      <c r="B220" s="72" t="s">
        <v>209</v>
      </c>
      <c r="C220" s="72" t="s">
        <v>149</v>
      </c>
      <c r="D220" s="72" t="s">
        <v>150</v>
      </c>
      <c r="E220" s="72" t="s">
        <v>151</v>
      </c>
      <c r="F220" s="72" t="s">
        <v>429</v>
      </c>
      <c r="G220" s="72" t="s">
        <v>295</v>
      </c>
      <c r="H220" s="73">
        <f>ROUND(8,2)</f>
        <v>8</v>
      </c>
      <c r="I220" s="72" t="s">
        <v>134</v>
      </c>
      <c r="J220" s="74" t="s">
        <v>127</v>
      </c>
      <c r="L220" s="17">
        <f t="shared" si="17"/>
        <v>45862</v>
      </c>
      <c r="N220">
        <f t="shared" si="18"/>
        <v>7</v>
      </c>
    </row>
    <row r="221" spans="1:14" ht="26.45">
      <c r="A221" s="72" t="s">
        <v>71</v>
      </c>
      <c r="B221" s="72" t="s">
        <v>430</v>
      </c>
      <c r="C221" s="72" t="s">
        <v>122</v>
      </c>
      <c r="D221" s="72" t="s">
        <v>139</v>
      </c>
      <c r="E221" s="72" t="s">
        <v>124</v>
      </c>
      <c r="F221" s="72" t="s">
        <v>431</v>
      </c>
      <c r="G221" s="72" t="s">
        <v>432</v>
      </c>
      <c r="H221" s="73">
        <f t="shared" ref="H221:H226" si="19">ROUND(1,2)</f>
        <v>1</v>
      </c>
      <c r="I221" s="72" t="s">
        <v>126</v>
      </c>
      <c r="J221" s="74" t="s">
        <v>127</v>
      </c>
      <c r="L221" s="17">
        <f t="shared" si="17"/>
        <v>45778</v>
      </c>
      <c r="N221">
        <f t="shared" si="18"/>
        <v>5</v>
      </c>
    </row>
    <row r="222" spans="1:14" ht="26.45">
      <c r="A222" s="72" t="s">
        <v>71</v>
      </c>
      <c r="B222" s="72" t="s">
        <v>430</v>
      </c>
      <c r="C222" s="72" t="s">
        <v>122</v>
      </c>
      <c r="D222" s="72" t="s">
        <v>139</v>
      </c>
      <c r="E222" s="72" t="s">
        <v>124</v>
      </c>
      <c r="F222" s="72" t="s">
        <v>431</v>
      </c>
      <c r="G222" s="72" t="s">
        <v>433</v>
      </c>
      <c r="H222" s="73">
        <f t="shared" si="19"/>
        <v>1</v>
      </c>
      <c r="I222" s="72" t="s">
        <v>126</v>
      </c>
      <c r="J222" s="74" t="s">
        <v>127</v>
      </c>
      <c r="L222" s="17">
        <f t="shared" si="17"/>
        <v>45763</v>
      </c>
      <c r="N222">
        <f t="shared" si="18"/>
        <v>4</v>
      </c>
    </row>
    <row r="223" spans="1:14" ht="26.45">
      <c r="A223" s="72" t="s">
        <v>71</v>
      </c>
      <c r="B223" s="72" t="s">
        <v>430</v>
      </c>
      <c r="C223" s="72" t="s">
        <v>122</v>
      </c>
      <c r="D223" s="72" t="s">
        <v>139</v>
      </c>
      <c r="E223" s="72" t="s">
        <v>124</v>
      </c>
      <c r="F223" s="72" t="s">
        <v>431</v>
      </c>
      <c r="G223" s="72" t="s">
        <v>434</v>
      </c>
      <c r="H223" s="73">
        <f t="shared" si="19"/>
        <v>1</v>
      </c>
      <c r="I223" s="72" t="s">
        <v>126</v>
      </c>
      <c r="J223" s="74" t="s">
        <v>127</v>
      </c>
      <c r="L223" s="17">
        <f t="shared" si="17"/>
        <v>45756</v>
      </c>
      <c r="N223">
        <f t="shared" si="18"/>
        <v>4</v>
      </c>
    </row>
    <row r="224" spans="1:14" ht="26.45">
      <c r="A224" s="72" t="s">
        <v>71</v>
      </c>
      <c r="B224" s="72" t="s">
        <v>430</v>
      </c>
      <c r="C224" s="72" t="s">
        <v>122</v>
      </c>
      <c r="D224" s="72" t="s">
        <v>139</v>
      </c>
      <c r="E224" s="72" t="s">
        <v>124</v>
      </c>
      <c r="F224" s="72" t="s">
        <v>431</v>
      </c>
      <c r="G224" s="72" t="s">
        <v>435</v>
      </c>
      <c r="H224" s="73">
        <f t="shared" si="19"/>
        <v>1</v>
      </c>
      <c r="I224" s="72" t="s">
        <v>126</v>
      </c>
      <c r="J224" s="74" t="s">
        <v>127</v>
      </c>
      <c r="L224" s="17">
        <f t="shared" si="17"/>
        <v>45761</v>
      </c>
      <c r="N224">
        <f t="shared" si="18"/>
        <v>4</v>
      </c>
    </row>
    <row r="225" spans="1:14" ht="26.45">
      <c r="A225" s="72" t="s">
        <v>71</v>
      </c>
      <c r="B225" s="72" t="s">
        <v>430</v>
      </c>
      <c r="C225" s="72" t="s">
        <v>122</v>
      </c>
      <c r="D225" s="72" t="s">
        <v>139</v>
      </c>
      <c r="E225" s="72" t="s">
        <v>124</v>
      </c>
      <c r="F225" s="72" t="s">
        <v>431</v>
      </c>
      <c r="G225" s="72" t="s">
        <v>436</v>
      </c>
      <c r="H225" s="73">
        <f t="shared" si="19"/>
        <v>1</v>
      </c>
      <c r="I225" s="72" t="s">
        <v>126</v>
      </c>
      <c r="J225" s="74" t="s">
        <v>127</v>
      </c>
      <c r="L225" s="17">
        <f t="shared" si="17"/>
        <v>45779</v>
      </c>
      <c r="N225">
        <f t="shared" si="18"/>
        <v>5</v>
      </c>
    </row>
    <row r="226" spans="1:14" ht="26.45">
      <c r="A226" s="72" t="s">
        <v>71</v>
      </c>
      <c r="B226" s="72" t="s">
        <v>430</v>
      </c>
      <c r="C226" s="72" t="s">
        <v>122</v>
      </c>
      <c r="D226" s="72" t="s">
        <v>139</v>
      </c>
      <c r="E226" s="72" t="s">
        <v>124</v>
      </c>
      <c r="F226" s="72" t="s">
        <v>431</v>
      </c>
      <c r="G226" s="72" t="s">
        <v>437</v>
      </c>
      <c r="H226" s="73">
        <f t="shared" si="19"/>
        <v>1</v>
      </c>
      <c r="I226" s="72" t="s">
        <v>126</v>
      </c>
      <c r="J226" s="74" t="s">
        <v>127</v>
      </c>
      <c r="L226" s="17">
        <f t="shared" si="17"/>
        <v>45762</v>
      </c>
      <c r="N226">
        <f t="shared" si="18"/>
        <v>4</v>
      </c>
    </row>
    <row r="227" spans="1:14" ht="26.45">
      <c r="A227" s="72" t="s">
        <v>213</v>
      </c>
      <c r="B227" s="72" t="s">
        <v>214</v>
      </c>
      <c r="C227" s="72" t="s">
        <v>130</v>
      </c>
      <c r="D227" s="72" t="s">
        <v>215</v>
      </c>
      <c r="E227" s="72" t="s">
        <v>124</v>
      </c>
      <c r="F227" s="72" t="s">
        <v>438</v>
      </c>
      <c r="G227" s="72" t="s">
        <v>439</v>
      </c>
      <c r="H227" s="73">
        <f t="shared" ref="H227:H232" si="20">ROUND(7.5,2)</f>
        <v>7.5</v>
      </c>
      <c r="I227" s="72" t="s">
        <v>134</v>
      </c>
      <c r="J227" s="74" t="s">
        <v>127</v>
      </c>
      <c r="L227" s="17">
        <f t="shared" si="17"/>
        <v>45867</v>
      </c>
      <c r="N227">
        <f t="shared" si="18"/>
        <v>7</v>
      </c>
    </row>
    <row r="228" spans="1:14" ht="26.45">
      <c r="A228" s="72" t="s">
        <v>213</v>
      </c>
      <c r="B228" s="72" t="s">
        <v>214</v>
      </c>
      <c r="C228" s="72" t="s">
        <v>130</v>
      </c>
      <c r="D228" s="72" t="s">
        <v>215</v>
      </c>
      <c r="E228" s="72" t="s">
        <v>124</v>
      </c>
      <c r="F228" s="72" t="s">
        <v>316</v>
      </c>
      <c r="G228" s="72" t="s">
        <v>379</v>
      </c>
      <c r="H228" s="73">
        <f t="shared" si="20"/>
        <v>7.5</v>
      </c>
      <c r="I228" s="72" t="s">
        <v>134</v>
      </c>
      <c r="J228" s="74" t="s">
        <v>127</v>
      </c>
      <c r="L228" s="17">
        <f t="shared" si="17"/>
        <v>45799</v>
      </c>
      <c r="N228">
        <f t="shared" si="18"/>
        <v>5</v>
      </c>
    </row>
    <row r="229" spans="1:14" ht="26.45">
      <c r="A229" s="72" t="s">
        <v>213</v>
      </c>
      <c r="B229" s="72" t="s">
        <v>214</v>
      </c>
      <c r="C229" s="72" t="s">
        <v>130</v>
      </c>
      <c r="D229" s="72" t="s">
        <v>215</v>
      </c>
      <c r="E229" s="72" t="s">
        <v>124</v>
      </c>
      <c r="F229" s="72" t="s">
        <v>440</v>
      </c>
      <c r="G229" s="72" t="s">
        <v>350</v>
      </c>
      <c r="H229" s="73">
        <f t="shared" si="20"/>
        <v>7.5</v>
      </c>
      <c r="I229" s="72" t="s">
        <v>134</v>
      </c>
      <c r="J229" s="74" t="s">
        <v>127</v>
      </c>
      <c r="L229" s="17">
        <f t="shared" si="17"/>
        <v>45835</v>
      </c>
      <c r="N229">
        <f t="shared" si="18"/>
        <v>6</v>
      </c>
    </row>
    <row r="230" spans="1:14" ht="26.45">
      <c r="A230" s="72" t="s">
        <v>213</v>
      </c>
      <c r="B230" s="72" t="s">
        <v>214</v>
      </c>
      <c r="C230" s="72" t="s">
        <v>130</v>
      </c>
      <c r="D230" s="72" t="s">
        <v>215</v>
      </c>
      <c r="E230" s="72" t="s">
        <v>124</v>
      </c>
      <c r="F230" s="72" t="s">
        <v>441</v>
      </c>
      <c r="G230" s="72" t="s">
        <v>442</v>
      </c>
      <c r="H230" s="73">
        <f t="shared" si="20"/>
        <v>7.5</v>
      </c>
      <c r="I230" s="72" t="s">
        <v>134</v>
      </c>
      <c r="J230" s="74" t="s">
        <v>127</v>
      </c>
      <c r="L230" s="17">
        <f t="shared" si="17"/>
        <v>45981</v>
      </c>
      <c r="N230">
        <f t="shared" si="18"/>
        <v>11</v>
      </c>
    </row>
    <row r="231" spans="1:14" ht="26.45">
      <c r="A231" s="72" t="s">
        <v>213</v>
      </c>
      <c r="B231" s="72" t="s">
        <v>214</v>
      </c>
      <c r="C231" s="72" t="s">
        <v>130</v>
      </c>
      <c r="D231" s="72" t="s">
        <v>215</v>
      </c>
      <c r="E231" s="72" t="s">
        <v>124</v>
      </c>
      <c r="F231" s="72" t="s">
        <v>443</v>
      </c>
      <c r="G231" s="72" t="s">
        <v>440</v>
      </c>
      <c r="H231" s="73">
        <f t="shared" si="20"/>
        <v>7.5</v>
      </c>
      <c r="I231" s="72" t="s">
        <v>134</v>
      </c>
      <c r="J231" s="74" t="s">
        <v>127</v>
      </c>
      <c r="L231" s="17">
        <f t="shared" si="17"/>
        <v>45834</v>
      </c>
      <c r="N231">
        <f t="shared" si="18"/>
        <v>6</v>
      </c>
    </row>
    <row r="232" spans="1:14" ht="26.45">
      <c r="A232" s="72" t="s">
        <v>213</v>
      </c>
      <c r="B232" s="72" t="s">
        <v>214</v>
      </c>
      <c r="C232" s="72" t="s">
        <v>130</v>
      </c>
      <c r="D232" s="72" t="s">
        <v>215</v>
      </c>
      <c r="E232" s="72" t="s">
        <v>124</v>
      </c>
      <c r="F232" s="72" t="s">
        <v>444</v>
      </c>
      <c r="G232" s="72" t="s">
        <v>445</v>
      </c>
      <c r="H232" s="73">
        <f t="shared" si="20"/>
        <v>7.5</v>
      </c>
      <c r="I232" s="72" t="s">
        <v>134</v>
      </c>
      <c r="J232" s="74" t="s">
        <v>127</v>
      </c>
      <c r="L232" s="17">
        <f t="shared" si="17"/>
        <v>45709</v>
      </c>
      <c r="N232">
        <f t="shared" si="18"/>
        <v>2</v>
      </c>
    </row>
    <row r="233" spans="1:14" ht="26.45">
      <c r="A233" s="72" t="s">
        <v>213</v>
      </c>
      <c r="B233" s="72" t="s">
        <v>214</v>
      </c>
      <c r="C233" s="72" t="s">
        <v>130</v>
      </c>
      <c r="D233" s="72" t="s">
        <v>215</v>
      </c>
      <c r="E233" s="72" t="s">
        <v>124</v>
      </c>
      <c r="F233" s="72" t="s">
        <v>444</v>
      </c>
      <c r="G233" s="72" t="s">
        <v>446</v>
      </c>
      <c r="H233" s="73">
        <f>ROUND(3.16,2)</f>
        <v>3.16</v>
      </c>
      <c r="I233" s="72" t="s">
        <v>134</v>
      </c>
      <c r="J233" s="74" t="s">
        <v>127</v>
      </c>
      <c r="L233" s="17">
        <f t="shared" si="17"/>
        <v>45707</v>
      </c>
      <c r="N233">
        <f t="shared" si="18"/>
        <v>2</v>
      </c>
    </row>
    <row r="234" spans="1:14" ht="26.45">
      <c r="A234" s="72" t="s">
        <v>213</v>
      </c>
      <c r="B234" s="72" t="s">
        <v>214</v>
      </c>
      <c r="C234" s="72" t="s">
        <v>130</v>
      </c>
      <c r="D234" s="72" t="s">
        <v>215</v>
      </c>
      <c r="E234" s="72" t="s">
        <v>124</v>
      </c>
      <c r="F234" s="72" t="s">
        <v>166</v>
      </c>
      <c r="G234" s="72" t="s">
        <v>447</v>
      </c>
      <c r="H234" s="73">
        <f t="shared" ref="H234:H246" si="21">ROUND(7.5,2)</f>
        <v>7.5</v>
      </c>
      <c r="I234" s="72" t="s">
        <v>134</v>
      </c>
      <c r="J234" s="74" t="s">
        <v>127</v>
      </c>
      <c r="L234" s="17">
        <f t="shared" si="17"/>
        <v>45982</v>
      </c>
      <c r="N234">
        <f t="shared" si="18"/>
        <v>11</v>
      </c>
    </row>
    <row r="235" spans="1:14" ht="26.45">
      <c r="A235" s="72" t="s">
        <v>213</v>
      </c>
      <c r="B235" s="72" t="s">
        <v>214</v>
      </c>
      <c r="C235" s="72" t="s">
        <v>130</v>
      </c>
      <c r="D235" s="72" t="s">
        <v>215</v>
      </c>
      <c r="E235" s="72" t="s">
        <v>124</v>
      </c>
      <c r="F235" s="72" t="s">
        <v>441</v>
      </c>
      <c r="G235" s="72" t="s">
        <v>448</v>
      </c>
      <c r="H235" s="73">
        <f t="shared" si="21"/>
        <v>7.5</v>
      </c>
      <c r="I235" s="72" t="s">
        <v>134</v>
      </c>
      <c r="J235" s="74" t="s">
        <v>127</v>
      </c>
      <c r="L235" s="17">
        <f t="shared" si="17"/>
        <v>45978</v>
      </c>
      <c r="N235">
        <f t="shared" si="18"/>
        <v>11</v>
      </c>
    </row>
    <row r="236" spans="1:14" ht="26.45">
      <c r="A236" s="72" t="s">
        <v>213</v>
      </c>
      <c r="B236" s="72" t="s">
        <v>214</v>
      </c>
      <c r="C236" s="72" t="s">
        <v>130</v>
      </c>
      <c r="D236" s="72" t="s">
        <v>215</v>
      </c>
      <c r="E236" s="72" t="s">
        <v>124</v>
      </c>
      <c r="F236" s="72" t="s">
        <v>441</v>
      </c>
      <c r="G236" s="72" t="s">
        <v>449</v>
      </c>
      <c r="H236" s="73">
        <f t="shared" si="21"/>
        <v>7.5</v>
      </c>
      <c r="I236" s="72" t="s">
        <v>134</v>
      </c>
      <c r="J236" s="74" t="s">
        <v>127</v>
      </c>
      <c r="L236" s="17">
        <f t="shared" si="17"/>
        <v>45979</v>
      </c>
      <c r="N236">
        <f t="shared" si="18"/>
        <v>11</v>
      </c>
    </row>
    <row r="237" spans="1:14" ht="26.45">
      <c r="A237" s="72" t="s">
        <v>213</v>
      </c>
      <c r="B237" s="72" t="s">
        <v>214</v>
      </c>
      <c r="C237" s="72" t="s">
        <v>130</v>
      </c>
      <c r="D237" s="72" t="s">
        <v>215</v>
      </c>
      <c r="E237" s="72" t="s">
        <v>124</v>
      </c>
      <c r="F237" s="72" t="s">
        <v>450</v>
      </c>
      <c r="G237" s="72" t="s">
        <v>451</v>
      </c>
      <c r="H237" s="73">
        <f t="shared" si="21"/>
        <v>7.5</v>
      </c>
      <c r="I237" s="72" t="s">
        <v>134</v>
      </c>
      <c r="J237" s="74" t="s">
        <v>127</v>
      </c>
      <c r="L237" s="17">
        <f t="shared" si="17"/>
        <v>45716</v>
      </c>
      <c r="N237">
        <f t="shared" si="18"/>
        <v>2</v>
      </c>
    </row>
    <row r="238" spans="1:14" ht="26.45">
      <c r="A238" s="72" t="s">
        <v>213</v>
      </c>
      <c r="B238" s="72" t="s">
        <v>214</v>
      </c>
      <c r="C238" s="72" t="s">
        <v>130</v>
      </c>
      <c r="D238" s="72" t="s">
        <v>215</v>
      </c>
      <c r="E238" s="72" t="s">
        <v>124</v>
      </c>
      <c r="F238" s="72" t="s">
        <v>438</v>
      </c>
      <c r="G238" s="72" t="s">
        <v>452</v>
      </c>
      <c r="H238" s="73">
        <f t="shared" si="21"/>
        <v>7.5</v>
      </c>
      <c r="I238" s="72" t="s">
        <v>134</v>
      </c>
      <c r="J238" s="74" t="s">
        <v>127</v>
      </c>
      <c r="L238" s="17">
        <f t="shared" si="17"/>
        <v>45866</v>
      </c>
      <c r="N238">
        <f t="shared" si="18"/>
        <v>7</v>
      </c>
    </row>
    <row r="239" spans="1:14" ht="26.45">
      <c r="A239" s="72" t="s">
        <v>213</v>
      </c>
      <c r="B239" s="72" t="s">
        <v>214</v>
      </c>
      <c r="C239" s="72" t="s">
        <v>130</v>
      </c>
      <c r="D239" s="72" t="s">
        <v>215</v>
      </c>
      <c r="E239" s="72" t="s">
        <v>124</v>
      </c>
      <c r="F239" s="72" t="s">
        <v>450</v>
      </c>
      <c r="G239" s="72" t="s">
        <v>453</v>
      </c>
      <c r="H239" s="73">
        <f t="shared" si="21"/>
        <v>7.5</v>
      </c>
      <c r="I239" s="72" t="s">
        <v>134</v>
      </c>
      <c r="J239" s="74" t="s">
        <v>127</v>
      </c>
      <c r="L239" s="17">
        <f t="shared" si="17"/>
        <v>45715</v>
      </c>
      <c r="N239">
        <f t="shared" si="18"/>
        <v>2</v>
      </c>
    </row>
    <row r="240" spans="1:14" ht="26.45">
      <c r="A240" s="72" t="s">
        <v>213</v>
      </c>
      <c r="B240" s="72" t="s">
        <v>214</v>
      </c>
      <c r="C240" s="72" t="s">
        <v>130</v>
      </c>
      <c r="D240" s="72" t="s">
        <v>215</v>
      </c>
      <c r="E240" s="72" t="s">
        <v>124</v>
      </c>
      <c r="F240" s="72" t="s">
        <v>305</v>
      </c>
      <c r="G240" s="72" t="s">
        <v>302</v>
      </c>
      <c r="H240" s="73">
        <f t="shared" si="21"/>
        <v>7.5</v>
      </c>
      <c r="I240" s="72" t="s">
        <v>134</v>
      </c>
      <c r="J240" s="74" t="s">
        <v>127</v>
      </c>
      <c r="L240" s="17">
        <f t="shared" si="17"/>
        <v>45659</v>
      </c>
      <c r="N240">
        <f t="shared" si="18"/>
        <v>1</v>
      </c>
    </row>
    <row r="241" spans="1:14" ht="26.45">
      <c r="A241" s="72" t="s">
        <v>213</v>
      </c>
      <c r="B241" s="72" t="s">
        <v>214</v>
      </c>
      <c r="C241" s="72" t="s">
        <v>130</v>
      </c>
      <c r="D241" s="72" t="s">
        <v>215</v>
      </c>
      <c r="E241" s="72" t="s">
        <v>124</v>
      </c>
      <c r="F241" s="72" t="s">
        <v>305</v>
      </c>
      <c r="G241" s="72" t="s">
        <v>305</v>
      </c>
      <c r="H241" s="73">
        <f t="shared" si="21"/>
        <v>7.5</v>
      </c>
      <c r="I241" s="72" t="s">
        <v>134</v>
      </c>
      <c r="J241" s="74" t="s">
        <v>127</v>
      </c>
      <c r="L241" s="17">
        <f t="shared" si="17"/>
        <v>45660</v>
      </c>
      <c r="N241">
        <f t="shared" si="18"/>
        <v>1</v>
      </c>
    </row>
    <row r="242" spans="1:14" ht="26.45">
      <c r="A242" s="72" t="s">
        <v>213</v>
      </c>
      <c r="B242" s="72" t="s">
        <v>214</v>
      </c>
      <c r="C242" s="72" t="s">
        <v>130</v>
      </c>
      <c r="D242" s="72" t="s">
        <v>215</v>
      </c>
      <c r="E242" s="72" t="s">
        <v>124</v>
      </c>
      <c r="F242" s="72" t="s">
        <v>396</v>
      </c>
      <c r="G242" s="72" t="s">
        <v>160</v>
      </c>
      <c r="H242" s="73">
        <f t="shared" si="21"/>
        <v>7.5</v>
      </c>
      <c r="I242" s="72" t="s">
        <v>134</v>
      </c>
      <c r="J242" s="74" t="s">
        <v>127</v>
      </c>
      <c r="L242" s="17">
        <f t="shared" si="17"/>
        <v>46014</v>
      </c>
      <c r="N242">
        <f t="shared" si="18"/>
        <v>12</v>
      </c>
    </row>
    <row r="243" spans="1:14" ht="26.45">
      <c r="A243" s="72" t="s">
        <v>213</v>
      </c>
      <c r="B243" s="72" t="s">
        <v>214</v>
      </c>
      <c r="C243" s="72" t="s">
        <v>130</v>
      </c>
      <c r="D243" s="72" t="s">
        <v>215</v>
      </c>
      <c r="E243" s="72" t="s">
        <v>124</v>
      </c>
      <c r="F243" s="72" t="s">
        <v>373</v>
      </c>
      <c r="G243" s="72" t="s">
        <v>373</v>
      </c>
      <c r="H243" s="73">
        <f t="shared" si="21"/>
        <v>7.5</v>
      </c>
      <c r="I243" s="72" t="s">
        <v>134</v>
      </c>
      <c r="J243" s="74" t="s">
        <v>127</v>
      </c>
      <c r="L243" s="17">
        <f t="shared" si="17"/>
        <v>45730</v>
      </c>
      <c r="N243">
        <f t="shared" si="18"/>
        <v>3</v>
      </c>
    </row>
    <row r="244" spans="1:14" ht="26.45">
      <c r="A244" s="72" t="s">
        <v>213</v>
      </c>
      <c r="B244" s="72" t="s">
        <v>214</v>
      </c>
      <c r="C244" s="72" t="s">
        <v>130</v>
      </c>
      <c r="D244" s="72" t="s">
        <v>215</v>
      </c>
      <c r="E244" s="72" t="s">
        <v>124</v>
      </c>
      <c r="F244" s="72" t="s">
        <v>419</v>
      </c>
      <c r="G244" s="72" t="s">
        <v>404</v>
      </c>
      <c r="H244" s="73">
        <f t="shared" si="21"/>
        <v>7.5</v>
      </c>
      <c r="I244" s="72" t="s">
        <v>134</v>
      </c>
      <c r="J244" s="74" t="s">
        <v>127</v>
      </c>
      <c r="L244" s="17">
        <f t="shared" si="17"/>
        <v>45877</v>
      </c>
      <c r="N244">
        <f t="shared" si="18"/>
        <v>8</v>
      </c>
    </row>
    <row r="245" spans="1:14" ht="26.45">
      <c r="A245" s="72" t="s">
        <v>213</v>
      </c>
      <c r="B245" s="72" t="s">
        <v>214</v>
      </c>
      <c r="C245" s="72" t="s">
        <v>130</v>
      </c>
      <c r="D245" s="72" t="s">
        <v>215</v>
      </c>
      <c r="E245" s="72" t="s">
        <v>124</v>
      </c>
      <c r="F245" s="72" t="s">
        <v>454</v>
      </c>
      <c r="G245" s="72" t="s">
        <v>332</v>
      </c>
      <c r="H245" s="73">
        <f t="shared" si="21"/>
        <v>7.5</v>
      </c>
      <c r="I245" s="72" t="s">
        <v>134</v>
      </c>
      <c r="J245" s="74" t="s">
        <v>127</v>
      </c>
      <c r="L245" s="17">
        <f t="shared" si="17"/>
        <v>45772</v>
      </c>
      <c r="N245">
        <f t="shared" si="18"/>
        <v>4</v>
      </c>
    </row>
    <row r="246" spans="1:14" ht="26.45">
      <c r="A246" s="72" t="s">
        <v>213</v>
      </c>
      <c r="B246" s="72" t="s">
        <v>214</v>
      </c>
      <c r="C246" s="72" t="s">
        <v>130</v>
      </c>
      <c r="D246" s="72" t="s">
        <v>215</v>
      </c>
      <c r="E246" s="72" t="s">
        <v>124</v>
      </c>
      <c r="F246" s="72" t="s">
        <v>438</v>
      </c>
      <c r="G246" s="72" t="s">
        <v>405</v>
      </c>
      <c r="H246" s="73">
        <f t="shared" si="21"/>
        <v>7.5</v>
      </c>
      <c r="I246" s="72" t="s">
        <v>134</v>
      </c>
      <c r="J246" s="74" t="s">
        <v>127</v>
      </c>
      <c r="L246" s="17">
        <f t="shared" si="17"/>
        <v>45876</v>
      </c>
      <c r="N246">
        <f t="shared" si="18"/>
        <v>8</v>
      </c>
    </row>
    <row r="247" spans="1:14" ht="26.45">
      <c r="A247" s="72" t="s">
        <v>72</v>
      </c>
      <c r="B247" s="72" t="s">
        <v>217</v>
      </c>
      <c r="C247" s="72" t="s">
        <v>122</v>
      </c>
      <c r="D247" s="72" t="s">
        <v>139</v>
      </c>
      <c r="E247" s="72" t="s">
        <v>124</v>
      </c>
      <c r="F247" s="72" t="s">
        <v>408</v>
      </c>
      <c r="G247" s="72" t="s">
        <v>346</v>
      </c>
      <c r="H247" s="73">
        <f>ROUND(1,2)</f>
        <v>1</v>
      </c>
      <c r="I247" s="72" t="s">
        <v>126</v>
      </c>
      <c r="J247" s="74" t="s">
        <v>127</v>
      </c>
      <c r="L247" s="17">
        <f t="shared" si="17"/>
        <v>45926</v>
      </c>
      <c r="N247">
        <f t="shared" si="18"/>
        <v>9</v>
      </c>
    </row>
    <row r="248" spans="1:14" ht="26.45">
      <c r="A248" s="72" t="s">
        <v>72</v>
      </c>
      <c r="B248" s="72" t="s">
        <v>217</v>
      </c>
      <c r="C248" s="72" t="s">
        <v>122</v>
      </c>
      <c r="D248" s="72" t="s">
        <v>150</v>
      </c>
      <c r="E248" s="72" t="s">
        <v>151</v>
      </c>
      <c r="F248" s="72" t="s">
        <v>455</v>
      </c>
      <c r="G248" s="72" t="s">
        <v>330</v>
      </c>
      <c r="H248" s="73">
        <f>ROUND(7.5,2)</f>
        <v>7.5</v>
      </c>
      <c r="I248" s="72" t="s">
        <v>134</v>
      </c>
      <c r="J248" s="74" t="s">
        <v>127</v>
      </c>
      <c r="L248" s="17">
        <f t="shared" si="17"/>
        <v>45786</v>
      </c>
      <c r="N248">
        <f t="shared" si="18"/>
        <v>5</v>
      </c>
    </row>
    <row r="249" spans="1:14" ht="26.45">
      <c r="A249" s="72" t="s">
        <v>72</v>
      </c>
      <c r="B249" s="72" t="s">
        <v>217</v>
      </c>
      <c r="C249" s="72" t="s">
        <v>122</v>
      </c>
      <c r="D249" s="72" t="s">
        <v>139</v>
      </c>
      <c r="E249" s="72" t="s">
        <v>124</v>
      </c>
      <c r="F249" s="72" t="s">
        <v>456</v>
      </c>
      <c r="G249" s="72" t="s">
        <v>456</v>
      </c>
      <c r="H249" s="73">
        <f t="shared" ref="H249:H255" si="22">ROUND(1,2)</f>
        <v>1</v>
      </c>
      <c r="I249" s="72" t="s">
        <v>126</v>
      </c>
      <c r="J249" s="74" t="s">
        <v>127</v>
      </c>
      <c r="L249" s="17">
        <f t="shared" si="17"/>
        <v>45810</v>
      </c>
      <c r="N249">
        <f t="shared" si="18"/>
        <v>6</v>
      </c>
    </row>
    <row r="250" spans="1:14" ht="26.45">
      <c r="A250" s="72" t="s">
        <v>72</v>
      </c>
      <c r="B250" s="72" t="s">
        <v>217</v>
      </c>
      <c r="C250" s="72" t="s">
        <v>122</v>
      </c>
      <c r="D250" s="72" t="s">
        <v>139</v>
      </c>
      <c r="E250" s="72" t="s">
        <v>124</v>
      </c>
      <c r="F250" s="72" t="s">
        <v>457</v>
      </c>
      <c r="G250" s="72" t="s">
        <v>409</v>
      </c>
      <c r="H250" s="73">
        <f t="shared" si="22"/>
        <v>1</v>
      </c>
      <c r="I250" s="72" t="s">
        <v>126</v>
      </c>
      <c r="J250" s="74" t="s">
        <v>127</v>
      </c>
      <c r="L250" s="17">
        <f t="shared" si="17"/>
        <v>45702</v>
      </c>
      <c r="N250">
        <f t="shared" si="18"/>
        <v>2</v>
      </c>
    </row>
    <row r="251" spans="1:14" ht="26.45">
      <c r="A251" s="72" t="s">
        <v>72</v>
      </c>
      <c r="B251" s="72" t="s">
        <v>217</v>
      </c>
      <c r="C251" s="72" t="s">
        <v>122</v>
      </c>
      <c r="D251" s="72" t="s">
        <v>139</v>
      </c>
      <c r="E251" s="72" t="s">
        <v>124</v>
      </c>
      <c r="F251" s="72" t="s">
        <v>458</v>
      </c>
      <c r="G251" s="72" t="s">
        <v>277</v>
      </c>
      <c r="H251" s="73">
        <f t="shared" si="22"/>
        <v>1</v>
      </c>
      <c r="I251" s="72" t="s">
        <v>126</v>
      </c>
      <c r="J251" s="74" t="s">
        <v>127</v>
      </c>
      <c r="L251" s="17">
        <f t="shared" si="17"/>
        <v>45838</v>
      </c>
      <c r="N251">
        <f t="shared" si="18"/>
        <v>6</v>
      </c>
    </row>
    <row r="252" spans="1:14" ht="26.45">
      <c r="A252" s="72" t="s">
        <v>72</v>
      </c>
      <c r="B252" s="72" t="s">
        <v>217</v>
      </c>
      <c r="C252" s="72" t="s">
        <v>122</v>
      </c>
      <c r="D252" s="72" t="s">
        <v>139</v>
      </c>
      <c r="E252" s="72" t="s">
        <v>124</v>
      </c>
      <c r="F252" s="72" t="s">
        <v>408</v>
      </c>
      <c r="G252" s="72" t="s">
        <v>401</v>
      </c>
      <c r="H252" s="73">
        <f t="shared" si="22"/>
        <v>1</v>
      </c>
      <c r="I252" s="72" t="s">
        <v>126</v>
      </c>
      <c r="J252" s="74" t="s">
        <v>127</v>
      </c>
      <c r="L252" s="17">
        <f t="shared" si="17"/>
        <v>45925</v>
      </c>
      <c r="N252">
        <f t="shared" si="18"/>
        <v>9</v>
      </c>
    </row>
    <row r="253" spans="1:14" ht="26.45">
      <c r="A253" s="72" t="s">
        <v>72</v>
      </c>
      <c r="B253" s="72" t="s">
        <v>217</v>
      </c>
      <c r="C253" s="72" t="s">
        <v>122</v>
      </c>
      <c r="D253" s="72" t="s">
        <v>139</v>
      </c>
      <c r="E253" s="72" t="s">
        <v>124</v>
      </c>
      <c r="F253" s="72" t="s">
        <v>408</v>
      </c>
      <c r="G253" s="72" t="s">
        <v>459</v>
      </c>
      <c r="H253" s="73">
        <f t="shared" si="22"/>
        <v>1</v>
      </c>
      <c r="I253" s="72" t="s">
        <v>126</v>
      </c>
      <c r="J253" s="74" t="s">
        <v>127</v>
      </c>
      <c r="L253" s="17">
        <f t="shared" si="17"/>
        <v>45929</v>
      </c>
      <c r="N253">
        <f t="shared" si="18"/>
        <v>9</v>
      </c>
    </row>
    <row r="254" spans="1:14" ht="26.45">
      <c r="A254" s="72" t="s">
        <v>72</v>
      </c>
      <c r="B254" s="72" t="s">
        <v>217</v>
      </c>
      <c r="C254" s="72" t="s">
        <v>122</v>
      </c>
      <c r="D254" s="72" t="s">
        <v>139</v>
      </c>
      <c r="E254" s="72" t="s">
        <v>124</v>
      </c>
      <c r="F254" s="72" t="s">
        <v>408</v>
      </c>
      <c r="G254" s="72" t="s">
        <v>327</v>
      </c>
      <c r="H254" s="73">
        <f t="shared" si="22"/>
        <v>1</v>
      </c>
      <c r="I254" s="72" t="s">
        <v>126</v>
      </c>
      <c r="J254" s="74" t="s">
        <v>127</v>
      </c>
      <c r="L254" s="17">
        <f t="shared" si="17"/>
        <v>45924</v>
      </c>
      <c r="N254">
        <f t="shared" si="18"/>
        <v>9</v>
      </c>
    </row>
    <row r="255" spans="1:14" ht="26.45">
      <c r="A255" s="72" t="s">
        <v>72</v>
      </c>
      <c r="B255" s="72" t="s">
        <v>217</v>
      </c>
      <c r="C255" s="72" t="s">
        <v>122</v>
      </c>
      <c r="D255" s="72" t="s">
        <v>139</v>
      </c>
      <c r="E255" s="72" t="s">
        <v>124</v>
      </c>
      <c r="F255" s="72" t="s">
        <v>408</v>
      </c>
      <c r="G255" s="72" t="s">
        <v>460</v>
      </c>
      <c r="H255" s="73">
        <f t="shared" si="22"/>
        <v>1</v>
      </c>
      <c r="I255" s="72" t="s">
        <v>126</v>
      </c>
      <c r="J255" s="74" t="s">
        <v>127</v>
      </c>
      <c r="L255" s="17">
        <f t="shared" si="17"/>
        <v>45930</v>
      </c>
      <c r="N255">
        <f t="shared" si="18"/>
        <v>9</v>
      </c>
    </row>
    <row r="256" spans="1:14" ht="26.45">
      <c r="A256" s="72" t="s">
        <v>72</v>
      </c>
      <c r="B256" s="72" t="s">
        <v>217</v>
      </c>
      <c r="C256" s="72" t="s">
        <v>122</v>
      </c>
      <c r="D256" s="72" t="s">
        <v>150</v>
      </c>
      <c r="E256" s="72" t="s">
        <v>151</v>
      </c>
      <c r="F256" s="72" t="s">
        <v>337</v>
      </c>
      <c r="G256" s="72" t="s">
        <v>461</v>
      </c>
      <c r="H256" s="73">
        <f>ROUND(4,2)</f>
        <v>4</v>
      </c>
      <c r="I256" s="72" t="s">
        <v>134</v>
      </c>
      <c r="J256" s="74" t="s">
        <v>127</v>
      </c>
      <c r="L256" s="17">
        <f t="shared" si="17"/>
        <v>45947</v>
      </c>
      <c r="N256">
        <f t="shared" si="18"/>
        <v>10</v>
      </c>
    </row>
    <row r="257" spans="1:14" ht="26.45">
      <c r="A257" s="72" t="s">
        <v>72</v>
      </c>
      <c r="B257" s="72" t="s">
        <v>217</v>
      </c>
      <c r="C257" s="72" t="s">
        <v>122</v>
      </c>
      <c r="D257" s="72" t="s">
        <v>150</v>
      </c>
      <c r="E257" s="72" t="s">
        <v>151</v>
      </c>
      <c r="F257" s="72" t="s">
        <v>348</v>
      </c>
      <c r="G257" s="72" t="s">
        <v>348</v>
      </c>
      <c r="H257" s="73">
        <f>ROUND(1,2)</f>
        <v>1</v>
      </c>
      <c r="I257" s="72" t="s">
        <v>134</v>
      </c>
      <c r="J257" s="74" t="s">
        <v>127</v>
      </c>
      <c r="L257" s="17">
        <f t="shared" si="17"/>
        <v>45677</v>
      </c>
      <c r="N257">
        <f t="shared" si="18"/>
        <v>1</v>
      </c>
    </row>
    <row r="258" spans="1:14" ht="26.45">
      <c r="A258" s="72" t="s">
        <v>72</v>
      </c>
      <c r="B258" s="72" t="s">
        <v>217</v>
      </c>
      <c r="C258" s="72" t="s">
        <v>122</v>
      </c>
      <c r="D258" s="72" t="s">
        <v>139</v>
      </c>
      <c r="E258" s="72" t="s">
        <v>124</v>
      </c>
      <c r="F258" s="72" t="s">
        <v>316</v>
      </c>
      <c r="G258" s="72" t="s">
        <v>297</v>
      </c>
      <c r="H258" s="73">
        <f>ROUND(1,2)</f>
        <v>1</v>
      </c>
      <c r="I258" s="72" t="s">
        <v>126</v>
      </c>
      <c r="J258" s="74" t="s">
        <v>127</v>
      </c>
      <c r="L258" s="17">
        <f t="shared" si="17"/>
        <v>45814</v>
      </c>
      <c r="N258">
        <f t="shared" si="18"/>
        <v>6</v>
      </c>
    </row>
    <row r="259" spans="1:14" ht="26.45">
      <c r="A259" s="72" t="s">
        <v>72</v>
      </c>
      <c r="B259" s="72" t="s">
        <v>217</v>
      </c>
      <c r="C259" s="72" t="s">
        <v>122</v>
      </c>
      <c r="D259" s="72" t="s">
        <v>139</v>
      </c>
      <c r="E259" s="72" t="s">
        <v>124</v>
      </c>
      <c r="F259" s="72" t="s">
        <v>408</v>
      </c>
      <c r="G259" s="72" t="s">
        <v>462</v>
      </c>
      <c r="H259" s="73">
        <f>ROUND(1,2)</f>
        <v>1</v>
      </c>
      <c r="I259" s="72" t="s">
        <v>126</v>
      </c>
      <c r="J259" s="74" t="s">
        <v>127</v>
      </c>
      <c r="L259" s="17">
        <f t="shared" ref="L259:L322" si="23">DATE(RIGHT(G259,4), MID(G259,4,2), LEFT(G259,2))</f>
        <v>45931</v>
      </c>
      <c r="N259">
        <f t="shared" ref="N259:N322" si="24">MONTH(L259)</f>
        <v>10</v>
      </c>
    </row>
    <row r="260" spans="1:14" ht="26.45">
      <c r="A260" s="72" t="s">
        <v>72</v>
      </c>
      <c r="B260" s="72" t="s">
        <v>217</v>
      </c>
      <c r="C260" s="72" t="s">
        <v>122</v>
      </c>
      <c r="D260" s="72" t="s">
        <v>150</v>
      </c>
      <c r="E260" s="72" t="s">
        <v>151</v>
      </c>
      <c r="F260" s="72" t="s">
        <v>274</v>
      </c>
      <c r="G260" s="72" t="s">
        <v>275</v>
      </c>
      <c r="H260" s="73">
        <f>ROUND(8,2)</f>
        <v>8</v>
      </c>
      <c r="I260" s="72" t="s">
        <v>134</v>
      </c>
      <c r="J260" s="74" t="s">
        <v>127</v>
      </c>
      <c r="L260" s="17">
        <f t="shared" si="23"/>
        <v>45891</v>
      </c>
      <c r="N260">
        <f t="shared" si="24"/>
        <v>8</v>
      </c>
    </row>
    <row r="261" spans="1:14" ht="26.45">
      <c r="A261" s="72" t="s">
        <v>48</v>
      </c>
      <c r="B261" s="72" t="s">
        <v>223</v>
      </c>
      <c r="C261" s="72" t="s">
        <v>224</v>
      </c>
      <c r="D261" s="72" t="s">
        <v>165</v>
      </c>
      <c r="E261" s="72" t="s">
        <v>124</v>
      </c>
      <c r="F261" s="72" t="s">
        <v>339</v>
      </c>
      <c r="G261" s="72" t="s">
        <v>160</v>
      </c>
      <c r="H261" s="73">
        <f t="shared" ref="H261:H294" si="25">ROUND(1,2)</f>
        <v>1</v>
      </c>
      <c r="I261" s="72" t="s">
        <v>126</v>
      </c>
      <c r="J261" s="74" t="s">
        <v>127</v>
      </c>
      <c r="L261" s="17">
        <f t="shared" si="23"/>
        <v>46014</v>
      </c>
      <c r="N261">
        <f t="shared" si="24"/>
        <v>12</v>
      </c>
    </row>
    <row r="262" spans="1:14" ht="26.45">
      <c r="A262" s="72" t="s">
        <v>48</v>
      </c>
      <c r="B262" s="72" t="s">
        <v>223</v>
      </c>
      <c r="C262" s="72" t="s">
        <v>224</v>
      </c>
      <c r="D262" s="72" t="s">
        <v>165</v>
      </c>
      <c r="E262" s="72" t="s">
        <v>124</v>
      </c>
      <c r="F262" s="72" t="s">
        <v>407</v>
      </c>
      <c r="G262" s="72" t="s">
        <v>175</v>
      </c>
      <c r="H262" s="73">
        <f t="shared" si="25"/>
        <v>1</v>
      </c>
      <c r="I262" s="72" t="s">
        <v>126</v>
      </c>
      <c r="J262" s="74" t="s">
        <v>127</v>
      </c>
      <c r="L262" s="17">
        <f t="shared" si="23"/>
        <v>45987</v>
      </c>
      <c r="N262">
        <f t="shared" si="24"/>
        <v>11</v>
      </c>
    </row>
    <row r="263" spans="1:14" ht="26.45">
      <c r="A263" s="72" t="s">
        <v>48</v>
      </c>
      <c r="B263" s="72" t="s">
        <v>223</v>
      </c>
      <c r="C263" s="72" t="s">
        <v>224</v>
      </c>
      <c r="D263" s="72" t="s">
        <v>165</v>
      </c>
      <c r="E263" s="72" t="s">
        <v>124</v>
      </c>
      <c r="F263" s="72" t="s">
        <v>339</v>
      </c>
      <c r="G263" s="72" t="s">
        <v>290</v>
      </c>
      <c r="H263" s="73">
        <f t="shared" si="25"/>
        <v>1</v>
      </c>
      <c r="I263" s="72" t="s">
        <v>126</v>
      </c>
      <c r="J263" s="74" t="s">
        <v>127</v>
      </c>
      <c r="L263" s="17">
        <f t="shared" si="23"/>
        <v>46015</v>
      </c>
      <c r="N263">
        <f t="shared" si="24"/>
        <v>12</v>
      </c>
    </row>
    <row r="264" spans="1:14" ht="26.45">
      <c r="A264" s="72" t="s">
        <v>48</v>
      </c>
      <c r="B264" s="72" t="s">
        <v>223</v>
      </c>
      <c r="C264" s="72" t="s">
        <v>224</v>
      </c>
      <c r="D264" s="72" t="s">
        <v>165</v>
      </c>
      <c r="E264" s="72" t="s">
        <v>124</v>
      </c>
      <c r="F264" s="72" t="s">
        <v>463</v>
      </c>
      <c r="G264" s="72" t="s">
        <v>444</v>
      </c>
      <c r="H264" s="73">
        <f t="shared" si="25"/>
        <v>1</v>
      </c>
      <c r="I264" s="72" t="s">
        <v>126</v>
      </c>
      <c r="J264" s="74" t="s">
        <v>127</v>
      </c>
      <c r="L264" s="17">
        <f t="shared" si="23"/>
        <v>45706</v>
      </c>
      <c r="N264">
        <f t="shared" si="24"/>
        <v>2</v>
      </c>
    </row>
    <row r="265" spans="1:14" ht="26.45">
      <c r="A265" s="72" t="s">
        <v>48</v>
      </c>
      <c r="B265" s="72" t="s">
        <v>223</v>
      </c>
      <c r="C265" s="72" t="s">
        <v>224</v>
      </c>
      <c r="D265" s="72" t="s">
        <v>165</v>
      </c>
      <c r="E265" s="72" t="s">
        <v>124</v>
      </c>
      <c r="F265" s="72" t="s">
        <v>322</v>
      </c>
      <c r="G265" s="72" t="s">
        <v>311</v>
      </c>
      <c r="H265" s="73">
        <f t="shared" si="25"/>
        <v>1</v>
      </c>
      <c r="I265" s="72" t="s">
        <v>126</v>
      </c>
      <c r="J265" s="74" t="s">
        <v>127</v>
      </c>
      <c r="L265" s="17">
        <f t="shared" si="23"/>
        <v>45793</v>
      </c>
      <c r="N265">
        <f t="shared" si="24"/>
        <v>5</v>
      </c>
    </row>
    <row r="266" spans="1:14" ht="26.45">
      <c r="A266" s="72" t="s">
        <v>48</v>
      </c>
      <c r="B266" s="72" t="s">
        <v>223</v>
      </c>
      <c r="C266" s="72" t="s">
        <v>224</v>
      </c>
      <c r="D266" s="72" t="s">
        <v>165</v>
      </c>
      <c r="E266" s="72" t="s">
        <v>124</v>
      </c>
      <c r="F266" s="72" t="s">
        <v>458</v>
      </c>
      <c r="G266" s="72" t="s">
        <v>372</v>
      </c>
      <c r="H266" s="73">
        <f t="shared" si="25"/>
        <v>1</v>
      </c>
      <c r="I266" s="72" t="s">
        <v>126</v>
      </c>
      <c r="J266" s="74" t="s">
        <v>127</v>
      </c>
      <c r="L266" s="17">
        <f t="shared" si="23"/>
        <v>45824</v>
      </c>
      <c r="N266">
        <f t="shared" si="24"/>
        <v>6</v>
      </c>
    </row>
    <row r="267" spans="1:14" ht="26.45">
      <c r="A267" s="72" t="s">
        <v>48</v>
      </c>
      <c r="B267" s="72" t="s">
        <v>223</v>
      </c>
      <c r="C267" s="72" t="s">
        <v>224</v>
      </c>
      <c r="D267" s="72" t="s">
        <v>165</v>
      </c>
      <c r="E267" s="72" t="s">
        <v>124</v>
      </c>
      <c r="F267" s="72" t="s">
        <v>407</v>
      </c>
      <c r="G267" s="72" t="s">
        <v>383</v>
      </c>
      <c r="H267" s="73">
        <f t="shared" si="25"/>
        <v>1</v>
      </c>
      <c r="I267" s="72" t="s">
        <v>126</v>
      </c>
      <c r="J267" s="74" t="s">
        <v>127</v>
      </c>
      <c r="L267" s="17">
        <f t="shared" si="23"/>
        <v>45988</v>
      </c>
      <c r="N267">
        <f t="shared" si="24"/>
        <v>11</v>
      </c>
    </row>
    <row r="268" spans="1:14" ht="26.45">
      <c r="A268" s="72" t="s">
        <v>48</v>
      </c>
      <c r="B268" s="72" t="s">
        <v>223</v>
      </c>
      <c r="C268" s="72" t="s">
        <v>224</v>
      </c>
      <c r="D268" s="72" t="s">
        <v>165</v>
      </c>
      <c r="E268" s="72" t="s">
        <v>124</v>
      </c>
      <c r="F268" s="72" t="s">
        <v>458</v>
      </c>
      <c r="G268" s="72" t="s">
        <v>374</v>
      </c>
      <c r="H268" s="73">
        <f t="shared" si="25"/>
        <v>1</v>
      </c>
      <c r="I268" s="72" t="s">
        <v>126</v>
      </c>
      <c r="J268" s="74" t="s">
        <v>127</v>
      </c>
      <c r="L268" s="17">
        <f t="shared" si="23"/>
        <v>45826</v>
      </c>
      <c r="N268">
        <f t="shared" si="24"/>
        <v>6</v>
      </c>
    </row>
    <row r="269" spans="1:14" ht="26.45">
      <c r="A269" s="72" t="s">
        <v>48</v>
      </c>
      <c r="B269" s="72" t="s">
        <v>223</v>
      </c>
      <c r="C269" s="72" t="s">
        <v>224</v>
      </c>
      <c r="D269" s="72" t="s">
        <v>165</v>
      </c>
      <c r="E269" s="72" t="s">
        <v>124</v>
      </c>
      <c r="F269" s="72" t="s">
        <v>407</v>
      </c>
      <c r="G269" s="72" t="s">
        <v>166</v>
      </c>
      <c r="H269" s="73">
        <f t="shared" si="25"/>
        <v>1</v>
      </c>
      <c r="I269" s="72" t="s">
        <v>126</v>
      </c>
      <c r="J269" s="74" t="s">
        <v>127</v>
      </c>
      <c r="L269" s="17">
        <f t="shared" si="23"/>
        <v>45986</v>
      </c>
      <c r="N269">
        <f t="shared" si="24"/>
        <v>11</v>
      </c>
    </row>
    <row r="270" spans="1:14" ht="26.45">
      <c r="A270" s="72" t="s">
        <v>48</v>
      </c>
      <c r="B270" s="72" t="s">
        <v>223</v>
      </c>
      <c r="C270" s="72" t="s">
        <v>224</v>
      </c>
      <c r="D270" s="72" t="s">
        <v>165</v>
      </c>
      <c r="E270" s="72" t="s">
        <v>124</v>
      </c>
      <c r="F270" s="72" t="s">
        <v>407</v>
      </c>
      <c r="G270" s="72" t="s">
        <v>307</v>
      </c>
      <c r="H270" s="73">
        <f t="shared" si="25"/>
        <v>1</v>
      </c>
      <c r="I270" s="72" t="s">
        <v>126</v>
      </c>
      <c r="J270" s="74" t="s">
        <v>127</v>
      </c>
      <c r="L270" s="17">
        <f t="shared" si="23"/>
        <v>45985</v>
      </c>
      <c r="N270">
        <f t="shared" si="24"/>
        <v>11</v>
      </c>
    </row>
    <row r="271" spans="1:14" ht="26.45">
      <c r="A271" s="72" t="s">
        <v>48</v>
      </c>
      <c r="B271" s="72" t="s">
        <v>223</v>
      </c>
      <c r="C271" s="72" t="s">
        <v>224</v>
      </c>
      <c r="D271" s="72" t="s">
        <v>165</v>
      </c>
      <c r="E271" s="72" t="s">
        <v>124</v>
      </c>
      <c r="F271" s="72" t="s">
        <v>458</v>
      </c>
      <c r="G271" s="72" t="s">
        <v>364</v>
      </c>
      <c r="H271" s="73">
        <f t="shared" si="25"/>
        <v>1</v>
      </c>
      <c r="I271" s="72" t="s">
        <v>126</v>
      </c>
      <c r="J271" s="74" t="s">
        <v>127</v>
      </c>
      <c r="L271" s="17">
        <f t="shared" si="23"/>
        <v>45828</v>
      </c>
      <c r="N271">
        <f t="shared" si="24"/>
        <v>6</v>
      </c>
    </row>
    <row r="272" spans="1:14" ht="26.45">
      <c r="A272" s="72" t="s">
        <v>48</v>
      </c>
      <c r="B272" s="72" t="s">
        <v>223</v>
      </c>
      <c r="C272" s="72" t="s">
        <v>224</v>
      </c>
      <c r="D272" s="72" t="s">
        <v>165</v>
      </c>
      <c r="E272" s="72" t="s">
        <v>124</v>
      </c>
      <c r="F272" s="72" t="s">
        <v>451</v>
      </c>
      <c r="G272" s="72" t="s">
        <v>464</v>
      </c>
      <c r="H272" s="73">
        <f t="shared" si="25"/>
        <v>1</v>
      </c>
      <c r="I272" s="72" t="s">
        <v>126</v>
      </c>
      <c r="J272" s="74" t="s">
        <v>127</v>
      </c>
      <c r="L272" s="17">
        <f t="shared" si="23"/>
        <v>45740</v>
      </c>
      <c r="N272">
        <f t="shared" si="24"/>
        <v>3</v>
      </c>
    </row>
    <row r="273" spans="1:14" ht="26.45">
      <c r="A273" s="72" t="s">
        <v>48</v>
      </c>
      <c r="B273" s="72" t="s">
        <v>223</v>
      </c>
      <c r="C273" s="72" t="s">
        <v>224</v>
      </c>
      <c r="D273" s="72" t="s">
        <v>165</v>
      </c>
      <c r="E273" s="72" t="s">
        <v>124</v>
      </c>
      <c r="F273" s="72" t="s">
        <v>407</v>
      </c>
      <c r="G273" s="72" t="s">
        <v>386</v>
      </c>
      <c r="H273" s="73">
        <f t="shared" si="25"/>
        <v>1</v>
      </c>
      <c r="I273" s="72" t="s">
        <v>126</v>
      </c>
      <c r="J273" s="74" t="s">
        <v>127</v>
      </c>
      <c r="L273" s="17">
        <f t="shared" si="23"/>
        <v>45989</v>
      </c>
      <c r="N273">
        <f t="shared" si="24"/>
        <v>11</v>
      </c>
    </row>
    <row r="274" spans="1:14" ht="26.45">
      <c r="A274" s="72" t="s">
        <v>48</v>
      </c>
      <c r="B274" s="72" t="s">
        <v>223</v>
      </c>
      <c r="C274" s="72" t="s">
        <v>224</v>
      </c>
      <c r="D274" s="72" t="s">
        <v>165</v>
      </c>
      <c r="E274" s="72" t="s">
        <v>124</v>
      </c>
      <c r="F274" s="72" t="s">
        <v>339</v>
      </c>
      <c r="G274" s="72" t="s">
        <v>323</v>
      </c>
      <c r="H274" s="73">
        <f t="shared" si="25"/>
        <v>1</v>
      </c>
      <c r="I274" s="72" t="s">
        <v>126</v>
      </c>
      <c r="J274" s="74" t="s">
        <v>127</v>
      </c>
      <c r="L274" s="17">
        <f t="shared" si="23"/>
        <v>46013</v>
      </c>
      <c r="N274">
        <f t="shared" si="24"/>
        <v>12</v>
      </c>
    </row>
    <row r="275" spans="1:14" ht="26.45">
      <c r="A275" s="72" t="s">
        <v>48</v>
      </c>
      <c r="B275" s="72" t="s">
        <v>223</v>
      </c>
      <c r="C275" s="72" t="s">
        <v>224</v>
      </c>
      <c r="D275" s="72" t="s">
        <v>165</v>
      </c>
      <c r="E275" s="72" t="s">
        <v>124</v>
      </c>
      <c r="F275" s="72" t="s">
        <v>458</v>
      </c>
      <c r="G275" s="72" t="s">
        <v>365</v>
      </c>
      <c r="H275" s="73">
        <f t="shared" si="25"/>
        <v>1</v>
      </c>
      <c r="I275" s="72" t="s">
        <v>126</v>
      </c>
      <c r="J275" s="74" t="s">
        <v>127</v>
      </c>
      <c r="L275" s="17">
        <f t="shared" si="23"/>
        <v>45827</v>
      </c>
      <c r="N275">
        <f t="shared" si="24"/>
        <v>6</v>
      </c>
    </row>
    <row r="276" spans="1:14" ht="26.45">
      <c r="A276" s="72" t="s">
        <v>48</v>
      </c>
      <c r="B276" s="72" t="s">
        <v>223</v>
      </c>
      <c r="C276" s="72" t="s">
        <v>224</v>
      </c>
      <c r="D276" s="72" t="s">
        <v>165</v>
      </c>
      <c r="E276" s="72" t="s">
        <v>124</v>
      </c>
      <c r="F276" s="72" t="s">
        <v>458</v>
      </c>
      <c r="G276" s="72" t="s">
        <v>361</v>
      </c>
      <c r="H276" s="73">
        <f t="shared" si="25"/>
        <v>1</v>
      </c>
      <c r="I276" s="72" t="s">
        <v>126</v>
      </c>
      <c r="J276" s="74" t="s">
        <v>127</v>
      </c>
      <c r="L276" s="17">
        <f t="shared" si="23"/>
        <v>45825</v>
      </c>
      <c r="N276">
        <f t="shared" si="24"/>
        <v>6</v>
      </c>
    </row>
    <row r="277" spans="1:14" ht="26.45">
      <c r="A277" s="72" t="s">
        <v>80</v>
      </c>
      <c r="B277" s="72" t="s">
        <v>226</v>
      </c>
      <c r="C277" s="72" t="s">
        <v>149</v>
      </c>
      <c r="D277" s="72" t="s">
        <v>139</v>
      </c>
      <c r="E277" s="72" t="s">
        <v>124</v>
      </c>
      <c r="F277" s="72" t="s">
        <v>465</v>
      </c>
      <c r="G277" s="72" t="s">
        <v>466</v>
      </c>
      <c r="H277" s="73">
        <f t="shared" si="25"/>
        <v>1</v>
      </c>
      <c r="I277" s="72" t="s">
        <v>126</v>
      </c>
      <c r="J277" s="74" t="s">
        <v>127</v>
      </c>
      <c r="L277" s="17">
        <f t="shared" si="23"/>
        <v>45796</v>
      </c>
      <c r="N277">
        <f t="shared" si="24"/>
        <v>5</v>
      </c>
    </row>
    <row r="278" spans="1:14" ht="26.45">
      <c r="A278" s="72" t="s">
        <v>80</v>
      </c>
      <c r="B278" s="72" t="s">
        <v>226</v>
      </c>
      <c r="C278" s="72" t="s">
        <v>149</v>
      </c>
      <c r="D278" s="72" t="s">
        <v>139</v>
      </c>
      <c r="E278" s="72" t="s">
        <v>124</v>
      </c>
      <c r="F278" s="72" t="s">
        <v>465</v>
      </c>
      <c r="G278" s="72" t="s">
        <v>389</v>
      </c>
      <c r="H278" s="73">
        <f t="shared" si="25"/>
        <v>1</v>
      </c>
      <c r="I278" s="72" t="s">
        <v>126</v>
      </c>
      <c r="J278" s="74" t="s">
        <v>127</v>
      </c>
      <c r="L278" s="17">
        <f t="shared" si="23"/>
        <v>45798</v>
      </c>
      <c r="N278">
        <f t="shared" si="24"/>
        <v>5</v>
      </c>
    </row>
    <row r="279" spans="1:14" ht="26.45">
      <c r="A279" s="72" t="s">
        <v>80</v>
      </c>
      <c r="B279" s="72" t="s">
        <v>226</v>
      </c>
      <c r="C279" s="72" t="s">
        <v>149</v>
      </c>
      <c r="D279" s="72" t="s">
        <v>139</v>
      </c>
      <c r="E279" s="72" t="s">
        <v>124</v>
      </c>
      <c r="F279" s="72" t="s">
        <v>465</v>
      </c>
      <c r="G279" s="72" t="s">
        <v>467</v>
      </c>
      <c r="H279" s="73">
        <f t="shared" si="25"/>
        <v>1</v>
      </c>
      <c r="I279" s="72" t="s">
        <v>126</v>
      </c>
      <c r="J279" s="74" t="s">
        <v>127</v>
      </c>
      <c r="L279" s="17">
        <f t="shared" si="23"/>
        <v>45791</v>
      </c>
      <c r="N279">
        <f t="shared" si="24"/>
        <v>5</v>
      </c>
    </row>
    <row r="280" spans="1:14" ht="26.45">
      <c r="A280" s="72" t="s">
        <v>80</v>
      </c>
      <c r="B280" s="72" t="s">
        <v>226</v>
      </c>
      <c r="C280" s="72" t="s">
        <v>149</v>
      </c>
      <c r="D280" s="72" t="s">
        <v>139</v>
      </c>
      <c r="E280" s="72" t="s">
        <v>124</v>
      </c>
      <c r="F280" s="72" t="s">
        <v>465</v>
      </c>
      <c r="G280" s="72" t="s">
        <v>311</v>
      </c>
      <c r="H280" s="73">
        <f t="shared" si="25"/>
        <v>1</v>
      </c>
      <c r="I280" s="72" t="s">
        <v>126</v>
      </c>
      <c r="J280" s="74" t="s">
        <v>127</v>
      </c>
      <c r="L280" s="17">
        <f t="shared" si="23"/>
        <v>45793</v>
      </c>
      <c r="N280">
        <f t="shared" si="24"/>
        <v>5</v>
      </c>
    </row>
    <row r="281" spans="1:14" ht="26.45">
      <c r="A281" s="72" t="s">
        <v>80</v>
      </c>
      <c r="B281" s="72" t="s">
        <v>226</v>
      </c>
      <c r="C281" s="72" t="s">
        <v>149</v>
      </c>
      <c r="D281" s="72" t="s">
        <v>139</v>
      </c>
      <c r="E281" s="72" t="s">
        <v>124</v>
      </c>
      <c r="F281" s="72" t="s">
        <v>465</v>
      </c>
      <c r="G281" s="72" t="s">
        <v>387</v>
      </c>
      <c r="H281" s="73">
        <f t="shared" si="25"/>
        <v>1</v>
      </c>
      <c r="I281" s="72" t="s">
        <v>126</v>
      </c>
      <c r="J281" s="74" t="s">
        <v>127</v>
      </c>
      <c r="L281" s="17">
        <f t="shared" si="23"/>
        <v>45797</v>
      </c>
      <c r="N281">
        <f t="shared" si="24"/>
        <v>5</v>
      </c>
    </row>
    <row r="282" spans="1:14" ht="26.45">
      <c r="A282" s="72" t="s">
        <v>80</v>
      </c>
      <c r="B282" s="72" t="s">
        <v>226</v>
      </c>
      <c r="C282" s="72" t="s">
        <v>149</v>
      </c>
      <c r="D282" s="72" t="s">
        <v>139</v>
      </c>
      <c r="E282" s="72" t="s">
        <v>124</v>
      </c>
      <c r="F282" s="72" t="s">
        <v>465</v>
      </c>
      <c r="G282" s="72" t="s">
        <v>353</v>
      </c>
      <c r="H282" s="73">
        <f t="shared" si="25"/>
        <v>1</v>
      </c>
      <c r="I282" s="72" t="s">
        <v>126</v>
      </c>
      <c r="J282" s="74" t="s">
        <v>127</v>
      </c>
      <c r="L282" s="17">
        <f t="shared" si="23"/>
        <v>45792</v>
      </c>
      <c r="N282">
        <f t="shared" si="24"/>
        <v>5</v>
      </c>
    </row>
    <row r="283" spans="1:14" ht="26.45">
      <c r="A283" s="72" t="s">
        <v>39</v>
      </c>
      <c r="B283" s="72" t="s">
        <v>231</v>
      </c>
      <c r="C283" s="72" t="s">
        <v>164</v>
      </c>
      <c r="D283" s="72" t="s">
        <v>232</v>
      </c>
      <c r="E283" s="72" t="s">
        <v>124</v>
      </c>
      <c r="F283" s="72" t="s">
        <v>468</v>
      </c>
      <c r="G283" s="72" t="s">
        <v>458</v>
      </c>
      <c r="H283" s="73">
        <f t="shared" si="25"/>
        <v>1</v>
      </c>
      <c r="I283" s="72" t="s">
        <v>126</v>
      </c>
      <c r="J283" s="74" t="s">
        <v>127</v>
      </c>
      <c r="L283" s="17">
        <f t="shared" si="23"/>
        <v>45784</v>
      </c>
      <c r="N283">
        <f t="shared" si="24"/>
        <v>5</v>
      </c>
    </row>
    <row r="284" spans="1:14" ht="26.45">
      <c r="A284" s="72" t="s">
        <v>39</v>
      </c>
      <c r="B284" s="72" t="s">
        <v>231</v>
      </c>
      <c r="C284" s="72" t="s">
        <v>164</v>
      </c>
      <c r="D284" s="72" t="s">
        <v>232</v>
      </c>
      <c r="E284" s="72" t="s">
        <v>124</v>
      </c>
      <c r="F284" s="72" t="s">
        <v>372</v>
      </c>
      <c r="G284" s="72" t="s">
        <v>439</v>
      </c>
      <c r="H284" s="73">
        <f t="shared" si="25"/>
        <v>1</v>
      </c>
      <c r="I284" s="72" t="s">
        <v>126</v>
      </c>
      <c r="J284" s="74" t="s">
        <v>127</v>
      </c>
      <c r="L284" s="17">
        <f t="shared" si="23"/>
        <v>45867</v>
      </c>
      <c r="N284">
        <f t="shared" si="24"/>
        <v>7</v>
      </c>
    </row>
    <row r="285" spans="1:14" ht="26.45">
      <c r="A285" s="72" t="s">
        <v>39</v>
      </c>
      <c r="B285" s="72" t="s">
        <v>231</v>
      </c>
      <c r="C285" s="72" t="s">
        <v>164</v>
      </c>
      <c r="D285" s="72" t="s">
        <v>232</v>
      </c>
      <c r="E285" s="72" t="s">
        <v>124</v>
      </c>
      <c r="F285" s="72" t="s">
        <v>468</v>
      </c>
      <c r="G285" s="72" t="s">
        <v>353</v>
      </c>
      <c r="H285" s="73">
        <f t="shared" si="25"/>
        <v>1</v>
      </c>
      <c r="I285" s="72" t="s">
        <v>126</v>
      </c>
      <c r="J285" s="74" t="s">
        <v>127</v>
      </c>
      <c r="L285" s="17">
        <f t="shared" si="23"/>
        <v>45792</v>
      </c>
      <c r="N285">
        <f t="shared" si="24"/>
        <v>5</v>
      </c>
    </row>
    <row r="286" spans="1:14" ht="26.45">
      <c r="A286" s="72" t="s">
        <v>39</v>
      </c>
      <c r="B286" s="72" t="s">
        <v>231</v>
      </c>
      <c r="C286" s="72" t="s">
        <v>164</v>
      </c>
      <c r="D286" s="72" t="s">
        <v>232</v>
      </c>
      <c r="E286" s="72" t="s">
        <v>124</v>
      </c>
      <c r="F286" s="72" t="s">
        <v>372</v>
      </c>
      <c r="G286" s="72" t="s">
        <v>298</v>
      </c>
      <c r="H286" s="73">
        <f t="shared" si="25"/>
        <v>1</v>
      </c>
      <c r="I286" s="72" t="s">
        <v>126</v>
      </c>
      <c r="J286" s="74" t="s">
        <v>127</v>
      </c>
      <c r="L286" s="17">
        <f t="shared" si="23"/>
        <v>45869</v>
      </c>
      <c r="N286">
        <f t="shared" si="24"/>
        <v>7</v>
      </c>
    </row>
    <row r="287" spans="1:14" ht="26.45">
      <c r="A287" s="72" t="s">
        <v>39</v>
      </c>
      <c r="B287" s="72" t="s">
        <v>231</v>
      </c>
      <c r="C287" s="72" t="s">
        <v>164</v>
      </c>
      <c r="D287" s="72" t="s">
        <v>232</v>
      </c>
      <c r="E287" s="72" t="s">
        <v>124</v>
      </c>
      <c r="F287" s="72" t="s">
        <v>372</v>
      </c>
      <c r="G287" s="72" t="s">
        <v>296</v>
      </c>
      <c r="H287" s="73">
        <f t="shared" si="25"/>
        <v>1</v>
      </c>
      <c r="I287" s="72" t="s">
        <v>126</v>
      </c>
      <c r="J287" s="74" t="s">
        <v>127</v>
      </c>
      <c r="L287" s="17">
        <f t="shared" si="23"/>
        <v>45868</v>
      </c>
      <c r="N287">
        <f t="shared" si="24"/>
        <v>7</v>
      </c>
    </row>
    <row r="288" spans="1:14" ht="26.45">
      <c r="A288" s="72" t="s">
        <v>39</v>
      </c>
      <c r="B288" s="72" t="s">
        <v>231</v>
      </c>
      <c r="C288" s="72" t="s">
        <v>164</v>
      </c>
      <c r="D288" s="72" t="s">
        <v>232</v>
      </c>
      <c r="E288" s="72" t="s">
        <v>124</v>
      </c>
      <c r="F288" s="72" t="s">
        <v>468</v>
      </c>
      <c r="G288" s="72" t="s">
        <v>467</v>
      </c>
      <c r="H288" s="73">
        <f t="shared" si="25"/>
        <v>1</v>
      </c>
      <c r="I288" s="72" t="s">
        <v>126</v>
      </c>
      <c r="J288" s="74" t="s">
        <v>127</v>
      </c>
      <c r="L288" s="17">
        <f t="shared" si="23"/>
        <v>45791</v>
      </c>
      <c r="N288">
        <f t="shared" si="24"/>
        <v>5</v>
      </c>
    </row>
    <row r="289" spans="1:14" ht="26.45">
      <c r="A289" s="72" t="s">
        <v>39</v>
      </c>
      <c r="B289" s="72" t="s">
        <v>231</v>
      </c>
      <c r="C289" s="72" t="s">
        <v>164</v>
      </c>
      <c r="D289" s="72" t="s">
        <v>232</v>
      </c>
      <c r="E289" s="72" t="s">
        <v>124</v>
      </c>
      <c r="F289" s="72" t="s">
        <v>468</v>
      </c>
      <c r="G289" s="72" t="s">
        <v>455</v>
      </c>
      <c r="H289" s="73">
        <f t="shared" si="25"/>
        <v>1</v>
      </c>
      <c r="I289" s="72" t="s">
        <v>126</v>
      </c>
      <c r="J289" s="74" t="s">
        <v>127</v>
      </c>
      <c r="L289" s="17">
        <f t="shared" si="23"/>
        <v>45789</v>
      </c>
      <c r="N289">
        <f t="shared" si="24"/>
        <v>5</v>
      </c>
    </row>
    <row r="290" spans="1:14" ht="26.45">
      <c r="A290" s="72" t="s">
        <v>39</v>
      </c>
      <c r="B290" s="72" t="s">
        <v>231</v>
      </c>
      <c r="C290" s="72" t="s">
        <v>164</v>
      </c>
      <c r="D290" s="72" t="s">
        <v>232</v>
      </c>
      <c r="E290" s="72" t="s">
        <v>124</v>
      </c>
      <c r="F290" s="72" t="s">
        <v>468</v>
      </c>
      <c r="G290" s="72" t="s">
        <v>325</v>
      </c>
      <c r="H290" s="73">
        <f t="shared" si="25"/>
        <v>1</v>
      </c>
      <c r="I290" s="72" t="s">
        <v>126</v>
      </c>
      <c r="J290" s="74" t="s">
        <v>127</v>
      </c>
      <c r="L290" s="17">
        <f t="shared" si="23"/>
        <v>45785</v>
      </c>
      <c r="N290">
        <f t="shared" si="24"/>
        <v>5</v>
      </c>
    </row>
    <row r="291" spans="1:14" ht="26.45">
      <c r="A291" s="72" t="s">
        <v>39</v>
      </c>
      <c r="B291" s="72" t="s">
        <v>231</v>
      </c>
      <c r="C291" s="72" t="s">
        <v>164</v>
      </c>
      <c r="D291" s="72" t="s">
        <v>232</v>
      </c>
      <c r="E291" s="72" t="s">
        <v>124</v>
      </c>
      <c r="F291" s="72" t="s">
        <v>372</v>
      </c>
      <c r="G291" s="72" t="s">
        <v>452</v>
      </c>
      <c r="H291" s="73">
        <f t="shared" si="25"/>
        <v>1</v>
      </c>
      <c r="I291" s="72" t="s">
        <v>126</v>
      </c>
      <c r="J291" s="74" t="s">
        <v>127</v>
      </c>
      <c r="L291" s="17">
        <f t="shared" si="23"/>
        <v>45866</v>
      </c>
      <c r="N291">
        <f t="shared" si="24"/>
        <v>7</v>
      </c>
    </row>
    <row r="292" spans="1:14" ht="26.45">
      <c r="A292" s="72" t="s">
        <v>39</v>
      </c>
      <c r="B292" s="72" t="s">
        <v>231</v>
      </c>
      <c r="C292" s="72" t="s">
        <v>164</v>
      </c>
      <c r="D292" s="72" t="s">
        <v>232</v>
      </c>
      <c r="E292" s="72" t="s">
        <v>124</v>
      </c>
      <c r="F292" s="72" t="s">
        <v>468</v>
      </c>
      <c r="G292" s="72" t="s">
        <v>469</v>
      </c>
      <c r="H292" s="73">
        <f t="shared" si="25"/>
        <v>1</v>
      </c>
      <c r="I292" s="72" t="s">
        <v>126</v>
      </c>
      <c r="J292" s="74" t="s">
        <v>127</v>
      </c>
      <c r="L292" s="17">
        <f t="shared" si="23"/>
        <v>45782</v>
      </c>
      <c r="N292">
        <f t="shared" si="24"/>
        <v>5</v>
      </c>
    </row>
    <row r="293" spans="1:14" ht="26.45">
      <c r="A293" s="72" t="s">
        <v>39</v>
      </c>
      <c r="B293" s="72" t="s">
        <v>231</v>
      </c>
      <c r="C293" s="72" t="s">
        <v>164</v>
      </c>
      <c r="D293" s="72" t="s">
        <v>232</v>
      </c>
      <c r="E293" s="72" t="s">
        <v>124</v>
      </c>
      <c r="F293" s="72" t="s">
        <v>468</v>
      </c>
      <c r="G293" s="72" t="s">
        <v>470</v>
      </c>
      <c r="H293" s="73">
        <f t="shared" si="25"/>
        <v>1</v>
      </c>
      <c r="I293" s="72" t="s">
        <v>126</v>
      </c>
      <c r="J293" s="74" t="s">
        <v>127</v>
      </c>
      <c r="L293" s="17">
        <f t="shared" si="23"/>
        <v>45783</v>
      </c>
      <c r="N293">
        <f t="shared" si="24"/>
        <v>5</v>
      </c>
    </row>
    <row r="294" spans="1:14" ht="26.45">
      <c r="A294" s="72" t="s">
        <v>39</v>
      </c>
      <c r="B294" s="72" t="s">
        <v>231</v>
      </c>
      <c r="C294" s="72" t="s">
        <v>164</v>
      </c>
      <c r="D294" s="72" t="s">
        <v>232</v>
      </c>
      <c r="E294" s="72" t="s">
        <v>124</v>
      </c>
      <c r="F294" s="72" t="s">
        <v>468</v>
      </c>
      <c r="G294" s="72" t="s">
        <v>471</v>
      </c>
      <c r="H294" s="73">
        <f t="shared" si="25"/>
        <v>1</v>
      </c>
      <c r="I294" s="72" t="s">
        <v>126</v>
      </c>
      <c r="J294" s="74" t="s">
        <v>127</v>
      </c>
      <c r="L294" s="17">
        <f t="shared" si="23"/>
        <v>45790</v>
      </c>
      <c r="N294">
        <f t="shared" si="24"/>
        <v>5</v>
      </c>
    </row>
    <row r="295" spans="1:14" ht="26.45">
      <c r="A295" s="72" t="s">
        <v>244</v>
      </c>
      <c r="B295" s="72" t="s">
        <v>245</v>
      </c>
      <c r="C295" s="72" t="s">
        <v>192</v>
      </c>
      <c r="D295" s="72" t="s">
        <v>215</v>
      </c>
      <c r="E295" s="72" t="s">
        <v>124</v>
      </c>
      <c r="F295" s="72" t="s">
        <v>396</v>
      </c>
      <c r="G295" s="72" t="s">
        <v>182</v>
      </c>
      <c r="H295" s="73">
        <f t="shared" ref="H295:H302" si="26">ROUND(7.5,2)</f>
        <v>7.5</v>
      </c>
      <c r="I295" s="72" t="s">
        <v>134</v>
      </c>
      <c r="J295" s="74" t="s">
        <v>127</v>
      </c>
      <c r="L295" s="17">
        <f t="shared" si="23"/>
        <v>46020</v>
      </c>
      <c r="N295">
        <f t="shared" si="24"/>
        <v>12</v>
      </c>
    </row>
    <row r="296" spans="1:14" ht="26.45">
      <c r="A296" s="72" t="s">
        <v>244</v>
      </c>
      <c r="B296" s="72" t="s">
        <v>245</v>
      </c>
      <c r="C296" s="72" t="s">
        <v>192</v>
      </c>
      <c r="D296" s="72" t="s">
        <v>215</v>
      </c>
      <c r="E296" s="72" t="s">
        <v>124</v>
      </c>
      <c r="F296" s="72" t="s">
        <v>396</v>
      </c>
      <c r="G296" s="72" t="s">
        <v>323</v>
      </c>
      <c r="H296" s="73">
        <f t="shared" si="26"/>
        <v>7.5</v>
      </c>
      <c r="I296" s="72" t="s">
        <v>134</v>
      </c>
      <c r="J296" s="74" t="s">
        <v>127</v>
      </c>
      <c r="L296" s="17">
        <f t="shared" si="23"/>
        <v>46013</v>
      </c>
      <c r="N296">
        <f t="shared" si="24"/>
        <v>12</v>
      </c>
    </row>
    <row r="297" spans="1:14" ht="26.45">
      <c r="A297" s="72" t="s">
        <v>244</v>
      </c>
      <c r="B297" s="72" t="s">
        <v>245</v>
      </c>
      <c r="C297" s="72" t="s">
        <v>192</v>
      </c>
      <c r="D297" s="72" t="s">
        <v>215</v>
      </c>
      <c r="E297" s="72" t="s">
        <v>124</v>
      </c>
      <c r="F297" s="72" t="s">
        <v>396</v>
      </c>
      <c r="G297" s="72" t="s">
        <v>290</v>
      </c>
      <c r="H297" s="73">
        <f t="shared" si="26"/>
        <v>7.5</v>
      </c>
      <c r="I297" s="72" t="s">
        <v>134</v>
      </c>
      <c r="J297" s="74" t="s">
        <v>127</v>
      </c>
      <c r="L297" s="17">
        <f t="shared" si="23"/>
        <v>46015</v>
      </c>
      <c r="N297">
        <f t="shared" si="24"/>
        <v>12</v>
      </c>
    </row>
    <row r="298" spans="1:14" ht="26.45">
      <c r="A298" s="72" t="s">
        <v>244</v>
      </c>
      <c r="B298" s="72" t="s">
        <v>245</v>
      </c>
      <c r="C298" s="72" t="s">
        <v>192</v>
      </c>
      <c r="D298" s="72" t="s">
        <v>215</v>
      </c>
      <c r="E298" s="72" t="s">
        <v>124</v>
      </c>
      <c r="F298" s="72" t="s">
        <v>472</v>
      </c>
      <c r="G298" s="72" t="s">
        <v>302</v>
      </c>
      <c r="H298" s="73">
        <f t="shared" si="26"/>
        <v>7.5</v>
      </c>
      <c r="I298" s="72" t="s">
        <v>134</v>
      </c>
      <c r="J298" s="74" t="s">
        <v>127</v>
      </c>
      <c r="L298" s="17">
        <f t="shared" si="23"/>
        <v>45659</v>
      </c>
      <c r="N298">
        <f t="shared" si="24"/>
        <v>1</v>
      </c>
    </row>
    <row r="299" spans="1:14" ht="26.45">
      <c r="A299" s="72" t="s">
        <v>244</v>
      </c>
      <c r="B299" s="72" t="s">
        <v>245</v>
      </c>
      <c r="C299" s="72" t="s">
        <v>192</v>
      </c>
      <c r="D299" s="72" t="s">
        <v>215</v>
      </c>
      <c r="E299" s="72" t="s">
        <v>124</v>
      </c>
      <c r="F299" s="72" t="s">
        <v>396</v>
      </c>
      <c r="G299" s="72" t="s">
        <v>288</v>
      </c>
      <c r="H299" s="73">
        <f t="shared" si="26"/>
        <v>7.5</v>
      </c>
      <c r="I299" s="72" t="s">
        <v>134</v>
      </c>
      <c r="J299" s="74" t="s">
        <v>127</v>
      </c>
      <c r="L299" s="17">
        <f t="shared" si="23"/>
        <v>46022</v>
      </c>
      <c r="N299">
        <f t="shared" si="24"/>
        <v>12</v>
      </c>
    </row>
    <row r="300" spans="1:14" ht="26.45">
      <c r="A300" s="72" t="s">
        <v>244</v>
      </c>
      <c r="B300" s="72" t="s">
        <v>245</v>
      </c>
      <c r="C300" s="72" t="s">
        <v>192</v>
      </c>
      <c r="D300" s="72" t="s">
        <v>215</v>
      </c>
      <c r="E300" s="72" t="s">
        <v>124</v>
      </c>
      <c r="F300" s="72" t="s">
        <v>396</v>
      </c>
      <c r="G300" s="72" t="s">
        <v>289</v>
      </c>
      <c r="H300" s="73">
        <f t="shared" si="26"/>
        <v>7.5</v>
      </c>
      <c r="I300" s="72" t="s">
        <v>134</v>
      </c>
      <c r="J300" s="74" t="s">
        <v>127</v>
      </c>
      <c r="L300" s="17">
        <f t="shared" si="23"/>
        <v>46017</v>
      </c>
      <c r="N300">
        <f t="shared" si="24"/>
        <v>12</v>
      </c>
    </row>
    <row r="301" spans="1:14" ht="26.45">
      <c r="A301" s="72" t="s">
        <v>244</v>
      </c>
      <c r="B301" s="72" t="s">
        <v>245</v>
      </c>
      <c r="C301" s="72" t="s">
        <v>192</v>
      </c>
      <c r="D301" s="72" t="s">
        <v>215</v>
      </c>
      <c r="E301" s="72" t="s">
        <v>124</v>
      </c>
      <c r="F301" s="72" t="s">
        <v>396</v>
      </c>
      <c r="G301" s="72" t="s">
        <v>318</v>
      </c>
      <c r="H301" s="73">
        <f t="shared" si="26"/>
        <v>7.5</v>
      </c>
      <c r="I301" s="72" t="s">
        <v>134</v>
      </c>
      <c r="J301" s="74" t="s">
        <v>127</v>
      </c>
      <c r="L301" s="17">
        <f t="shared" si="23"/>
        <v>46021</v>
      </c>
      <c r="N301">
        <f t="shared" si="24"/>
        <v>12</v>
      </c>
    </row>
    <row r="302" spans="1:14" ht="26.45">
      <c r="A302" s="72" t="s">
        <v>244</v>
      </c>
      <c r="B302" s="72" t="s">
        <v>245</v>
      </c>
      <c r="C302" s="72" t="s">
        <v>192</v>
      </c>
      <c r="D302" s="72" t="s">
        <v>215</v>
      </c>
      <c r="E302" s="72" t="s">
        <v>124</v>
      </c>
      <c r="F302" s="72" t="s">
        <v>396</v>
      </c>
      <c r="G302" s="72" t="s">
        <v>160</v>
      </c>
      <c r="H302" s="73">
        <f t="shared" si="26"/>
        <v>7.5</v>
      </c>
      <c r="I302" s="72" t="s">
        <v>134</v>
      </c>
      <c r="J302" s="74" t="s">
        <v>127</v>
      </c>
      <c r="L302" s="17">
        <f t="shared" si="23"/>
        <v>46014</v>
      </c>
      <c r="N302">
        <f t="shared" si="24"/>
        <v>12</v>
      </c>
    </row>
    <row r="303" spans="1:14" ht="26.45">
      <c r="A303" s="72" t="s">
        <v>79</v>
      </c>
      <c r="B303" s="72" t="s">
        <v>247</v>
      </c>
      <c r="C303" s="72" t="s">
        <v>149</v>
      </c>
      <c r="D303" s="72" t="s">
        <v>139</v>
      </c>
      <c r="E303" s="72" t="s">
        <v>124</v>
      </c>
      <c r="F303" s="72" t="s">
        <v>279</v>
      </c>
      <c r="G303" s="72" t="s">
        <v>290</v>
      </c>
      <c r="H303" s="73">
        <f>ROUND(1,2)</f>
        <v>1</v>
      </c>
      <c r="I303" s="72" t="s">
        <v>126</v>
      </c>
      <c r="J303" s="74" t="s">
        <v>127</v>
      </c>
      <c r="L303" s="17">
        <f t="shared" si="23"/>
        <v>46015</v>
      </c>
      <c r="N303">
        <f t="shared" si="24"/>
        <v>12</v>
      </c>
    </row>
    <row r="304" spans="1:14" ht="26.45">
      <c r="A304" s="72" t="s">
        <v>79</v>
      </c>
      <c r="B304" s="72" t="s">
        <v>247</v>
      </c>
      <c r="C304" s="72" t="s">
        <v>149</v>
      </c>
      <c r="D304" s="72" t="s">
        <v>139</v>
      </c>
      <c r="E304" s="72" t="s">
        <v>124</v>
      </c>
      <c r="F304" s="72" t="s">
        <v>279</v>
      </c>
      <c r="G304" s="72" t="s">
        <v>288</v>
      </c>
      <c r="H304" s="73">
        <f>ROUND(1,2)</f>
        <v>1</v>
      </c>
      <c r="I304" s="72" t="s">
        <v>126</v>
      </c>
      <c r="J304" s="74" t="s">
        <v>127</v>
      </c>
      <c r="L304" s="17">
        <f t="shared" si="23"/>
        <v>46022</v>
      </c>
      <c r="N304">
        <f t="shared" si="24"/>
        <v>12</v>
      </c>
    </row>
    <row r="305" spans="1:14" ht="26.45">
      <c r="A305" s="72" t="s">
        <v>79</v>
      </c>
      <c r="B305" s="72" t="s">
        <v>247</v>
      </c>
      <c r="C305" s="72" t="s">
        <v>149</v>
      </c>
      <c r="D305" s="72" t="s">
        <v>139</v>
      </c>
      <c r="E305" s="72" t="s">
        <v>124</v>
      </c>
      <c r="F305" s="72" t="s">
        <v>279</v>
      </c>
      <c r="G305" s="72" t="s">
        <v>182</v>
      </c>
      <c r="H305" s="73">
        <f>ROUND(1,2)</f>
        <v>1</v>
      </c>
      <c r="I305" s="72" t="s">
        <v>126</v>
      </c>
      <c r="J305" s="74" t="s">
        <v>127</v>
      </c>
      <c r="L305" s="17">
        <f t="shared" si="23"/>
        <v>46020</v>
      </c>
      <c r="N305">
        <f t="shared" si="24"/>
        <v>12</v>
      </c>
    </row>
    <row r="306" spans="1:14" ht="26.45">
      <c r="A306" s="72" t="s">
        <v>79</v>
      </c>
      <c r="B306" s="72" t="s">
        <v>247</v>
      </c>
      <c r="C306" s="72" t="s">
        <v>149</v>
      </c>
      <c r="D306" s="72" t="s">
        <v>139</v>
      </c>
      <c r="E306" s="72" t="s">
        <v>124</v>
      </c>
      <c r="F306" s="72" t="s">
        <v>279</v>
      </c>
      <c r="G306" s="72" t="s">
        <v>318</v>
      </c>
      <c r="H306" s="73">
        <f>ROUND(1,2)</f>
        <v>1</v>
      </c>
      <c r="I306" s="72" t="s">
        <v>126</v>
      </c>
      <c r="J306" s="74" t="s">
        <v>127</v>
      </c>
      <c r="L306" s="17">
        <f t="shared" si="23"/>
        <v>46021</v>
      </c>
      <c r="N306">
        <f t="shared" si="24"/>
        <v>12</v>
      </c>
    </row>
    <row r="307" spans="1:14" ht="26.45">
      <c r="A307" s="72" t="s">
        <v>40</v>
      </c>
      <c r="B307" s="72" t="s">
        <v>249</v>
      </c>
      <c r="C307" s="72" t="s">
        <v>164</v>
      </c>
      <c r="D307" s="72" t="s">
        <v>232</v>
      </c>
      <c r="E307" s="72" t="s">
        <v>124</v>
      </c>
      <c r="F307" s="72" t="s">
        <v>276</v>
      </c>
      <c r="G307" s="72" t="s">
        <v>407</v>
      </c>
      <c r="H307" s="73">
        <f>ROUND(0.5,2)</f>
        <v>0.5</v>
      </c>
      <c r="I307" s="72" t="s">
        <v>126</v>
      </c>
      <c r="J307" s="74" t="s">
        <v>127</v>
      </c>
      <c r="L307" s="17">
        <f t="shared" si="23"/>
        <v>45875</v>
      </c>
      <c r="N307">
        <f t="shared" si="24"/>
        <v>8</v>
      </c>
    </row>
    <row r="308" spans="1:14" ht="26.45">
      <c r="A308" s="72" t="s">
        <v>40</v>
      </c>
      <c r="B308" s="72" t="s">
        <v>249</v>
      </c>
      <c r="C308" s="72" t="s">
        <v>164</v>
      </c>
      <c r="D308" s="72" t="s">
        <v>232</v>
      </c>
      <c r="E308" s="72" t="s">
        <v>124</v>
      </c>
      <c r="F308" s="72" t="s">
        <v>468</v>
      </c>
      <c r="G308" s="72" t="s">
        <v>393</v>
      </c>
      <c r="H308" s="73">
        <f t="shared" ref="H308:H315" si="27">ROUND(1,2)</f>
        <v>1</v>
      </c>
      <c r="I308" s="72" t="s">
        <v>126</v>
      </c>
      <c r="J308" s="74" t="s">
        <v>127</v>
      </c>
      <c r="L308" s="17">
        <f t="shared" si="23"/>
        <v>45735</v>
      </c>
      <c r="N308">
        <f t="shared" si="24"/>
        <v>3</v>
      </c>
    </row>
    <row r="309" spans="1:14" ht="26.45">
      <c r="A309" s="72" t="s">
        <v>40</v>
      </c>
      <c r="B309" s="72" t="s">
        <v>249</v>
      </c>
      <c r="C309" s="72" t="s">
        <v>164</v>
      </c>
      <c r="D309" s="72" t="s">
        <v>232</v>
      </c>
      <c r="E309" s="72" t="s">
        <v>124</v>
      </c>
      <c r="F309" s="72" t="s">
        <v>468</v>
      </c>
      <c r="G309" s="72" t="s">
        <v>321</v>
      </c>
      <c r="H309" s="73">
        <f t="shared" si="27"/>
        <v>1</v>
      </c>
      <c r="I309" s="72" t="s">
        <v>126</v>
      </c>
      <c r="J309" s="74" t="s">
        <v>127</v>
      </c>
      <c r="L309" s="17">
        <f t="shared" si="23"/>
        <v>45733</v>
      </c>
      <c r="N309">
        <f t="shared" si="24"/>
        <v>3</v>
      </c>
    </row>
    <row r="310" spans="1:14" ht="26.45">
      <c r="A310" s="72" t="s">
        <v>40</v>
      </c>
      <c r="B310" s="72" t="s">
        <v>249</v>
      </c>
      <c r="C310" s="72" t="s">
        <v>164</v>
      </c>
      <c r="D310" s="72" t="s">
        <v>232</v>
      </c>
      <c r="E310" s="72" t="s">
        <v>124</v>
      </c>
      <c r="F310" s="72" t="s">
        <v>468</v>
      </c>
      <c r="G310" s="72" t="s">
        <v>473</v>
      </c>
      <c r="H310" s="73">
        <f t="shared" si="27"/>
        <v>1</v>
      </c>
      <c r="I310" s="72" t="s">
        <v>126</v>
      </c>
      <c r="J310" s="74" t="s">
        <v>127</v>
      </c>
      <c r="L310" s="17">
        <f t="shared" si="23"/>
        <v>45744</v>
      </c>
      <c r="N310">
        <f t="shared" si="24"/>
        <v>3</v>
      </c>
    </row>
    <row r="311" spans="1:14" ht="26.45">
      <c r="A311" s="72" t="s">
        <v>40</v>
      </c>
      <c r="B311" s="72" t="s">
        <v>249</v>
      </c>
      <c r="C311" s="72" t="s">
        <v>164</v>
      </c>
      <c r="D311" s="72" t="s">
        <v>232</v>
      </c>
      <c r="E311" s="72" t="s">
        <v>124</v>
      </c>
      <c r="F311" s="72" t="s">
        <v>468</v>
      </c>
      <c r="G311" s="72" t="s">
        <v>464</v>
      </c>
      <c r="H311" s="73">
        <f t="shared" si="27"/>
        <v>1</v>
      </c>
      <c r="I311" s="72" t="s">
        <v>126</v>
      </c>
      <c r="J311" s="74" t="s">
        <v>127</v>
      </c>
      <c r="L311" s="17">
        <f t="shared" si="23"/>
        <v>45740</v>
      </c>
      <c r="N311">
        <f t="shared" si="24"/>
        <v>3</v>
      </c>
    </row>
    <row r="312" spans="1:14" ht="26.45">
      <c r="A312" s="72" t="s">
        <v>40</v>
      </c>
      <c r="B312" s="72" t="s">
        <v>249</v>
      </c>
      <c r="C312" s="72" t="s">
        <v>164</v>
      </c>
      <c r="D312" s="72" t="s">
        <v>232</v>
      </c>
      <c r="E312" s="72" t="s">
        <v>124</v>
      </c>
      <c r="F312" s="72" t="s">
        <v>276</v>
      </c>
      <c r="G312" s="72" t="s">
        <v>404</v>
      </c>
      <c r="H312" s="73">
        <f t="shared" si="27"/>
        <v>1</v>
      </c>
      <c r="I312" s="72" t="s">
        <v>126</v>
      </c>
      <c r="J312" s="74" t="s">
        <v>127</v>
      </c>
      <c r="L312" s="17">
        <f t="shared" si="23"/>
        <v>45877</v>
      </c>
      <c r="N312">
        <f t="shared" si="24"/>
        <v>8</v>
      </c>
    </row>
    <row r="313" spans="1:14" ht="26.45">
      <c r="A313" s="72" t="s">
        <v>40</v>
      </c>
      <c r="B313" s="72" t="s">
        <v>249</v>
      </c>
      <c r="C313" s="72" t="s">
        <v>164</v>
      </c>
      <c r="D313" s="72" t="s">
        <v>232</v>
      </c>
      <c r="E313" s="72" t="s">
        <v>124</v>
      </c>
      <c r="F313" s="72" t="s">
        <v>468</v>
      </c>
      <c r="G313" s="72" t="s">
        <v>474</v>
      </c>
      <c r="H313" s="73">
        <f t="shared" si="27"/>
        <v>1</v>
      </c>
      <c r="I313" s="72" t="s">
        <v>126</v>
      </c>
      <c r="J313" s="74" t="s">
        <v>127</v>
      </c>
      <c r="L313" s="17">
        <f t="shared" si="23"/>
        <v>45741</v>
      </c>
      <c r="N313">
        <f t="shared" si="24"/>
        <v>3</v>
      </c>
    </row>
    <row r="314" spans="1:14" ht="26.45">
      <c r="A314" s="72" t="s">
        <v>40</v>
      </c>
      <c r="B314" s="72" t="s">
        <v>249</v>
      </c>
      <c r="C314" s="72" t="s">
        <v>164</v>
      </c>
      <c r="D314" s="72" t="s">
        <v>232</v>
      </c>
      <c r="E314" s="72" t="s">
        <v>124</v>
      </c>
      <c r="F314" s="72" t="s">
        <v>276</v>
      </c>
      <c r="G314" s="72" t="s">
        <v>341</v>
      </c>
      <c r="H314" s="73">
        <f t="shared" si="27"/>
        <v>1</v>
      </c>
      <c r="I314" s="72" t="s">
        <v>126</v>
      </c>
      <c r="J314" s="74" t="s">
        <v>127</v>
      </c>
      <c r="L314" s="17">
        <f t="shared" si="23"/>
        <v>45856</v>
      </c>
      <c r="N314">
        <f t="shared" si="24"/>
        <v>7</v>
      </c>
    </row>
    <row r="315" spans="1:14" ht="26.45">
      <c r="A315" s="72" t="s">
        <v>40</v>
      </c>
      <c r="B315" s="72" t="s">
        <v>249</v>
      </c>
      <c r="C315" s="72" t="s">
        <v>164</v>
      </c>
      <c r="D315" s="72" t="s">
        <v>232</v>
      </c>
      <c r="E315" s="72" t="s">
        <v>124</v>
      </c>
      <c r="F315" s="72" t="s">
        <v>468</v>
      </c>
      <c r="G315" s="72" t="s">
        <v>422</v>
      </c>
      <c r="H315" s="73">
        <f t="shared" si="27"/>
        <v>1</v>
      </c>
      <c r="I315" s="72" t="s">
        <v>126</v>
      </c>
      <c r="J315" s="74" t="s">
        <v>127</v>
      </c>
      <c r="L315" s="17">
        <f t="shared" si="23"/>
        <v>45742</v>
      </c>
      <c r="N315">
        <f t="shared" si="24"/>
        <v>3</v>
      </c>
    </row>
    <row r="316" spans="1:14" ht="26.45">
      <c r="A316" s="72" t="s">
        <v>40</v>
      </c>
      <c r="B316" s="72" t="s">
        <v>249</v>
      </c>
      <c r="C316" s="72" t="s">
        <v>164</v>
      </c>
      <c r="D316" s="72" t="s">
        <v>232</v>
      </c>
      <c r="E316" s="72" t="s">
        <v>124</v>
      </c>
      <c r="F316" s="72" t="s">
        <v>276</v>
      </c>
      <c r="G316" s="72" t="s">
        <v>405</v>
      </c>
      <c r="H316" s="73">
        <f>ROUND(0.5,2)</f>
        <v>0.5</v>
      </c>
      <c r="I316" s="72" t="s">
        <v>126</v>
      </c>
      <c r="J316" s="74" t="s">
        <v>127</v>
      </c>
      <c r="L316" s="17">
        <f t="shared" si="23"/>
        <v>45876</v>
      </c>
      <c r="N316">
        <f t="shared" si="24"/>
        <v>8</v>
      </c>
    </row>
    <row r="317" spans="1:14" ht="26.45">
      <c r="A317" s="72" t="s">
        <v>40</v>
      </c>
      <c r="B317" s="72" t="s">
        <v>249</v>
      </c>
      <c r="C317" s="72" t="s">
        <v>164</v>
      </c>
      <c r="D317" s="72" t="s">
        <v>232</v>
      </c>
      <c r="E317" s="72" t="s">
        <v>124</v>
      </c>
      <c r="F317" s="72" t="s">
        <v>276</v>
      </c>
      <c r="G317" s="72" t="s">
        <v>342</v>
      </c>
      <c r="H317" s="73">
        <f t="shared" ref="H317:H338" si="28">ROUND(1,2)</f>
        <v>1</v>
      </c>
      <c r="I317" s="72" t="s">
        <v>126</v>
      </c>
      <c r="J317" s="74" t="s">
        <v>127</v>
      </c>
      <c r="L317" s="17">
        <f t="shared" si="23"/>
        <v>45855</v>
      </c>
      <c r="N317">
        <f t="shared" si="24"/>
        <v>7</v>
      </c>
    </row>
    <row r="318" spans="1:14" ht="26.45">
      <c r="A318" s="72" t="s">
        <v>40</v>
      </c>
      <c r="B318" s="72" t="s">
        <v>249</v>
      </c>
      <c r="C318" s="72" t="s">
        <v>164</v>
      </c>
      <c r="D318" s="72" t="s">
        <v>232</v>
      </c>
      <c r="E318" s="72" t="s">
        <v>124</v>
      </c>
      <c r="F318" s="72" t="s">
        <v>276</v>
      </c>
      <c r="G318" s="72" t="s">
        <v>273</v>
      </c>
      <c r="H318" s="73">
        <f t="shared" si="28"/>
        <v>1</v>
      </c>
      <c r="I318" s="72" t="s">
        <v>126</v>
      </c>
      <c r="J318" s="74" t="s">
        <v>127</v>
      </c>
      <c r="L318" s="17">
        <f t="shared" si="23"/>
        <v>45859</v>
      </c>
      <c r="N318">
        <f t="shared" si="24"/>
        <v>7</v>
      </c>
    </row>
    <row r="319" spans="1:14" ht="26.45">
      <c r="A319" s="72" t="s">
        <v>40</v>
      </c>
      <c r="B319" s="72" t="s">
        <v>249</v>
      </c>
      <c r="C319" s="72" t="s">
        <v>164</v>
      </c>
      <c r="D319" s="72" t="s">
        <v>232</v>
      </c>
      <c r="E319" s="72" t="s">
        <v>124</v>
      </c>
      <c r="F319" s="72" t="s">
        <v>468</v>
      </c>
      <c r="G319" s="72" t="s">
        <v>362</v>
      </c>
      <c r="H319" s="73">
        <f t="shared" si="28"/>
        <v>1</v>
      </c>
      <c r="I319" s="72" t="s">
        <v>126</v>
      </c>
      <c r="J319" s="74" t="s">
        <v>127</v>
      </c>
      <c r="L319" s="17">
        <f t="shared" si="23"/>
        <v>45736</v>
      </c>
      <c r="N319">
        <f t="shared" si="24"/>
        <v>3</v>
      </c>
    </row>
    <row r="320" spans="1:14" ht="26.45">
      <c r="A320" s="72" t="s">
        <v>40</v>
      </c>
      <c r="B320" s="72" t="s">
        <v>249</v>
      </c>
      <c r="C320" s="72" t="s">
        <v>164</v>
      </c>
      <c r="D320" s="72" t="s">
        <v>232</v>
      </c>
      <c r="E320" s="72" t="s">
        <v>124</v>
      </c>
      <c r="F320" s="72" t="s">
        <v>468</v>
      </c>
      <c r="G320" s="72" t="s">
        <v>475</v>
      </c>
      <c r="H320" s="73">
        <f t="shared" si="28"/>
        <v>1</v>
      </c>
      <c r="I320" s="72" t="s">
        <v>126</v>
      </c>
      <c r="J320" s="74" t="s">
        <v>127</v>
      </c>
      <c r="L320" s="17">
        <f t="shared" si="23"/>
        <v>45737</v>
      </c>
      <c r="N320">
        <f t="shared" si="24"/>
        <v>3</v>
      </c>
    </row>
    <row r="321" spans="1:14" ht="26.45">
      <c r="A321" s="72" t="s">
        <v>40</v>
      </c>
      <c r="B321" s="72" t="s">
        <v>249</v>
      </c>
      <c r="C321" s="72" t="s">
        <v>164</v>
      </c>
      <c r="D321" s="72" t="s">
        <v>232</v>
      </c>
      <c r="E321" s="72" t="s">
        <v>124</v>
      </c>
      <c r="F321" s="72" t="s">
        <v>276</v>
      </c>
      <c r="G321" s="72" t="s">
        <v>476</v>
      </c>
      <c r="H321" s="73">
        <f t="shared" si="28"/>
        <v>1</v>
      </c>
      <c r="I321" s="72" t="s">
        <v>126</v>
      </c>
      <c r="J321" s="74" t="s">
        <v>127</v>
      </c>
      <c r="L321" s="17">
        <f t="shared" si="23"/>
        <v>45873</v>
      </c>
      <c r="N321">
        <f t="shared" si="24"/>
        <v>8</v>
      </c>
    </row>
    <row r="322" spans="1:14" ht="26.45">
      <c r="A322" s="72" t="s">
        <v>40</v>
      </c>
      <c r="B322" s="72" t="s">
        <v>249</v>
      </c>
      <c r="C322" s="72" t="s">
        <v>164</v>
      </c>
      <c r="D322" s="72" t="s">
        <v>232</v>
      </c>
      <c r="E322" s="72" t="s">
        <v>124</v>
      </c>
      <c r="F322" s="72" t="s">
        <v>468</v>
      </c>
      <c r="G322" s="72" t="s">
        <v>299</v>
      </c>
      <c r="H322" s="73">
        <f t="shared" si="28"/>
        <v>1</v>
      </c>
      <c r="I322" s="72" t="s">
        <v>126</v>
      </c>
      <c r="J322" s="74" t="s">
        <v>127</v>
      </c>
      <c r="L322" s="17">
        <f t="shared" si="23"/>
        <v>45743</v>
      </c>
      <c r="N322">
        <f t="shared" si="24"/>
        <v>3</v>
      </c>
    </row>
    <row r="323" spans="1:14" ht="26.45">
      <c r="A323" s="72" t="s">
        <v>40</v>
      </c>
      <c r="B323" s="72" t="s">
        <v>249</v>
      </c>
      <c r="C323" s="72" t="s">
        <v>164</v>
      </c>
      <c r="D323" s="72" t="s">
        <v>232</v>
      </c>
      <c r="E323" s="72" t="s">
        <v>124</v>
      </c>
      <c r="F323" s="72" t="s">
        <v>321</v>
      </c>
      <c r="G323" s="72" t="s">
        <v>477</v>
      </c>
      <c r="H323" s="73">
        <f t="shared" si="28"/>
        <v>1</v>
      </c>
      <c r="I323" s="72" t="s">
        <v>126</v>
      </c>
      <c r="J323" s="74" t="s">
        <v>127</v>
      </c>
      <c r="L323" s="17">
        <f t="shared" ref="L323:L386" si="29">DATE(RIGHT(G323,4), MID(G323,4,2), LEFT(G323,2))</f>
        <v>45732</v>
      </c>
      <c r="N323">
        <f t="shared" ref="N323:N386" si="30">MONTH(L323)</f>
        <v>3</v>
      </c>
    </row>
    <row r="324" spans="1:14" ht="26.45">
      <c r="A324" s="72" t="s">
        <v>40</v>
      </c>
      <c r="B324" s="72" t="s">
        <v>249</v>
      </c>
      <c r="C324" s="72" t="s">
        <v>164</v>
      </c>
      <c r="D324" s="72" t="s">
        <v>232</v>
      </c>
      <c r="E324" s="72" t="s">
        <v>124</v>
      </c>
      <c r="F324" s="72" t="s">
        <v>468</v>
      </c>
      <c r="G324" s="72" t="s">
        <v>363</v>
      </c>
      <c r="H324" s="73">
        <f t="shared" si="28"/>
        <v>1</v>
      </c>
      <c r="I324" s="72" t="s">
        <v>126</v>
      </c>
      <c r="J324" s="74" t="s">
        <v>127</v>
      </c>
      <c r="L324" s="17">
        <f t="shared" si="29"/>
        <v>45734</v>
      </c>
      <c r="N324">
        <f t="shared" si="30"/>
        <v>3</v>
      </c>
    </row>
    <row r="325" spans="1:14">
      <c r="A325" s="72" t="s">
        <v>61</v>
      </c>
      <c r="B325" s="72" t="s">
        <v>478</v>
      </c>
      <c r="C325" s="72" t="s">
        <v>138</v>
      </c>
      <c r="D325" s="72" t="s">
        <v>139</v>
      </c>
      <c r="E325" s="72" t="s">
        <v>124</v>
      </c>
      <c r="F325" s="72" t="s">
        <v>206</v>
      </c>
      <c r="G325" s="72" t="s">
        <v>479</v>
      </c>
      <c r="H325" s="73">
        <f t="shared" si="28"/>
        <v>1</v>
      </c>
      <c r="I325" s="72" t="s">
        <v>126</v>
      </c>
      <c r="J325" s="74" t="s">
        <v>127</v>
      </c>
      <c r="L325" s="17">
        <f t="shared" si="29"/>
        <v>46001</v>
      </c>
      <c r="N325">
        <f t="shared" si="30"/>
        <v>12</v>
      </c>
    </row>
    <row r="326" spans="1:14" ht="26.45">
      <c r="A326" s="72" t="s">
        <v>56</v>
      </c>
      <c r="B326" s="72" t="s">
        <v>255</v>
      </c>
      <c r="C326" s="72" t="s">
        <v>256</v>
      </c>
      <c r="D326" s="72" t="s">
        <v>165</v>
      </c>
      <c r="E326" s="72" t="s">
        <v>124</v>
      </c>
      <c r="F326" s="72" t="s">
        <v>480</v>
      </c>
      <c r="G326" s="72" t="s">
        <v>277</v>
      </c>
      <c r="H326" s="73">
        <f t="shared" si="28"/>
        <v>1</v>
      </c>
      <c r="I326" s="72" t="s">
        <v>126</v>
      </c>
      <c r="J326" s="74" t="s">
        <v>127</v>
      </c>
      <c r="L326" s="17">
        <f t="shared" si="29"/>
        <v>45838</v>
      </c>
      <c r="N326">
        <f t="shared" si="30"/>
        <v>6</v>
      </c>
    </row>
    <row r="327" spans="1:14" ht="26.45">
      <c r="A327" s="72" t="s">
        <v>56</v>
      </c>
      <c r="B327" s="72" t="s">
        <v>255</v>
      </c>
      <c r="C327" s="72" t="s">
        <v>256</v>
      </c>
      <c r="D327" s="72" t="s">
        <v>165</v>
      </c>
      <c r="E327" s="72" t="s">
        <v>124</v>
      </c>
      <c r="F327" s="72" t="s">
        <v>480</v>
      </c>
      <c r="G327" s="72" t="s">
        <v>274</v>
      </c>
      <c r="H327" s="73">
        <f t="shared" si="28"/>
        <v>1</v>
      </c>
      <c r="I327" s="72" t="s">
        <v>126</v>
      </c>
      <c r="J327" s="74" t="s">
        <v>127</v>
      </c>
      <c r="L327" s="17">
        <f t="shared" si="29"/>
        <v>45890</v>
      </c>
      <c r="N327">
        <f t="shared" si="30"/>
        <v>8</v>
      </c>
    </row>
    <row r="328" spans="1:14" ht="26.45">
      <c r="A328" s="72" t="s">
        <v>56</v>
      </c>
      <c r="B328" s="72" t="s">
        <v>255</v>
      </c>
      <c r="C328" s="72" t="s">
        <v>256</v>
      </c>
      <c r="D328" s="72" t="s">
        <v>165</v>
      </c>
      <c r="E328" s="72" t="s">
        <v>124</v>
      </c>
      <c r="F328" s="72" t="s">
        <v>480</v>
      </c>
      <c r="G328" s="72" t="s">
        <v>275</v>
      </c>
      <c r="H328" s="73">
        <f t="shared" si="28"/>
        <v>1</v>
      </c>
      <c r="I328" s="72" t="s">
        <v>126</v>
      </c>
      <c r="J328" s="74" t="s">
        <v>127</v>
      </c>
      <c r="L328" s="17">
        <f t="shared" si="29"/>
        <v>45891</v>
      </c>
      <c r="N328">
        <f t="shared" si="30"/>
        <v>8</v>
      </c>
    </row>
    <row r="329" spans="1:14" ht="26.45">
      <c r="A329" s="72" t="s">
        <v>56</v>
      </c>
      <c r="B329" s="72" t="s">
        <v>255</v>
      </c>
      <c r="C329" s="72" t="s">
        <v>256</v>
      </c>
      <c r="D329" s="72" t="s">
        <v>165</v>
      </c>
      <c r="E329" s="72" t="s">
        <v>124</v>
      </c>
      <c r="F329" s="72" t="s">
        <v>480</v>
      </c>
      <c r="G329" s="72" t="s">
        <v>284</v>
      </c>
      <c r="H329" s="73">
        <f t="shared" si="28"/>
        <v>1</v>
      </c>
      <c r="I329" s="72" t="s">
        <v>126</v>
      </c>
      <c r="J329" s="74" t="s">
        <v>127</v>
      </c>
      <c r="L329" s="17">
        <f t="shared" si="29"/>
        <v>45889</v>
      </c>
      <c r="N329">
        <f t="shared" si="30"/>
        <v>8</v>
      </c>
    </row>
    <row r="330" spans="1:14" ht="26.45">
      <c r="A330" s="72" t="s">
        <v>56</v>
      </c>
      <c r="B330" s="72" t="s">
        <v>255</v>
      </c>
      <c r="C330" s="72" t="s">
        <v>256</v>
      </c>
      <c r="D330" s="72" t="s">
        <v>165</v>
      </c>
      <c r="E330" s="72" t="s">
        <v>124</v>
      </c>
      <c r="F330" s="72" t="s">
        <v>480</v>
      </c>
      <c r="G330" s="72" t="s">
        <v>286</v>
      </c>
      <c r="H330" s="73">
        <f t="shared" si="28"/>
        <v>1</v>
      </c>
      <c r="I330" s="72" t="s">
        <v>126</v>
      </c>
      <c r="J330" s="74" t="s">
        <v>127</v>
      </c>
      <c r="L330" s="17">
        <f t="shared" si="29"/>
        <v>45888</v>
      </c>
      <c r="N330">
        <f t="shared" si="30"/>
        <v>8</v>
      </c>
    </row>
    <row r="331" spans="1:14" ht="26.45">
      <c r="A331" s="72" t="s">
        <v>56</v>
      </c>
      <c r="B331" s="72" t="s">
        <v>255</v>
      </c>
      <c r="C331" s="72" t="s">
        <v>256</v>
      </c>
      <c r="D331" s="72" t="s">
        <v>165</v>
      </c>
      <c r="E331" s="72" t="s">
        <v>124</v>
      </c>
      <c r="F331" s="72" t="s">
        <v>480</v>
      </c>
      <c r="G331" s="72" t="s">
        <v>279</v>
      </c>
      <c r="H331" s="73">
        <f t="shared" si="28"/>
        <v>1</v>
      </c>
      <c r="I331" s="72" t="s">
        <v>126</v>
      </c>
      <c r="J331" s="74" t="s">
        <v>127</v>
      </c>
      <c r="L331" s="17">
        <f t="shared" si="29"/>
        <v>45887</v>
      </c>
      <c r="N331">
        <f t="shared" si="30"/>
        <v>8</v>
      </c>
    </row>
    <row r="332" spans="1:14" ht="26.45">
      <c r="A332" s="72" t="s">
        <v>56</v>
      </c>
      <c r="B332" s="72" t="s">
        <v>255</v>
      </c>
      <c r="C332" s="72" t="s">
        <v>256</v>
      </c>
      <c r="D332" s="72" t="s">
        <v>165</v>
      </c>
      <c r="E332" s="72" t="s">
        <v>124</v>
      </c>
      <c r="F332" s="72" t="s">
        <v>333</v>
      </c>
      <c r="G332" s="72" t="s">
        <v>481</v>
      </c>
      <c r="H332" s="73">
        <f t="shared" si="28"/>
        <v>1</v>
      </c>
      <c r="I332" s="72" t="s">
        <v>126</v>
      </c>
      <c r="J332" s="74" t="s">
        <v>127</v>
      </c>
      <c r="L332" s="17">
        <f t="shared" si="29"/>
        <v>45944</v>
      </c>
      <c r="N332">
        <f t="shared" si="30"/>
        <v>10</v>
      </c>
    </row>
    <row r="333" spans="1:14" ht="26.45">
      <c r="A333" s="72" t="s">
        <v>56</v>
      </c>
      <c r="B333" s="72" t="s">
        <v>255</v>
      </c>
      <c r="C333" s="72" t="s">
        <v>256</v>
      </c>
      <c r="D333" s="72" t="s">
        <v>165</v>
      </c>
      <c r="E333" s="72" t="s">
        <v>124</v>
      </c>
      <c r="F333" s="72" t="s">
        <v>308</v>
      </c>
      <c r="G333" s="72" t="s">
        <v>322</v>
      </c>
      <c r="H333" s="73">
        <f t="shared" si="28"/>
        <v>1</v>
      </c>
      <c r="I333" s="72" t="s">
        <v>126</v>
      </c>
      <c r="J333" s="74" t="s">
        <v>127</v>
      </c>
      <c r="L333" s="17">
        <f t="shared" si="29"/>
        <v>45768</v>
      </c>
      <c r="N333">
        <f t="shared" si="30"/>
        <v>4</v>
      </c>
    </row>
    <row r="334" spans="1:14" ht="26.45">
      <c r="A334" s="72" t="s">
        <v>56</v>
      </c>
      <c r="B334" s="72" t="s">
        <v>255</v>
      </c>
      <c r="C334" s="72" t="s">
        <v>256</v>
      </c>
      <c r="D334" s="72" t="s">
        <v>165</v>
      </c>
      <c r="E334" s="72" t="s">
        <v>124</v>
      </c>
      <c r="F334" s="72" t="s">
        <v>333</v>
      </c>
      <c r="G334" s="72" t="s">
        <v>340</v>
      </c>
      <c r="H334" s="73">
        <f t="shared" si="28"/>
        <v>1</v>
      </c>
      <c r="I334" s="72" t="s">
        <v>126</v>
      </c>
      <c r="J334" s="74" t="s">
        <v>127</v>
      </c>
      <c r="L334" s="17">
        <f t="shared" si="29"/>
        <v>45940</v>
      </c>
      <c r="N334">
        <f t="shared" si="30"/>
        <v>10</v>
      </c>
    </row>
    <row r="335" spans="1:14">
      <c r="A335" s="72" t="s">
        <v>88</v>
      </c>
      <c r="B335" s="72" t="s">
        <v>259</v>
      </c>
      <c r="C335" s="72" t="s">
        <v>159</v>
      </c>
      <c r="D335" s="72" t="s">
        <v>139</v>
      </c>
      <c r="E335" s="72" t="s">
        <v>124</v>
      </c>
      <c r="F335" s="72" t="s">
        <v>409</v>
      </c>
      <c r="G335" s="72" t="s">
        <v>416</v>
      </c>
      <c r="H335" s="73">
        <f t="shared" si="28"/>
        <v>1</v>
      </c>
      <c r="I335" s="72" t="s">
        <v>126</v>
      </c>
      <c r="J335" s="74" t="s">
        <v>127</v>
      </c>
      <c r="L335" s="17">
        <f t="shared" si="29"/>
        <v>45713</v>
      </c>
      <c r="N335">
        <f t="shared" si="30"/>
        <v>2</v>
      </c>
    </row>
    <row r="336" spans="1:14">
      <c r="A336" s="72" t="s">
        <v>88</v>
      </c>
      <c r="B336" s="72" t="s">
        <v>259</v>
      </c>
      <c r="C336" s="72" t="s">
        <v>159</v>
      </c>
      <c r="D336" s="72" t="s">
        <v>139</v>
      </c>
      <c r="E336" s="72" t="s">
        <v>124</v>
      </c>
      <c r="F336" s="72" t="s">
        <v>409</v>
      </c>
      <c r="G336" s="72" t="s">
        <v>453</v>
      </c>
      <c r="H336" s="73">
        <f t="shared" si="28"/>
        <v>1</v>
      </c>
      <c r="I336" s="72" t="s">
        <v>126</v>
      </c>
      <c r="J336" s="74" t="s">
        <v>127</v>
      </c>
      <c r="L336" s="17">
        <f t="shared" si="29"/>
        <v>45715</v>
      </c>
      <c r="N336">
        <f t="shared" si="30"/>
        <v>2</v>
      </c>
    </row>
    <row r="337" spans="1:14">
      <c r="A337" s="72" t="s">
        <v>88</v>
      </c>
      <c r="B337" s="72" t="s">
        <v>259</v>
      </c>
      <c r="C337" s="72" t="s">
        <v>159</v>
      </c>
      <c r="D337" s="72" t="s">
        <v>139</v>
      </c>
      <c r="E337" s="72" t="s">
        <v>124</v>
      </c>
      <c r="F337" s="72" t="s">
        <v>482</v>
      </c>
      <c r="G337" s="72" t="s">
        <v>379</v>
      </c>
      <c r="H337" s="73">
        <f t="shared" si="28"/>
        <v>1</v>
      </c>
      <c r="I337" s="72" t="s">
        <v>126</v>
      </c>
      <c r="J337" s="74" t="s">
        <v>127</v>
      </c>
      <c r="L337" s="17">
        <f t="shared" si="29"/>
        <v>45799</v>
      </c>
      <c r="N337">
        <f t="shared" si="30"/>
        <v>5</v>
      </c>
    </row>
    <row r="338" spans="1:14">
      <c r="A338" s="72" t="s">
        <v>88</v>
      </c>
      <c r="B338" s="72" t="s">
        <v>259</v>
      </c>
      <c r="C338" s="72" t="s">
        <v>159</v>
      </c>
      <c r="D338" s="72" t="s">
        <v>139</v>
      </c>
      <c r="E338" s="72" t="s">
        <v>124</v>
      </c>
      <c r="F338" s="72" t="s">
        <v>482</v>
      </c>
      <c r="G338" s="72" t="s">
        <v>390</v>
      </c>
      <c r="H338" s="73">
        <f t="shared" si="28"/>
        <v>1</v>
      </c>
      <c r="I338" s="72" t="s">
        <v>126</v>
      </c>
      <c r="J338" s="74" t="s">
        <v>127</v>
      </c>
      <c r="L338" s="17">
        <f t="shared" si="29"/>
        <v>45800</v>
      </c>
      <c r="N338">
        <f t="shared" si="30"/>
        <v>5</v>
      </c>
    </row>
    <row r="339" spans="1:14">
      <c r="A339" s="72" t="s">
        <v>88</v>
      </c>
      <c r="B339" s="72" t="s">
        <v>259</v>
      </c>
      <c r="C339" s="72" t="s">
        <v>159</v>
      </c>
      <c r="D339" s="72" t="s">
        <v>139</v>
      </c>
      <c r="E339" s="72" t="s">
        <v>124</v>
      </c>
      <c r="F339" s="72" t="s">
        <v>327</v>
      </c>
      <c r="G339" s="72" t="s">
        <v>462</v>
      </c>
      <c r="H339" s="73">
        <f>ROUND(0.5,2)</f>
        <v>0.5</v>
      </c>
      <c r="I339" s="72" t="s">
        <v>126</v>
      </c>
      <c r="J339" s="74" t="s">
        <v>127</v>
      </c>
      <c r="L339" s="17">
        <f t="shared" si="29"/>
        <v>45931</v>
      </c>
      <c r="N339">
        <f t="shared" si="30"/>
        <v>10</v>
      </c>
    </row>
    <row r="340" spans="1:14">
      <c r="A340" s="72" t="s">
        <v>88</v>
      </c>
      <c r="B340" s="72" t="s">
        <v>259</v>
      </c>
      <c r="C340" s="72" t="s">
        <v>159</v>
      </c>
      <c r="D340" s="72" t="s">
        <v>139</v>
      </c>
      <c r="E340" s="72" t="s">
        <v>124</v>
      </c>
      <c r="F340" s="72" t="s">
        <v>361</v>
      </c>
      <c r="G340" s="72" t="s">
        <v>365</v>
      </c>
      <c r="H340" s="73">
        <f>ROUND(0.5,2)</f>
        <v>0.5</v>
      </c>
      <c r="I340" s="72" t="s">
        <v>126</v>
      </c>
      <c r="J340" s="74" t="s">
        <v>127</v>
      </c>
      <c r="L340" s="17">
        <f t="shared" si="29"/>
        <v>45827</v>
      </c>
      <c r="N340">
        <f t="shared" si="30"/>
        <v>6</v>
      </c>
    </row>
    <row r="341" spans="1:14">
      <c r="A341" s="72" t="s">
        <v>88</v>
      </c>
      <c r="B341" s="72" t="s">
        <v>259</v>
      </c>
      <c r="C341" s="72" t="s">
        <v>159</v>
      </c>
      <c r="D341" s="72" t="s">
        <v>139</v>
      </c>
      <c r="E341" s="72" t="s">
        <v>124</v>
      </c>
      <c r="F341" s="72" t="s">
        <v>317</v>
      </c>
      <c r="G341" s="72" t="s">
        <v>313</v>
      </c>
      <c r="H341" s="73">
        <f>ROUND(0.5,2)</f>
        <v>0.5</v>
      </c>
      <c r="I341" s="72" t="s">
        <v>126</v>
      </c>
      <c r="J341" s="74" t="s">
        <v>127</v>
      </c>
      <c r="L341" s="17">
        <f t="shared" si="29"/>
        <v>45813</v>
      </c>
      <c r="N341">
        <f t="shared" si="30"/>
        <v>6</v>
      </c>
    </row>
    <row r="342" spans="1:14">
      <c r="A342" s="72" t="s">
        <v>88</v>
      </c>
      <c r="B342" s="72" t="s">
        <v>259</v>
      </c>
      <c r="C342" s="72" t="s">
        <v>159</v>
      </c>
      <c r="D342" s="72" t="s">
        <v>139</v>
      </c>
      <c r="E342" s="72" t="s">
        <v>124</v>
      </c>
      <c r="F342" s="72" t="s">
        <v>483</v>
      </c>
      <c r="G342" s="72" t="s">
        <v>329</v>
      </c>
      <c r="H342" s="73">
        <f>ROUND(1,2)</f>
        <v>1</v>
      </c>
      <c r="I342" s="72" t="s">
        <v>126</v>
      </c>
      <c r="J342" s="74" t="s">
        <v>127</v>
      </c>
      <c r="L342" s="17">
        <f t="shared" si="29"/>
        <v>45916</v>
      </c>
      <c r="N342">
        <f t="shared" si="30"/>
        <v>9</v>
      </c>
    </row>
    <row r="343" spans="1:14">
      <c r="A343" s="72" t="s">
        <v>88</v>
      </c>
      <c r="B343" s="72" t="s">
        <v>259</v>
      </c>
      <c r="C343" s="72" t="s">
        <v>159</v>
      </c>
      <c r="D343" s="72" t="s">
        <v>139</v>
      </c>
      <c r="E343" s="72" t="s">
        <v>124</v>
      </c>
      <c r="F343" s="72" t="s">
        <v>482</v>
      </c>
      <c r="G343" s="72" t="s">
        <v>389</v>
      </c>
      <c r="H343" s="73">
        <f>ROUND(1,2)</f>
        <v>1</v>
      </c>
      <c r="I343" s="72" t="s">
        <v>126</v>
      </c>
      <c r="J343" s="74" t="s">
        <v>127</v>
      </c>
      <c r="L343" s="17">
        <f t="shared" si="29"/>
        <v>45798</v>
      </c>
      <c r="N343">
        <f t="shared" si="30"/>
        <v>5</v>
      </c>
    </row>
    <row r="344" spans="1:14">
      <c r="A344" s="72" t="s">
        <v>88</v>
      </c>
      <c r="B344" s="72" t="s">
        <v>259</v>
      </c>
      <c r="C344" s="72" t="s">
        <v>159</v>
      </c>
      <c r="D344" s="72" t="s">
        <v>139</v>
      </c>
      <c r="E344" s="72" t="s">
        <v>124</v>
      </c>
      <c r="F344" s="72" t="s">
        <v>482</v>
      </c>
      <c r="G344" s="72" t="s">
        <v>387</v>
      </c>
      <c r="H344" s="73">
        <f>ROUND(1,2)</f>
        <v>1</v>
      </c>
      <c r="I344" s="72" t="s">
        <v>126</v>
      </c>
      <c r="J344" s="74" t="s">
        <v>127</v>
      </c>
      <c r="L344" s="17">
        <f t="shared" si="29"/>
        <v>45797</v>
      </c>
      <c r="N344">
        <f t="shared" si="30"/>
        <v>5</v>
      </c>
    </row>
    <row r="345" spans="1:14">
      <c r="A345" s="72" t="s">
        <v>88</v>
      </c>
      <c r="B345" s="72" t="s">
        <v>259</v>
      </c>
      <c r="C345" s="72" t="s">
        <v>159</v>
      </c>
      <c r="D345" s="72" t="s">
        <v>139</v>
      </c>
      <c r="E345" s="72" t="s">
        <v>124</v>
      </c>
      <c r="F345" s="72" t="s">
        <v>409</v>
      </c>
      <c r="G345" s="72" t="s">
        <v>450</v>
      </c>
      <c r="H345" s="73">
        <f>ROUND(1,2)</f>
        <v>1</v>
      </c>
      <c r="I345" s="72" t="s">
        <v>126</v>
      </c>
      <c r="J345" s="74" t="s">
        <v>127</v>
      </c>
      <c r="L345" s="17">
        <f t="shared" si="29"/>
        <v>45714</v>
      </c>
      <c r="N345">
        <f t="shared" si="30"/>
        <v>2</v>
      </c>
    </row>
    <row r="346" spans="1:14">
      <c r="A346" s="72" t="s">
        <v>29</v>
      </c>
      <c r="B346" s="72" t="s">
        <v>261</v>
      </c>
      <c r="C346" s="72" t="s">
        <v>159</v>
      </c>
      <c r="D346" s="72" t="s">
        <v>262</v>
      </c>
      <c r="E346" s="72" t="s">
        <v>124</v>
      </c>
      <c r="F346" s="72" t="s">
        <v>321</v>
      </c>
      <c r="G346" s="72" t="s">
        <v>378</v>
      </c>
      <c r="H346" s="73">
        <f>ROUND(1,2)</f>
        <v>1</v>
      </c>
      <c r="I346" s="72" t="s">
        <v>126</v>
      </c>
      <c r="J346" s="74" t="s">
        <v>127</v>
      </c>
      <c r="L346" s="17">
        <f t="shared" si="29"/>
        <v>45860</v>
      </c>
      <c r="N346">
        <f t="shared" si="30"/>
        <v>7</v>
      </c>
    </row>
    <row r="347" spans="1:14">
      <c r="A347" s="72" t="s">
        <v>29</v>
      </c>
      <c r="B347" s="72" t="s">
        <v>261</v>
      </c>
      <c r="C347" s="72" t="s">
        <v>159</v>
      </c>
      <c r="D347" s="72" t="s">
        <v>262</v>
      </c>
      <c r="E347" s="72" t="s">
        <v>124</v>
      </c>
      <c r="F347" s="72" t="s">
        <v>309</v>
      </c>
      <c r="G347" s="72" t="s">
        <v>290</v>
      </c>
      <c r="H347" s="73">
        <f>ROUND(0.5,2)</f>
        <v>0.5</v>
      </c>
      <c r="I347" s="72" t="s">
        <v>126</v>
      </c>
      <c r="J347" s="74" t="s">
        <v>127</v>
      </c>
      <c r="L347" s="17">
        <f t="shared" si="29"/>
        <v>46015</v>
      </c>
      <c r="N347">
        <f t="shared" si="30"/>
        <v>12</v>
      </c>
    </row>
    <row r="348" spans="1:14">
      <c r="A348" s="72" t="s">
        <v>29</v>
      </c>
      <c r="B348" s="72" t="s">
        <v>261</v>
      </c>
      <c r="C348" s="72" t="s">
        <v>159</v>
      </c>
      <c r="D348" s="72" t="s">
        <v>262</v>
      </c>
      <c r="E348" s="72" t="s">
        <v>124</v>
      </c>
      <c r="F348" s="72" t="s">
        <v>484</v>
      </c>
      <c r="G348" s="72" t="s">
        <v>332</v>
      </c>
      <c r="H348" s="73">
        <f>ROUND(1,2)</f>
        <v>1</v>
      </c>
      <c r="I348" s="72" t="s">
        <v>126</v>
      </c>
      <c r="J348" s="74" t="s">
        <v>127</v>
      </c>
      <c r="L348" s="17">
        <f t="shared" si="29"/>
        <v>45772</v>
      </c>
      <c r="N348">
        <f t="shared" si="30"/>
        <v>4</v>
      </c>
    </row>
    <row r="349" spans="1:14">
      <c r="A349" s="72" t="s">
        <v>29</v>
      </c>
      <c r="B349" s="72" t="s">
        <v>261</v>
      </c>
      <c r="C349" s="72" t="s">
        <v>159</v>
      </c>
      <c r="D349" s="72" t="s">
        <v>262</v>
      </c>
      <c r="E349" s="72" t="s">
        <v>124</v>
      </c>
      <c r="F349" s="72" t="s">
        <v>484</v>
      </c>
      <c r="G349" s="72" t="s">
        <v>382</v>
      </c>
      <c r="H349" s="73">
        <f>ROUND(1,2)</f>
        <v>1</v>
      </c>
      <c r="I349" s="72" t="s">
        <v>126</v>
      </c>
      <c r="J349" s="74" t="s">
        <v>127</v>
      </c>
      <c r="L349" s="17">
        <f t="shared" si="29"/>
        <v>45769</v>
      </c>
      <c r="N349">
        <f t="shared" si="30"/>
        <v>4</v>
      </c>
    </row>
    <row r="350" spans="1:14">
      <c r="A350" s="72" t="s">
        <v>29</v>
      </c>
      <c r="B350" s="72" t="s">
        <v>261</v>
      </c>
      <c r="C350" s="72" t="s">
        <v>159</v>
      </c>
      <c r="D350" s="72" t="s">
        <v>262</v>
      </c>
      <c r="E350" s="72" t="s">
        <v>124</v>
      </c>
      <c r="F350" s="72" t="s">
        <v>321</v>
      </c>
      <c r="G350" s="72" t="s">
        <v>285</v>
      </c>
      <c r="H350" s="73">
        <f>ROUND(1,2)</f>
        <v>1</v>
      </c>
      <c r="I350" s="72" t="s">
        <v>126</v>
      </c>
      <c r="J350" s="74" t="s">
        <v>127</v>
      </c>
      <c r="L350" s="17">
        <f t="shared" si="29"/>
        <v>45895</v>
      </c>
      <c r="N350">
        <f t="shared" si="30"/>
        <v>8</v>
      </c>
    </row>
    <row r="351" spans="1:14">
      <c r="A351" s="72" t="s">
        <v>29</v>
      </c>
      <c r="B351" s="72" t="s">
        <v>261</v>
      </c>
      <c r="C351" s="72" t="s">
        <v>159</v>
      </c>
      <c r="D351" s="72" t="s">
        <v>262</v>
      </c>
      <c r="E351" s="72" t="s">
        <v>124</v>
      </c>
      <c r="F351" s="72" t="s">
        <v>309</v>
      </c>
      <c r="G351" s="72" t="s">
        <v>288</v>
      </c>
      <c r="H351" s="73">
        <f>ROUND(0.5,2)</f>
        <v>0.5</v>
      </c>
      <c r="I351" s="72" t="s">
        <v>126</v>
      </c>
      <c r="J351" s="74" t="s">
        <v>127</v>
      </c>
      <c r="L351" s="17">
        <f t="shared" si="29"/>
        <v>46022</v>
      </c>
      <c r="N351">
        <f t="shared" si="30"/>
        <v>12</v>
      </c>
    </row>
    <row r="352" spans="1:14">
      <c r="A352" s="72" t="s">
        <v>29</v>
      </c>
      <c r="B352" s="72" t="s">
        <v>261</v>
      </c>
      <c r="C352" s="72" t="s">
        <v>159</v>
      </c>
      <c r="D352" s="72" t="s">
        <v>262</v>
      </c>
      <c r="E352" s="72" t="s">
        <v>124</v>
      </c>
      <c r="F352" s="72" t="s">
        <v>321</v>
      </c>
      <c r="G352" s="72" t="s">
        <v>282</v>
      </c>
      <c r="H352" s="73">
        <f>ROUND(1,2)</f>
        <v>1</v>
      </c>
      <c r="I352" s="72" t="s">
        <v>126</v>
      </c>
      <c r="J352" s="74" t="s">
        <v>127</v>
      </c>
      <c r="L352" s="17">
        <f t="shared" si="29"/>
        <v>45894</v>
      </c>
      <c r="N352">
        <f t="shared" si="30"/>
        <v>8</v>
      </c>
    </row>
    <row r="353" spans="1:14">
      <c r="A353" s="72" t="s">
        <v>29</v>
      </c>
      <c r="B353" s="72" t="s">
        <v>261</v>
      </c>
      <c r="C353" s="72" t="s">
        <v>159</v>
      </c>
      <c r="D353" s="72" t="s">
        <v>262</v>
      </c>
      <c r="E353" s="72" t="s">
        <v>124</v>
      </c>
      <c r="F353" s="72" t="s">
        <v>309</v>
      </c>
      <c r="G353" s="72" t="s">
        <v>318</v>
      </c>
      <c r="H353" s="73">
        <f>ROUND(1,2)</f>
        <v>1</v>
      </c>
      <c r="I353" s="72" t="s">
        <v>126</v>
      </c>
      <c r="J353" s="74" t="s">
        <v>127</v>
      </c>
      <c r="L353" s="17">
        <f t="shared" si="29"/>
        <v>46021</v>
      </c>
      <c r="N353">
        <f t="shared" si="30"/>
        <v>12</v>
      </c>
    </row>
    <row r="354" spans="1:14">
      <c r="A354" s="72" t="s">
        <v>29</v>
      </c>
      <c r="B354" s="72" t="s">
        <v>261</v>
      </c>
      <c r="C354" s="72" t="s">
        <v>159</v>
      </c>
      <c r="D354" s="72" t="s">
        <v>262</v>
      </c>
      <c r="E354" s="72" t="s">
        <v>124</v>
      </c>
      <c r="F354" s="72" t="s">
        <v>321</v>
      </c>
      <c r="G354" s="72" t="s">
        <v>411</v>
      </c>
      <c r="H354" s="73">
        <f>ROUND(1,2)</f>
        <v>1</v>
      </c>
      <c r="I354" s="72" t="s">
        <v>126</v>
      </c>
      <c r="J354" s="74" t="s">
        <v>127</v>
      </c>
      <c r="L354" s="17">
        <f t="shared" si="29"/>
        <v>45861</v>
      </c>
      <c r="N354">
        <f t="shared" si="30"/>
        <v>7</v>
      </c>
    </row>
    <row r="355" spans="1:14">
      <c r="A355" s="72" t="s">
        <v>29</v>
      </c>
      <c r="B355" s="72" t="s">
        <v>261</v>
      </c>
      <c r="C355" s="72" t="s">
        <v>159</v>
      </c>
      <c r="D355" s="72" t="s">
        <v>262</v>
      </c>
      <c r="E355" s="72" t="s">
        <v>124</v>
      </c>
      <c r="F355" s="72" t="s">
        <v>321</v>
      </c>
      <c r="G355" s="72" t="s">
        <v>350</v>
      </c>
      <c r="H355" s="73">
        <f>ROUND(0.5,2)</f>
        <v>0.5</v>
      </c>
      <c r="I355" s="72" t="s">
        <v>126</v>
      </c>
      <c r="J355" s="74" t="s">
        <v>127</v>
      </c>
      <c r="L355" s="17">
        <f t="shared" si="29"/>
        <v>45835</v>
      </c>
      <c r="N355">
        <f t="shared" si="30"/>
        <v>6</v>
      </c>
    </row>
    <row r="356" spans="1:14">
      <c r="A356" s="72" t="s">
        <v>29</v>
      </c>
      <c r="B356" s="72" t="s">
        <v>261</v>
      </c>
      <c r="C356" s="72" t="s">
        <v>159</v>
      </c>
      <c r="D356" s="72" t="s">
        <v>262</v>
      </c>
      <c r="E356" s="72" t="s">
        <v>124</v>
      </c>
      <c r="F356" s="72" t="s">
        <v>321</v>
      </c>
      <c r="G356" s="72" t="s">
        <v>277</v>
      </c>
      <c r="H356" s="73">
        <f t="shared" ref="H356:H361" si="31">ROUND(1,2)</f>
        <v>1</v>
      </c>
      <c r="I356" s="72" t="s">
        <v>126</v>
      </c>
      <c r="J356" s="74" t="s">
        <v>127</v>
      </c>
      <c r="L356" s="17">
        <f t="shared" si="29"/>
        <v>45838</v>
      </c>
      <c r="N356">
        <f t="shared" si="30"/>
        <v>6</v>
      </c>
    </row>
    <row r="357" spans="1:14">
      <c r="A357" s="72" t="s">
        <v>29</v>
      </c>
      <c r="B357" s="72" t="s">
        <v>261</v>
      </c>
      <c r="C357" s="72" t="s">
        <v>159</v>
      </c>
      <c r="D357" s="72" t="s">
        <v>262</v>
      </c>
      <c r="E357" s="72" t="s">
        <v>124</v>
      </c>
      <c r="F357" s="72" t="s">
        <v>321</v>
      </c>
      <c r="G357" s="72" t="s">
        <v>273</v>
      </c>
      <c r="H357" s="73">
        <f t="shared" si="31"/>
        <v>1</v>
      </c>
      <c r="I357" s="72" t="s">
        <v>126</v>
      </c>
      <c r="J357" s="74" t="s">
        <v>127</v>
      </c>
      <c r="L357" s="17">
        <f t="shared" si="29"/>
        <v>45859</v>
      </c>
      <c r="N357">
        <f t="shared" si="30"/>
        <v>7</v>
      </c>
    </row>
    <row r="358" spans="1:14">
      <c r="A358" s="72" t="s">
        <v>29</v>
      </c>
      <c r="B358" s="72" t="s">
        <v>261</v>
      </c>
      <c r="C358" s="72" t="s">
        <v>159</v>
      </c>
      <c r="D358" s="72" t="s">
        <v>262</v>
      </c>
      <c r="E358" s="72" t="s">
        <v>124</v>
      </c>
      <c r="F358" s="72" t="s">
        <v>321</v>
      </c>
      <c r="G358" s="72" t="s">
        <v>283</v>
      </c>
      <c r="H358" s="73">
        <f t="shared" si="31"/>
        <v>1</v>
      </c>
      <c r="I358" s="72" t="s">
        <v>126</v>
      </c>
      <c r="J358" s="74" t="s">
        <v>127</v>
      </c>
      <c r="L358" s="17">
        <f t="shared" si="29"/>
        <v>45896</v>
      </c>
      <c r="N358">
        <f t="shared" si="30"/>
        <v>8</v>
      </c>
    </row>
    <row r="359" spans="1:14">
      <c r="A359" s="72" t="s">
        <v>29</v>
      </c>
      <c r="B359" s="72" t="s">
        <v>261</v>
      </c>
      <c r="C359" s="72" t="s">
        <v>159</v>
      </c>
      <c r="D359" s="72" t="s">
        <v>262</v>
      </c>
      <c r="E359" s="72" t="s">
        <v>124</v>
      </c>
      <c r="F359" s="72" t="s">
        <v>484</v>
      </c>
      <c r="G359" s="72" t="s">
        <v>485</v>
      </c>
      <c r="H359" s="73">
        <f t="shared" si="31"/>
        <v>1</v>
      </c>
      <c r="I359" s="72" t="s">
        <v>126</v>
      </c>
      <c r="J359" s="74" t="s">
        <v>127</v>
      </c>
      <c r="L359" s="17">
        <f t="shared" si="29"/>
        <v>45770</v>
      </c>
      <c r="N359">
        <f t="shared" si="30"/>
        <v>4</v>
      </c>
    </row>
    <row r="360" spans="1:14">
      <c r="A360" s="72" t="s">
        <v>29</v>
      </c>
      <c r="B360" s="72" t="s">
        <v>261</v>
      </c>
      <c r="C360" s="72" t="s">
        <v>159</v>
      </c>
      <c r="D360" s="72" t="s">
        <v>262</v>
      </c>
      <c r="E360" s="72" t="s">
        <v>124</v>
      </c>
      <c r="F360" s="72" t="s">
        <v>484</v>
      </c>
      <c r="G360" s="72" t="s">
        <v>486</v>
      </c>
      <c r="H360" s="73">
        <f t="shared" si="31"/>
        <v>1</v>
      </c>
      <c r="I360" s="72" t="s">
        <v>126</v>
      </c>
      <c r="J360" s="74" t="s">
        <v>127</v>
      </c>
      <c r="L360" s="17">
        <f t="shared" si="29"/>
        <v>45771</v>
      </c>
      <c r="N360">
        <f t="shared" si="30"/>
        <v>4</v>
      </c>
    </row>
    <row r="361" spans="1:14">
      <c r="A361" s="72" t="s">
        <v>29</v>
      </c>
      <c r="B361" s="72" t="s">
        <v>261</v>
      </c>
      <c r="C361" s="72" t="s">
        <v>159</v>
      </c>
      <c r="D361" s="72" t="s">
        <v>262</v>
      </c>
      <c r="E361" s="72" t="s">
        <v>124</v>
      </c>
      <c r="F361" s="72" t="s">
        <v>484</v>
      </c>
      <c r="G361" s="72" t="s">
        <v>322</v>
      </c>
      <c r="H361" s="73">
        <f t="shared" si="31"/>
        <v>1</v>
      </c>
      <c r="I361" s="72" t="s">
        <v>126</v>
      </c>
      <c r="J361" s="74" t="s">
        <v>127</v>
      </c>
      <c r="L361" s="17">
        <f t="shared" si="29"/>
        <v>45768</v>
      </c>
      <c r="N361">
        <f t="shared" si="30"/>
        <v>4</v>
      </c>
    </row>
    <row r="362" spans="1:14" ht="26.45">
      <c r="A362" s="72" t="s">
        <v>487</v>
      </c>
      <c r="B362" s="72" t="s">
        <v>488</v>
      </c>
      <c r="C362" s="72" t="s">
        <v>192</v>
      </c>
      <c r="D362" s="72" t="s">
        <v>131</v>
      </c>
      <c r="E362" s="72" t="s">
        <v>124</v>
      </c>
      <c r="F362" s="72" t="s">
        <v>295</v>
      </c>
      <c r="G362" s="72" t="s">
        <v>378</v>
      </c>
      <c r="H362" s="73">
        <f t="shared" ref="H362:H376" si="32">ROUND(7.5,2)</f>
        <v>7.5</v>
      </c>
      <c r="I362" s="72" t="s">
        <v>134</v>
      </c>
      <c r="J362" s="74" t="s">
        <v>127</v>
      </c>
      <c r="L362" s="17">
        <f t="shared" si="29"/>
        <v>45860</v>
      </c>
      <c r="N362">
        <f t="shared" si="30"/>
        <v>7</v>
      </c>
    </row>
    <row r="363" spans="1:14" ht="26.45">
      <c r="A363" s="72" t="s">
        <v>487</v>
      </c>
      <c r="B363" s="72" t="s">
        <v>488</v>
      </c>
      <c r="C363" s="72" t="s">
        <v>192</v>
      </c>
      <c r="D363" s="72" t="s">
        <v>131</v>
      </c>
      <c r="E363" s="72" t="s">
        <v>124</v>
      </c>
      <c r="F363" s="72" t="s">
        <v>419</v>
      </c>
      <c r="G363" s="72" t="s">
        <v>392</v>
      </c>
      <c r="H363" s="73">
        <f t="shared" si="32"/>
        <v>7.5</v>
      </c>
      <c r="I363" s="72" t="s">
        <v>134</v>
      </c>
      <c r="J363" s="74" t="s">
        <v>127</v>
      </c>
      <c r="L363" s="17">
        <f t="shared" si="29"/>
        <v>45874</v>
      </c>
      <c r="N363">
        <f t="shared" si="30"/>
        <v>8</v>
      </c>
    </row>
    <row r="364" spans="1:14" ht="26.45">
      <c r="A364" s="72" t="s">
        <v>487</v>
      </c>
      <c r="B364" s="72" t="s">
        <v>488</v>
      </c>
      <c r="C364" s="72" t="s">
        <v>192</v>
      </c>
      <c r="D364" s="72" t="s">
        <v>131</v>
      </c>
      <c r="E364" s="72" t="s">
        <v>124</v>
      </c>
      <c r="F364" s="72" t="s">
        <v>472</v>
      </c>
      <c r="G364" s="72" t="s">
        <v>457</v>
      </c>
      <c r="H364" s="73">
        <f t="shared" si="32"/>
        <v>7.5</v>
      </c>
      <c r="I364" s="72" t="s">
        <v>134</v>
      </c>
      <c r="J364" s="74" t="s">
        <v>127</v>
      </c>
      <c r="L364" s="17">
        <f t="shared" si="29"/>
        <v>45664</v>
      </c>
      <c r="N364">
        <f t="shared" si="30"/>
        <v>1</v>
      </c>
    </row>
    <row r="365" spans="1:14" ht="26.45">
      <c r="A365" s="72" t="s">
        <v>487</v>
      </c>
      <c r="B365" s="72" t="s">
        <v>488</v>
      </c>
      <c r="C365" s="72" t="s">
        <v>192</v>
      </c>
      <c r="D365" s="72" t="s">
        <v>150</v>
      </c>
      <c r="E365" s="72" t="s">
        <v>151</v>
      </c>
      <c r="F365" s="72" t="s">
        <v>489</v>
      </c>
      <c r="G365" s="72" t="s">
        <v>490</v>
      </c>
      <c r="H365" s="73">
        <f t="shared" si="32"/>
        <v>7.5</v>
      </c>
      <c r="I365" s="72" t="s">
        <v>134</v>
      </c>
      <c r="J365" s="74" t="s">
        <v>127</v>
      </c>
      <c r="L365" s="17">
        <f t="shared" si="29"/>
        <v>45665</v>
      </c>
      <c r="N365">
        <f t="shared" si="30"/>
        <v>1</v>
      </c>
    </row>
    <row r="366" spans="1:14" ht="26.45">
      <c r="A366" s="72" t="s">
        <v>487</v>
      </c>
      <c r="B366" s="72" t="s">
        <v>488</v>
      </c>
      <c r="C366" s="72" t="s">
        <v>192</v>
      </c>
      <c r="D366" s="72" t="s">
        <v>131</v>
      </c>
      <c r="E366" s="72" t="s">
        <v>124</v>
      </c>
      <c r="F366" s="72" t="s">
        <v>396</v>
      </c>
      <c r="G366" s="72" t="s">
        <v>160</v>
      </c>
      <c r="H366" s="73">
        <f t="shared" si="32"/>
        <v>7.5</v>
      </c>
      <c r="I366" s="72" t="s">
        <v>134</v>
      </c>
      <c r="J366" s="74" t="s">
        <v>127</v>
      </c>
      <c r="L366" s="17">
        <f t="shared" si="29"/>
        <v>46014</v>
      </c>
      <c r="N366">
        <f t="shared" si="30"/>
        <v>12</v>
      </c>
    </row>
    <row r="367" spans="1:14" ht="26.45">
      <c r="A367" s="72" t="s">
        <v>487</v>
      </c>
      <c r="B367" s="72" t="s">
        <v>488</v>
      </c>
      <c r="C367" s="72" t="s">
        <v>192</v>
      </c>
      <c r="D367" s="72" t="s">
        <v>131</v>
      </c>
      <c r="E367" s="72" t="s">
        <v>124</v>
      </c>
      <c r="F367" s="72" t="s">
        <v>396</v>
      </c>
      <c r="G367" s="72" t="s">
        <v>290</v>
      </c>
      <c r="H367" s="73">
        <f t="shared" si="32"/>
        <v>7.5</v>
      </c>
      <c r="I367" s="72" t="s">
        <v>134</v>
      </c>
      <c r="J367" s="74" t="s">
        <v>127</v>
      </c>
      <c r="L367" s="17">
        <f t="shared" si="29"/>
        <v>46015</v>
      </c>
      <c r="N367">
        <f t="shared" si="30"/>
        <v>12</v>
      </c>
    </row>
    <row r="368" spans="1:14" ht="26.45">
      <c r="A368" s="72" t="s">
        <v>487</v>
      </c>
      <c r="B368" s="72" t="s">
        <v>488</v>
      </c>
      <c r="C368" s="72" t="s">
        <v>192</v>
      </c>
      <c r="D368" s="72" t="s">
        <v>131</v>
      </c>
      <c r="E368" s="72" t="s">
        <v>124</v>
      </c>
      <c r="F368" s="72" t="s">
        <v>419</v>
      </c>
      <c r="G368" s="72" t="s">
        <v>405</v>
      </c>
      <c r="H368" s="73">
        <f t="shared" si="32"/>
        <v>7.5</v>
      </c>
      <c r="I368" s="72" t="s">
        <v>134</v>
      </c>
      <c r="J368" s="74" t="s">
        <v>127</v>
      </c>
      <c r="L368" s="17">
        <f t="shared" si="29"/>
        <v>45876</v>
      </c>
      <c r="N368">
        <f t="shared" si="30"/>
        <v>8</v>
      </c>
    </row>
    <row r="369" spans="1:14" ht="26.45">
      <c r="A369" s="72" t="s">
        <v>487</v>
      </c>
      <c r="B369" s="72" t="s">
        <v>488</v>
      </c>
      <c r="C369" s="72" t="s">
        <v>192</v>
      </c>
      <c r="D369" s="72" t="s">
        <v>131</v>
      </c>
      <c r="E369" s="72" t="s">
        <v>124</v>
      </c>
      <c r="F369" s="72" t="s">
        <v>419</v>
      </c>
      <c r="G369" s="72" t="s">
        <v>414</v>
      </c>
      <c r="H369" s="73">
        <f t="shared" si="32"/>
        <v>7.5</v>
      </c>
      <c r="I369" s="72" t="s">
        <v>134</v>
      </c>
      <c r="J369" s="74" t="s">
        <v>127</v>
      </c>
      <c r="L369" s="17">
        <f t="shared" si="29"/>
        <v>45881</v>
      </c>
      <c r="N369">
        <f t="shared" si="30"/>
        <v>8</v>
      </c>
    </row>
    <row r="370" spans="1:14" ht="26.45">
      <c r="A370" s="72" t="s">
        <v>487</v>
      </c>
      <c r="B370" s="72" t="s">
        <v>488</v>
      </c>
      <c r="C370" s="72" t="s">
        <v>192</v>
      </c>
      <c r="D370" s="72" t="s">
        <v>131</v>
      </c>
      <c r="E370" s="72" t="s">
        <v>124</v>
      </c>
      <c r="F370" s="72" t="s">
        <v>295</v>
      </c>
      <c r="G370" s="72" t="s">
        <v>411</v>
      </c>
      <c r="H370" s="73">
        <f t="shared" si="32"/>
        <v>7.5</v>
      </c>
      <c r="I370" s="72" t="s">
        <v>134</v>
      </c>
      <c r="J370" s="74" t="s">
        <v>127</v>
      </c>
      <c r="L370" s="17">
        <f t="shared" si="29"/>
        <v>45861</v>
      </c>
      <c r="N370">
        <f t="shared" si="30"/>
        <v>7</v>
      </c>
    </row>
    <row r="371" spans="1:14" ht="26.45">
      <c r="A371" s="72" t="s">
        <v>487</v>
      </c>
      <c r="B371" s="72" t="s">
        <v>488</v>
      </c>
      <c r="C371" s="72" t="s">
        <v>192</v>
      </c>
      <c r="D371" s="72" t="s">
        <v>131</v>
      </c>
      <c r="E371" s="72" t="s">
        <v>124</v>
      </c>
      <c r="F371" s="72" t="s">
        <v>419</v>
      </c>
      <c r="G371" s="72" t="s">
        <v>407</v>
      </c>
      <c r="H371" s="73">
        <f t="shared" si="32"/>
        <v>7.5</v>
      </c>
      <c r="I371" s="72" t="s">
        <v>134</v>
      </c>
      <c r="J371" s="74" t="s">
        <v>127</v>
      </c>
      <c r="L371" s="17">
        <f t="shared" si="29"/>
        <v>45875</v>
      </c>
      <c r="N371">
        <f t="shared" si="30"/>
        <v>8</v>
      </c>
    </row>
    <row r="372" spans="1:14" ht="26.45">
      <c r="A372" s="72" t="s">
        <v>487</v>
      </c>
      <c r="B372" s="72" t="s">
        <v>488</v>
      </c>
      <c r="C372" s="72" t="s">
        <v>192</v>
      </c>
      <c r="D372" s="72" t="s">
        <v>131</v>
      </c>
      <c r="E372" s="72" t="s">
        <v>124</v>
      </c>
      <c r="F372" s="72" t="s">
        <v>396</v>
      </c>
      <c r="G372" s="72" t="s">
        <v>289</v>
      </c>
      <c r="H372" s="73">
        <f t="shared" si="32"/>
        <v>7.5</v>
      </c>
      <c r="I372" s="72" t="s">
        <v>134</v>
      </c>
      <c r="J372" s="74" t="s">
        <v>127</v>
      </c>
      <c r="L372" s="17">
        <f t="shared" si="29"/>
        <v>46017</v>
      </c>
      <c r="N372">
        <f t="shared" si="30"/>
        <v>12</v>
      </c>
    </row>
    <row r="373" spans="1:14" ht="26.45">
      <c r="A373" s="72" t="s">
        <v>487</v>
      </c>
      <c r="B373" s="72" t="s">
        <v>488</v>
      </c>
      <c r="C373" s="72" t="s">
        <v>192</v>
      </c>
      <c r="D373" s="72" t="s">
        <v>131</v>
      </c>
      <c r="E373" s="72" t="s">
        <v>124</v>
      </c>
      <c r="F373" s="72" t="s">
        <v>472</v>
      </c>
      <c r="G373" s="72" t="s">
        <v>305</v>
      </c>
      <c r="H373" s="73">
        <f t="shared" si="32"/>
        <v>7.5</v>
      </c>
      <c r="I373" s="72" t="s">
        <v>134</v>
      </c>
      <c r="J373" s="74" t="s">
        <v>127</v>
      </c>
      <c r="L373" s="17">
        <f t="shared" si="29"/>
        <v>45660</v>
      </c>
      <c r="N373">
        <f t="shared" si="30"/>
        <v>1</v>
      </c>
    </row>
    <row r="374" spans="1:14" ht="26.45">
      <c r="A374" s="72" t="s">
        <v>487</v>
      </c>
      <c r="B374" s="72" t="s">
        <v>488</v>
      </c>
      <c r="C374" s="72" t="s">
        <v>192</v>
      </c>
      <c r="D374" s="72" t="s">
        <v>131</v>
      </c>
      <c r="E374" s="72" t="s">
        <v>124</v>
      </c>
      <c r="F374" s="72" t="s">
        <v>396</v>
      </c>
      <c r="G374" s="72" t="s">
        <v>318</v>
      </c>
      <c r="H374" s="73">
        <f t="shared" si="32"/>
        <v>7.5</v>
      </c>
      <c r="I374" s="72" t="s">
        <v>134</v>
      </c>
      <c r="J374" s="74" t="s">
        <v>127</v>
      </c>
      <c r="L374" s="17">
        <f t="shared" si="29"/>
        <v>46021</v>
      </c>
      <c r="N374">
        <f t="shared" si="30"/>
        <v>12</v>
      </c>
    </row>
    <row r="375" spans="1:14" ht="26.45">
      <c r="A375" s="72" t="s">
        <v>487</v>
      </c>
      <c r="B375" s="72" t="s">
        <v>488</v>
      </c>
      <c r="C375" s="72" t="s">
        <v>192</v>
      </c>
      <c r="D375" s="72" t="s">
        <v>131</v>
      </c>
      <c r="E375" s="72" t="s">
        <v>124</v>
      </c>
      <c r="F375" s="72" t="s">
        <v>419</v>
      </c>
      <c r="G375" s="72" t="s">
        <v>418</v>
      </c>
      <c r="H375" s="73">
        <f t="shared" si="32"/>
        <v>7.5</v>
      </c>
      <c r="I375" s="72" t="s">
        <v>134</v>
      </c>
      <c r="J375" s="74" t="s">
        <v>127</v>
      </c>
      <c r="L375" s="17">
        <f t="shared" si="29"/>
        <v>45882</v>
      </c>
      <c r="N375">
        <f t="shared" si="30"/>
        <v>8</v>
      </c>
    </row>
    <row r="376" spans="1:14" ht="26.45">
      <c r="A376" s="72" t="s">
        <v>487</v>
      </c>
      <c r="B376" s="72" t="s">
        <v>488</v>
      </c>
      <c r="C376" s="72" t="s">
        <v>192</v>
      </c>
      <c r="D376" s="72" t="s">
        <v>131</v>
      </c>
      <c r="E376" s="72" t="s">
        <v>124</v>
      </c>
      <c r="F376" s="72" t="s">
        <v>295</v>
      </c>
      <c r="G376" s="72" t="s">
        <v>273</v>
      </c>
      <c r="H376" s="73">
        <f t="shared" si="32"/>
        <v>7.5</v>
      </c>
      <c r="I376" s="72" t="s">
        <v>134</v>
      </c>
      <c r="J376" s="74" t="s">
        <v>127</v>
      </c>
      <c r="L376" s="17">
        <f t="shared" si="29"/>
        <v>45859</v>
      </c>
      <c r="N376">
        <f t="shared" si="30"/>
        <v>7</v>
      </c>
    </row>
    <row r="377" spans="1:14" ht="26.45">
      <c r="A377" s="72" t="s">
        <v>491</v>
      </c>
      <c r="B377" s="72" t="s">
        <v>492</v>
      </c>
      <c r="C377" s="72" t="s">
        <v>224</v>
      </c>
      <c r="D377" s="72" t="s">
        <v>493</v>
      </c>
      <c r="E377" s="72" t="s">
        <v>124</v>
      </c>
      <c r="F377" s="72" t="s">
        <v>455</v>
      </c>
      <c r="G377" s="72" t="s">
        <v>330</v>
      </c>
      <c r="H377" s="73">
        <f>ROUND(5,2)</f>
        <v>5</v>
      </c>
      <c r="I377" s="72" t="s">
        <v>134</v>
      </c>
      <c r="J377" s="74" t="s">
        <v>127</v>
      </c>
      <c r="L377" s="17">
        <f t="shared" si="29"/>
        <v>45786</v>
      </c>
      <c r="N377">
        <f t="shared" si="30"/>
        <v>5</v>
      </c>
    </row>
    <row r="378" spans="1:14" ht="26.45">
      <c r="A378" s="72" t="s">
        <v>491</v>
      </c>
      <c r="B378" s="72" t="s">
        <v>492</v>
      </c>
      <c r="C378" s="72" t="s">
        <v>224</v>
      </c>
      <c r="D378" s="72" t="s">
        <v>493</v>
      </c>
      <c r="E378" s="72" t="s">
        <v>124</v>
      </c>
      <c r="F378" s="72" t="s">
        <v>494</v>
      </c>
      <c r="G378" s="72" t="s">
        <v>290</v>
      </c>
      <c r="H378" s="73">
        <f>ROUND(4.5,2)</f>
        <v>4.5</v>
      </c>
      <c r="I378" s="72" t="s">
        <v>134</v>
      </c>
      <c r="J378" s="74" t="s">
        <v>127</v>
      </c>
      <c r="L378" s="17">
        <f t="shared" si="29"/>
        <v>46015</v>
      </c>
      <c r="N378">
        <f t="shared" si="30"/>
        <v>12</v>
      </c>
    </row>
    <row r="379" spans="1:14" ht="26.45">
      <c r="A379" s="72" t="s">
        <v>491</v>
      </c>
      <c r="B379" s="72" t="s">
        <v>492</v>
      </c>
      <c r="C379" s="72" t="s">
        <v>224</v>
      </c>
      <c r="D379" s="72" t="s">
        <v>493</v>
      </c>
      <c r="E379" s="72" t="s">
        <v>124</v>
      </c>
      <c r="F379" s="72" t="s">
        <v>455</v>
      </c>
      <c r="G379" s="72" t="s">
        <v>467</v>
      </c>
      <c r="H379" s="73">
        <f>ROUND(5,2)</f>
        <v>5</v>
      </c>
      <c r="I379" s="72" t="s">
        <v>134</v>
      </c>
      <c r="J379" s="74" t="s">
        <v>127</v>
      </c>
      <c r="L379" s="17">
        <f t="shared" si="29"/>
        <v>45791</v>
      </c>
      <c r="N379">
        <f t="shared" si="30"/>
        <v>5</v>
      </c>
    </row>
    <row r="380" spans="1:14" ht="26.45">
      <c r="A380" s="72" t="s">
        <v>491</v>
      </c>
      <c r="B380" s="72" t="s">
        <v>492</v>
      </c>
      <c r="C380" s="72" t="s">
        <v>224</v>
      </c>
      <c r="D380" s="72" t="s">
        <v>493</v>
      </c>
      <c r="E380" s="72" t="s">
        <v>124</v>
      </c>
      <c r="F380" s="72" t="s">
        <v>455</v>
      </c>
      <c r="G380" s="72" t="s">
        <v>471</v>
      </c>
      <c r="H380" s="73">
        <f>ROUND(5,2)</f>
        <v>5</v>
      </c>
      <c r="I380" s="72" t="s">
        <v>134</v>
      </c>
      <c r="J380" s="74" t="s">
        <v>127</v>
      </c>
      <c r="L380" s="17">
        <f t="shared" si="29"/>
        <v>45790</v>
      </c>
      <c r="N380">
        <f t="shared" si="30"/>
        <v>5</v>
      </c>
    </row>
    <row r="381" spans="1:14" ht="26.45">
      <c r="A381" s="72" t="s">
        <v>491</v>
      </c>
      <c r="B381" s="72" t="s">
        <v>492</v>
      </c>
      <c r="C381" s="72" t="s">
        <v>224</v>
      </c>
      <c r="D381" s="72" t="s">
        <v>493</v>
      </c>
      <c r="E381" s="72" t="s">
        <v>124</v>
      </c>
      <c r="F381" s="72" t="s">
        <v>455</v>
      </c>
      <c r="G381" s="72" t="s">
        <v>325</v>
      </c>
      <c r="H381" s="73">
        <f>ROUND(5,2)</f>
        <v>5</v>
      </c>
      <c r="I381" s="72" t="s">
        <v>134</v>
      </c>
      <c r="J381" s="74" t="s">
        <v>127</v>
      </c>
      <c r="L381" s="17">
        <f t="shared" si="29"/>
        <v>45785</v>
      </c>
      <c r="N381">
        <f t="shared" si="30"/>
        <v>5</v>
      </c>
    </row>
    <row r="382" spans="1:14" ht="26.45">
      <c r="A382" s="72" t="s">
        <v>491</v>
      </c>
      <c r="B382" s="72" t="s">
        <v>492</v>
      </c>
      <c r="C382" s="72" t="s">
        <v>224</v>
      </c>
      <c r="D382" s="72" t="s">
        <v>493</v>
      </c>
      <c r="E382" s="72" t="s">
        <v>124</v>
      </c>
      <c r="F382" s="72" t="s">
        <v>455</v>
      </c>
      <c r="G382" s="72" t="s">
        <v>458</v>
      </c>
      <c r="H382" s="73">
        <f>ROUND(5,2)</f>
        <v>5</v>
      </c>
      <c r="I382" s="72" t="s">
        <v>134</v>
      </c>
      <c r="J382" s="74" t="s">
        <v>127</v>
      </c>
      <c r="L382" s="17">
        <f t="shared" si="29"/>
        <v>45784</v>
      </c>
      <c r="N382">
        <f t="shared" si="30"/>
        <v>5</v>
      </c>
    </row>
    <row r="383" spans="1:14" ht="26.45">
      <c r="A383" s="72" t="s">
        <v>491</v>
      </c>
      <c r="B383" s="72" t="s">
        <v>492</v>
      </c>
      <c r="C383" s="72" t="s">
        <v>224</v>
      </c>
      <c r="D383" s="72" t="s">
        <v>493</v>
      </c>
      <c r="E383" s="72" t="s">
        <v>124</v>
      </c>
      <c r="F383" s="72" t="s">
        <v>282</v>
      </c>
      <c r="G383" s="72" t="s">
        <v>284</v>
      </c>
      <c r="H383" s="73">
        <f>ROUND(5.5,2)</f>
        <v>5.5</v>
      </c>
      <c r="I383" s="72" t="s">
        <v>134</v>
      </c>
      <c r="J383" s="74" t="s">
        <v>127</v>
      </c>
      <c r="L383" s="17">
        <f t="shared" si="29"/>
        <v>45889</v>
      </c>
      <c r="N383">
        <f t="shared" si="30"/>
        <v>8</v>
      </c>
    </row>
    <row r="384" spans="1:14" ht="26.45">
      <c r="A384" s="72" t="s">
        <v>491</v>
      </c>
      <c r="B384" s="72" t="s">
        <v>492</v>
      </c>
      <c r="C384" s="72" t="s">
        <v>224</v>
      </c>
      <c r="D384" s="72" t="s">
        <v>493</v>
      </c>
      <c r="E384" s="72" t="s">
        <v>124</v>
      </c>
      <c r="F384" s="72" t="s">
        <v>494</v>
      </c>
      <c r="G384" s="72" t="s">
        <v>160</v>
      </c>
      <c r="H384" s="73">
        <f>ROUND(4.5,2)</f>
        <v>4.5</v>
      </c>
      <c r="I384" s="72" t="s">
        <v>134</v>
      </c>
      <c r="J384" s="74" t="s">
        <v>127</v>
      </c>
      <c r="L384" s="17">
        <f t="shared" si="29"/>
        <v>46014</v>
      </c>
      <c r="N384">
        <f t="shared" si="30"/>
        <v>12</v>
      </c>
    </row>
    <row r="385" spans="1:14" ht="26.45">
      <c r="A385" s="72" t="s">
        <v>491</v>
      </c>
      <c r="B385" s="72" t="s">
        <v>492</v>
      </c>
      <c r="C385" s="72" t="s">
        <v>224</v>
      </c>
      <c r="D385" s="72" t="s">
        <v>493</v>
      </c>
      <c r="E385" s="72" t="s">
        <v>124</v>
      </c>
      <c r="F385" s="72" t="s">
        <v>455</v>
      </c>
      <c r="G385" s="72" t="s">
        <v>353</v>
      </c>
      <c r="H385" s="73">
        <f>ROUND(5,2)</f>
        <v>5</v>
      </c>
      <c r="I385" s="72" t="s">
        <v>134</v>
      </c>
      <c r="J385" s="74" t="s">
        <v>127</v>
      </c>
      <c r="L385" s="17">
        <f t="shared" si="29"/>
        <v>45792</v>
      </c>
      <c r="N385">
        <f t="shared" si="30"/>
        <v>5</v>
      </c>
    </row>
    <row r="386" spans="1:14" ht="26.45">
      <c r="A386" s="72" t="s">
        <v>491</v>
      </c>
      <c r="B386" s="72" t="s">
        <v>492</v>
      </c>
      <c r="C386" s="72" t="s">
        <v>224</v>
      </c>
      <c r="D386" s="72" t="s">
        <v>493</v>
      </c>
      <c r="E386" s="72" t="s">
        <v>124</v>
      </c>
      <c r="F386" s="72" t="s">
        <v>455</v>
      </c>
      <c r="G386" s="72" t="s">
        <v>455</v>
      </c>
      <c r="H386" s="73">
        <f>ROUND(5,2)</f>
        <v>5</v>
      </c>
      <c r="I386" s="72" t="s">
        <v>134</v>
      </c>
      <c r="J386" s="74" t="s">
        <v>127</v>
      </c>
      <c r="L386" s="17">
        <f t="shared" si="29"/>
        <v>45789</v>
      </c>
      <c r="N386">
        <f t="shared" si="30"/>
        <v>5</v>
      </c>
    </row>
    <row r="387" spans="1:14">
      <c r="A387" s="72" t="s">
        <v>495</v>
      </c>
      <c r="B387" s="72" t="s">
        <v>496</v>
      </c>
      <c r="C387" s="72" t="s">
        <v>170</v>
      </c>
      <c r="D387" s="72" t="s">
        <v>131</v>
      </c>
      <c r="E387" s="72" t="s">
        <v>124</v>
      </c>
      <c r="F387" s="72" t="s">
        <v>397</v>
      </c>
      <c r="G387" s="72" t="s">
        <v>182</v>
      </c>
      <c r="H387" s="73">
        <f>ROUND(7.5,2)</f>
        <v>7.5</v>
      </c>
      <c r="I387" s="72" t="s">
        <v>134</v>
      </c>
      <c r="J387" s="74" t="s">
        <v>127</v>
      </c>
      <c r="L387" s="17">
        <f t="shared" ref="L387:L422" si="33">DATE(RIGHT(G387,4), MID(G387,4,2), LEFT(G387,2))</f>
        <v>46020</v>
      </c>
      <c r="N387">
        <f t="shared" ref="N387:N422" si="34">MONTH(L387)</f>
        <v>12</v>
      </c>
    </row>
    <row r="388" spans="1:14">
      <c r="A388" s="72" t="s">
        <v>495</v>
      </c>
      <c r="B388" s="72" t="s">
        <v>496</v>
      </c>
      <c r="C388" s="72" t="s">
        <v>170</v>
      </c>
      <c r="D388" s="72" t="s">
        <v>360</v>
      </c>
      <c r="E388" s="72" t="s">
        <v>360</v>
      </c>
      <c r="F388" s="72" t="s">
        <v>304</v>
      </c>
      <c r="G388" s="72" t="s">
        <v>304</v>
      </c>
      <c r="H388" s="73">
        <f>ROUND(1,2)</f>
        <v>1</v>
      </c>
      <c r="I388" s="72" t="s">
        <v>126</v>
      </c>
      <c r="J388" s="74" t="s">
        <v>127</v>
      </c>
      <c r="L388" s="17">
        <f t="shared" si="33"/>
        <v>45748</v>
      </c>
      <c r="N388">
        <f t="shared" si="34"/>
        <v>4</v>
      </c>
    </row>
    <row r="389" spans="1:14">
      <c r="A389" s="72" t="s">
        <v>495</v>
      </c>
      <c r="B389" s="72" t="s">
        <v>496</v>
      </c>
      <c r="C389" s="72" t="s">
        <v>170</v>
      </c>
      <c r="D389" s="72" t="s">
        <v>131</v>
      </c>
      <c r="E389" s="72" t="s">
        <v>124</v>
      </c>
      <c r="F389" s="72" t="s">
        <v>397</v>
      </c>
      <c r="G389" s="72" t="s">
        <v>318</v>
      </c>
      <c r="H389" s="73">
        <f t="shared" ref="H389:H399" si="35">ROUND(7.5,2)</f>
        <v>7.5</v>
      </c>
      <c r="I389" s="72" t="s">
        <v>134</v>
      </c>
      <c r="J389" s="74" t="s">
        <v>127</v>
      </c>
      <c r="L389" s="17">
        <f t="shared" si="33"/>
        <v>46021</v>
      </c>
      <c r="N389">
        <f t="shared" si="34"/>
        <v>12</v>
      </c>
    </row>
    <row r="390" spans="1:14">
      <c r="A390" s="72" t="s">
        <v>495</v>
      </c>
      <c r="B390" s="72" t="s">
        <v>496</v>
      </c>
      <c r="C390" s="72" t="s">
        <v>170</v>
      </c>
      <c r="D390" s="72" t="s">
        <v>131</v>
      </c>
      <c r="E390" s="72" t="s">
        <v>124</v>
      </c>
      <c r="F390" s="72" t="s">
        <v>397</v>
      </c>
      <c r="G390" s="72" t="s">
        <v>289</v>
      </c>
      <c r="H390" s="73">
        <f t="shared" si="35"/>
        <v>7.5</v>
      </c>
      <c r="I390" s="72" t="s">
        <v>134</v>
      </c>
      <c r="J390" s="74" t="s">
        <v>127</v>
      </c>
      <c r="L390" s="17">
        <f t="shared" si="33"/>
        <v>46017</v>
      </c>
      <c r="N390">
        <f t="shared" si="34"/>
        <v>12</v>
      </c>
    </row>
    <row r="391" spans="1:14">
      <c r="A391" s="72" t="s">
        <v>495</v>
      </c>
      <c r="B391" s="72" t="s">
        <v>496</v>
      </c>
      <c r="C391" s="72" t="s">
        <v>170</v>
      </c>
      <c r="D391" s="72" t="s">
        <v>131</v>
      </c>
      <c r="E391" s="72" t="s">
        <v>124</v>
      </c>
      <c r="F391" s="72" t="s">
        <v>497</v>
      </c>
      <c r="G391" s="72" t="s">
        <v>498</v>
      </c>
      <c r="H391" s="73">
        <f t="shared" si="35"/>
        <v>7.5</v>
      </c>
      <c r="I391" s="72" t="s">
        <v>134</v>
      </c>
      <c r="J391" s="74" t="s">
        <v>127</v>
      </c>
      <c r="L391" s="17">
        <f t="shared" si="33"/>
        <v>45951</v>
      </c>
      <c r="N391">
        <f t="shared" si="34"/>
        <v>10</v>
      </c>
    </row>
    <row r="392" spans="1:14">
      <c r="A392" s="72" t="s">
        <v>495</v>
      </c>
      <c r="B392" s="72" t="s">
        <v>496</v>
      </c>
      <c r="C392" s="72" t="s">
        <v>170</v>
      </c>
      <c r="D392" s="72" t="s">
        <v>131</v>
      </c>
      <c r="E392" s="72" t="s">
        <v>124</v>
      </c>
      <c r="F392" s="72" t="s">
        <v>497</v>
      </c>
      <c r="G392" s="72" t="s">
        <v>499</v>
      </c>
      <c r="H392" s="73">
        <f t="shared" si="35"/>
        <v>7.5</v>
      </c>
      <c r="I392" s="72" t="s">
        <v>134</v>
      </c>
      <c r="J392" s="74" t="s">
        <v>127</v>
      </c>
      <c r="L392" s="17">
        <f t="shared" si="33"/>
        <v>45950</v>
      </c>
      <c r="N392">
        <f t="shared" si="34"/>
        <v>10</v>
      </c>
    </row>
    <row r="393" spans="1:14">
      <c r="A393" s="72" t="s">
        <v>495</v>
      </c>
      <c r="B393" s="72" t="s">
        <v>496</v>
      </c>
      <c r="C393" s="72" t="s">
        <v>170</v>
      </c>
      <c r="D393" s="72" t="s">
        <v>131</v>
      </c>
      <c r="E393" s="72" t="s">
        <v>124</v>
      </c>
      <c r="F393" s="72" t="s">
        <v>497</v>
      </c>
      <c r="G393" s="72" t="s">
        <v>500</v>
      </c>
      <c r="H393" s="73">
        <f t="shared" si="35"/>
        <v>7.5</v>
      </c>
      <c r="I393" s="72" t="s">
        <v>134</v>
      </c>
      <c r="J393" s="74" t="s">
        <v>127</v>
      </c>
      <c r="L393" s="17">
        <f t="shared" si="33"/>
        <v>45953</v>
      </c>
      <c r="N393">
        <f t="shared" si="34"/>
        <v>10</v>
      </c>
    </row>
    <row r="394" spans="1:14">
      <c r="A394" s="72" t="s">
        <v>495</v>
      </c>
      <c r="B394" s="72" t="s">
        <v>496</v>
      </c>
      <c r="C394" s="72" t="s">
        <v>170</v>
      </c>
      <c r="D394" s="72" t="s">
        <v>131</v>
      </c>
      <c r="E394" s="72" t="s">
        <v>124</v>
      </c>
      <c r="F394" s="72" t="s">
        <v>497</v>
      </c>
      <c r="G394" s="72" t="s">
        <v>501</v>
      </c>
      <c r="H394" s="73">
        <f t="shared" si="35"/>
        <v>7.5</v>
      </c>
      <c r="I394" s="72" t="s">
        <v>134</v>
      </c>
      <c r="J394" s="74" t="s">
        <v>127</v>
      </c>
      <c r="L394" s="17">
        <f t="shared" si="33"/>
        <v>45954</v>
      </c>
      <c r="N394">
        <f t="shared" si="34"/>
        <v>10</v>
      </c>
    </row>
    <row r="395" spans="1:14">
      <c r="A395" s="72" t="s">
        <v>495</v>
      </c>
      <c r="B395" s="72" t="s">
        <v>496</v>
      </c>
      <c r="C395" s="72" t="s">
        <v>170</v>
      </c>
      <c r="D395" s="72" t="s">
        <v>131</v>
      </c>
      <c r="E395" s="72" t="s">
        <v>124</v>
      </c>
      <c r="F395" s="72" t="s">
        <v>397</v>
      </c>
      <c r="G395" s="72" t="s">
        <v>288</v>
      </c>
      <c r="H395" s="73">
        <f t="shared" si="35"/>
        <v>7.5</v>
      </c>
      <c r="I395" s="72" t="s">
        <v>134</v>
      </c>
      <c r="J395" s="74" t="s">
        <v>127</v>
      </c>
      <c r="L395" s="17">
        <f t="shared" si="33"/>
        <v>46022</v>
      </c>
      <c r="N395">
        <f t="shared" si="34"/>
        <v>12</v>
      </c>
    </row>
    <row r="396" spans="1:14">
      <c r="A396" s="72" t="s">
        <v>495</v>
      </c>
      <c r="B396" s="72" t="s">
        <v>496</v>
      </c>
      <c r="C396" s="72" t="s">
        <v>170</v>
      </c>
      <c r="D396" s="72" t="s">
        <v>131</v>
      </c>
      <c r="E396" s="72" t="s">
        <v>124</v>
      </c>
      <c r="F396" s="72" t="s">
        <v>481</v>
      </c>
      <c r="G396" s="72" t="s">
        <v>481</v>
      </c>
      <c r="H396" s="73">
        <f t="shared" si="35"/>
        <v>7.5</v>
      </c>
      <c r="I396" s="72" t="s">
        <v>134</v>
      </c>
      <c r="J396" s="74" t="s">
        <v>127</v>
      </c>
      <c r="L396" s="17">
        <f t="shared" si="33"/>
        <v>45944</v>
      </c>
      <c r="N396">
        <f t="shared" si="34"/>
        <v>10</v>
      </c>
    </row>
    <row r="397" spans="1:14">
      <c r="A397" s="72" t="s">
        <v>495</v>
      </c>
      <c r="B397" s="72" t="s">
        <v>496</v>
      </c>
      <c r="C397" s="72" t="s">
        <v>170</v>
      </c>
      <c r="D397" s="72" t="s">
        <v>131</v>
      </c>
      <c r="E397" s="72" t="s">
        <v>124</v>
      </c>
      <c r="F397" s="72" t="s">
        <v>397</v>
      </c>
      <c r="G397" s="72" t="s">
        <v>290</v>
      </c>
      <c r="H397" s="73">
        <f t="shared" si="35"/>
        <v>7.5</v>
      </c>
      <c r="I397" s="72" t="s">
        <v>134</v>
      </c>
      <c r="J397" s="74" t="s">
        <v>127</v>
      </c>
      <c r="L397" s="17">
        <f t="shared" si="33"/>
        <v>46015</v>
      </c>
      <c r="N397">
        <f t="shared" si="34"/>
        <v>12</v>
      </c>
    </row>
    <row r="398" spans="1:14">
      <c r="A398" s="72" t="s">
        <v>495</v>
      </c>
      <c r="B398" s="72" t="s">
        <v>496</v>
      </c>
      <c r="C398" s="72" t="s">
        <v>170</v>
      </c>
      <c r="D398" s="72" t="s">
        <v>131</v>
      </c>
      <c r="E398" s="72" t="s">
        <v>124</v>
      </c>
      <c r="F398" s="72" t="s">
        <v>497</v>
      </c>
      <c r="G398" s="72" t="s">
        <v>502</v>
      </c>
      <c r="H398" s="73">
        <f t="shared" si="35"/>
        <v>7.5</v>
      </c>
      <c r="I398" s="72" t="s">
        <v>134</v>
      </c>
      <c r="J398" s="74" t="s">
        <v>127</v>
      </c>
      <c r="L398" s="17">
        <f t="shared" si="33"/>
        <v>45952</v>
      </c>
      <c r="N398">
        <f t="shared" si="34"/>
        <v>10</v>
      </c>
    </row>
    <row r="399" spans="1:14">
      <c r="A399" s="72" t="s">
        <v>495</v>
      </c>
      <c r="B399" s="72" t="s">
        <v>496</v>
      </c>
      <c r="C399" s="72" t="s">
        <v>170</v>
      </c>
      <c r="D399" s="72" t="s">
        <v>131</v>
      </c>
      <c r="E399" s="72" t="s">
        <v>124</v>
      </c>
      <c r="F399" s="72" t="s">
        <v>481</v>
      </c>
      <c r="G399" s="72" t="s">
        <v>503</v>
      </c>
      <c r="H399" s="73">
        <f t="shared" si="35"/>
        <v>7.5</v>
      </c>
      <c r="I399" s="72" t="s">
        <v>134</v>
      </c>
      <c r="J399" s="74" t="s">
        <v>127</v>
      </c>
      <c r="L399" s="17">
        <f t="shared" si="33"/>
        <v>45945</v>
      </c>
      <c r="N399">
        <f t="shared" si="34"/>
        <v>10</v>
      </c>
    </row>
    <row r="400" spans="1:14">
      <c r="A400" s="72" t="s">
        <v>86</v>
      </c>
      <c r="B400" s="72" t="s">
        <v>504</v>
      </c>
      <c r="C400" s="72" t="s">
        <v>159</v>
      </c>
      <c r="D400" s="72" t="s">
        <v>139</v>
      </c>
      <c r="E400" s="72" t="s">
        <v>124</v>
      </c>
      <c r="F400" s="72" t="s">
        <v>419</v>
      </c>
      <c r="G400" s="72" t="s">
        <v>499</v>
      </c>
      <c r="H400" s="73">
        <f t="shared" ref="H400:H406" si="36">ROUND(1,2)</f>
        <v>1</v>
      </c>
      <c r="I400" s="72" t="s">
        <v>126</v>
      </c>
      <c r="J400" s="74" t="s">
        <v>127</v>
      </c>
      <c r="L400" s="17">
        <f t="shared" si="33"/>
        <v>45950</v>
      </c>
      <c r="N400">
        <f t="shared" si="34"/>
        <v>10</v>
      </c>
    </row>
    <row r="401" spans="1:14">
      <c r="A401" s="72" t="s">
        <v>86</v>
      </c>
      <c r="B401" s="72" t="s">
        <v>504</v>
      </c>
      <c r="C401" s="72" t="s">
        <v>159</v>
      </c>
      <c r="D401" s="72" t="s">
        <v>139</v>
      </c>
      <c r="E401" s="72" t="s">
        <v>124</v>
      </c>
      <c r="F401" s="72" t="s">
        <v>419</v>
      </c>
      <c r="G401" s="72" t="s">
        <v>498</v>
      </c>
      <c r="H401" s="73">
        <f t="shared" si="36"/>
        <v>1</v>
      </c>
      <c r="I401" s="72" t="s">
        <v>126</v>
      </c>
      <c r="J401" s="74" t="s">
        <v>127</v>
      </c>
      <c r="L401" s="17">
        <f t="shared" si="33"/>
        <v>45951</v>
      </c>
      <c r="N401">
        <f t="shared" si="34"/>
        <v>10</v>
      </c>
    </row>
    <row r="402" spans="1:14">
      <c r="A402" s="72" t="s">
        <v>86</v>
      </c>
      <c r="B402" s="72" t="s">
        <v>504</v>
      </c>
      <c r="C402" s="72" t="s">
        <v>159</v>
      </c>
      <c r="D402" s="72" t="s">
        <v>139</v>
      </c>
      <c r="E402" s="72" t="s">
        <v>124</v>
      </c>
      <c r="F402" s="72" t="s">
        <v>419</v>
      </c>
      <c r="G402" s="72" t="s">
        <v>481</v>
      </c>
      <c r="H402" s="73">
        <f t="shared" si="36"/>
        <v>1</v>
      </c>
      <c r="I402" s="72" t="s">
        <v>126</v>
      </c>
      <c r="J402" s="74" t="s">
        <v>127</v>
      </c>
      <c r="L402" s="17">
        <f t="shared" si="33"/>
        <v>45944</v>
      </c>
      <c r="N402">
        <f t="shared" si="34"/>
        <v>10</v>
      </c>
    </row>
    <row r="403" spans="1:14">
      <c r="A403" s="72" t="s">
        <v>86</v>
      </c>
      <c r="B403" s="72" t="s">
        <v>504</v>
      </c>
      <c r="C403" s="72" t="s">
        <v>159</v>
      </c>
      <c r="D403" s="72" t="s">
        <v>139</v>
      </c>
      <c r="E403" s="72" t="s">
        <v>124</v>
      </c>
      <c r="F403" s="72" t="s">
        <v>419</v>
      </c>
      <c r="G403" s="72" t="s">
        <v>503</v>
      </c>
      <c r="H403" s="73">
        <f t="shared" si="36"/>
        <v>1</v>
      </c>
      <c r="I403" s="72" t="s">
        <v>126</v>
      </c>
      <c r="J403" s="74" t="s">
        <v>127</v>
      </c>
      <c r="L403" s="17">
        <f t="shared" si="33"/>
        <v>45945</v>
      </c>
      <c r="N403">
        <f t="shared" si="34"/>
        <v>10</v>
      </c>
    </row>
    <row r="404" spans="1:14">
      <c r="A404" s="72" t="s">
        <v>86</v>
      </c>
      <c r="B404" s="72" t="s">
        <v>504</v>
      </c>
      <c r="C404" s="72" t="s">
        <v>159</v>
      </c>
      <c r="D404" s="72" t="s">
        <v>139</v>
      </c>
      <c r="E404" s="72" t="s">
        <v>124</v>
      </c>
      <c r="F404" s="72" t="s">
        <v>419</v>
      </c>
      <c r="G404" s="72" t="s">
        <v>461</v>
      </c>
      <c r="H404" s="73">
        <f t="shared" si="36"/>
        <v>1</v>
      </c>
      <c r="I404" s="72" t="s">
        <v>126</v>
      </c>
      <c r="J404" s="74" t="s">
        <v>127</v>
      </c>
      <c r="L404" s="17">
        <f t="shared" si="33"/>
        <v>45947</v>
      </c>
      <c r="N404">
        <f t="shared" si="34"/>
        <v>10</v>
      </c>
    </row>
    <row r="405" spans="1:14">
      <c r="A405" s="72" t="s">
        <v>86</v>
      </c>
      <c r="B405" s="72" t="s">
        <v>504</v>
      </c>
      <c r="C405" s="72" t="s">
        <v>159</v>
      </c>
      <c r="D405" s="72" t="s">
        <v>139</v>
      </c>
      <c r="E405" s="72" t="s">
        <v>124</v>
      </c>
      <c r="F405" s="72" t="s">
        <v>419</v>
      </c>
      <c r="G405" s="72" t="s">
        <v>505</v>
      </c>
      <c r="H405" s="73">
        <f t="shared" si="36"/>
        <v>1</v>
      </c>
      <c r="I405" s="72" t="s">
        <v>126</v>
      </c>
      <c r="J405" s="74" t="s">
        <v>127</v>
      </c>
      <c r="L405" s="17">
        <f t="shared" si="33"/>
        <v>45946</v>
      </c>
      <c r="N405">
        <f t="shared" si="34"/>
        <v>10</v>
      </c>
    </row>
    <row r="406" spans="1:14">
      <c r="A406" s="72" t="s">
        <v>86</v>
      </c>
      <c r="B406" s="72" t="s">
        <v>504</v>
      </c>
      <c r="C406" s="72" t="s">
        <v>159</v>
      </c>
      <c r="D406" s="72" t="s">
        <v>139</v>
      </c>
      <c r="E406" s="72" t="s">
        <v>124</v>
      </c>
      <c r="F406" s="72" t="s">
        <v>506</v>
      </c>
      <c r="G406" s="72" t="s">
        <v>501</v>
      </c>
      <c r="H406" s="73">
        <f t="shared" si="36"/>
        <v>1</v>
      </c>
      <c r="I406" s="72" t="s">
        <v>126</v>
      </c>
      <c r="J406" s="74" t="s">
        <v>127</v>
      </c>
      <c r="L406" s="17">
        <f t="shared" si="33"/>
        <v>45954</v>
      </c>
      <c r="N406">
        <f t="shared" si="34"/>
        <v>10</v>
      </c>
    </row>
    <row r="407" spans="1:14" ht="26.45">
      <c r="A407" s="72" t="s">
        <v>507</v>
      </c>
      <c r="B407" s="72" t="s">
        <v>508</v>
      </c>
      <c r="C407" s="72" t="s">
        <v>509</v>
      </c>
      <c r="D407" s="72" t="s">
        <v>131</v>
      </c>
      <c r="E407" s="72" t="s">
        <v>124</v>
      </c>
      <c r="F407" s="72" t="s">
        <v>503</v>
      </c>
      <c r="G407" s="72" t="s">
        <v>461</v>
      </c>
      <c r="H407" s="73">
        <f t="shared" ref="H407:H420" si="37">ROUND(7.5,2)</f>
        <v>7.5</v>
      </c>
      <c r="I407" s="72" t="s">
        <v>134</v>
      </c>
      <c r="J407" s="74" t="s">
        <v>127</v>
      </c>
      <c r="L407" s="17">
        <f t="shared" si="33"/>
        <v>45947</v>
      </c>
      <c r="N407">
        <f t="shared" si="34"/>
        <v>10</v>
      </c>
    </row>
    <row r="408" spans="1:14" ht="26.45">
      <c r="A408" s="72" t="s">
        <v>507</v>
      </c>
      <c r="B408" s="72" t="s">
        <v>508</v>
      </c>
      <c r="C408" s="72" t="s">
        <v>509</v>
      </c>
      <c r="D408" s="72" t="s">
        <v>131</v>
      </c>
      <c r="E408" s="72" t="s">
        <v>124</v>
      </c>
      <c r="F408" s="72" t="s">
        <v>510</v>
      </c>
      <c r="G408" s="72" t="s">
        <v>304</v>
      </c>
      <c r="H408" s="73">
        <f t="shared" si="37"/>
        <v>7.5</v>
      </c>
      <c r="I408" s="72" t="s">
        <v>134</v>
      </c>
      <c r="J408" s="74" t="s">
        <v>127</v>
      </c>
      <c r="L408" s="17">
        <f t="shared" si="33"/>
        <v>45748</v>
      </c>
      <c r="N408">
        <f t="shared" si="34"/>
        <v>4</v>
      </c>
    </row>
    <row r="409" spans="1:14" ht="26.45">
      <c r="A409" s="72" t="s">
        <v>507</v>
      </c>
      <c r="B409" s="72" t="s">
        <v>508</v>
      </c>
      <c r="C409" s="72" t="s">
        <v>509</v>
      </c>
      <c r="D409" s="72" t="s">
        <v>131</v>
      </c>
      <c r="E409" s="72" t="s">
        <v>124</v>
      </c>
      <c r="F409" s="72" t="s">
        <v>345</v>
      </c>
      <c r="G409" s="72" t="s">
        <v>290</v>
      </c>
      <c r="H409" s="73">
        <f t="shared" si="37"/>
        <v>7.5</v>
      </c>
      <c r="I409" s="72" t="s">
        <v>134</v>
      </c>
      <c r="J409" s="74" t="s">
        <v>127</v>
      </c>
      <c r="L409" s="17">
        <f t="shared" si="33"/>
        <v>46015</v>
      </c>
      <c r="N409">
        <f t="shared" si="34"/>
        <v>12</v>
      </c>
    </row>
    <row r="410" spans="1:14" ht="26.45">
      <c r="A410" s="72" t="s">
        <v>507</v>
      </c>
      <c r="B410" s="72" t="s">
        <v>508</v>
      </c>
      <c r="C410" s="72" t="s">
        <v>509</v>
      </c>
      <c r="D410" s="72" t="s">
        <v>131</v>
      </c>
      <c r="E410" s="72" t="s">
        <v>124</v>
      </c>
      <c r="F410" s="72" t="s">
        <v>314</v>
      </c>
      <c r="G410" s="72" t="s">
        <v>314</v>
      </c>
      <c r="H410" s="73">
        <f t="shared" si="37"/>
        <v>7.5</v>
      </c>
      <c r="I410" s="72" t="s">
        <v>134</v>
      </c>
      <c r="J410" s="74" t="s">
        <v>127</v>
      </c>
      <c r="L410" s="17">
        <f t="shared" si="33"/>
        <v>45821</v>
      </c>
      <c r="N410">
        <f t="shared" si="34"/>
        <v>6</v>
      </c>
    </row>
    <row r="411" spans="1:14" ht="26.45">
      <c r="A411" s="72" t="s">
        <v>507</v>
      </c>
      <c r="B411" s="72" t="s">
        <v>508</v>
      </c>
      <c r="C411" s="72" t="s">
        <v>509</v>
      </c>
      <c r="D411" s="72" t="s">
        <v>131</v>
      </c>
      <c r="E411" s="72" t="s">
        <v>124</v>
      </c>
      <c r="F411" s="72" t="s">
        <v>510</v>
      </c>
      <c r="G411" s="72" t="s">
        <v>303</v>
      </c>
      <c r="H411" s="73">
        <f t="shared" si="37"/>
        <v>7.5</v>
      </c>
      <c r="I411" s="72" t="s">
        <v>134</v>
      </c>
      <c r="J411" s="74" t="s">
        <v>127</v>
      </c>
      <c r="L411" s="17">
        <f t="shared" si="33"/>
        <v>45749</v>
      </c>
      <c r="N411">
        <f t="shared" si="34"/>
        <v>4</v>
      </c>
    </row>
    <row r="412" spans="1:14" ht="26.45">
      <c r="A412" s="72" t="s">
        <v>507</v>
      </c>
      <c r="B412" s="72" t="s">
        <v>508</v>
      </c>
      <c r="C412" s="72" t="s">
        <v>509</v>
      </c>
      <c r="D412" s="72" t="s">
        <v>131</v>
      </c>
      <c r="E412" s="72" t="s">
        <v>124</v>
      </c>
      <c r="F412" s="72" t="s">
        <v>503</v>
      </c>
      <c r="G412" s="72" t="s">
        <v>481</v>
      </c>
      <c r="H412" s="73">
        <f t="shared" si="37"/>
        <v>7.5</v>
      </c>
      <c r="I412" s="72" t="s">
        <v>134</v>
      </c>
      <c r="J412" s="74" t="s">
        <v>127</v>
      </c>
      <c r="L412" s="17">
        <f t="shared" si="33"/>
        <v>45944</v>
      </c>
      <c r="N412">
        <f t="shared" si="34"/>
        <v>10</v>
      </c>
    </row>
    <row r="413" spans="1:14" ht="26.45">
      <c r="A413" s="72" t="s">
        <v>507</v>
      </c>
      <c r="B413" s="72" t="s">
        <v>508</v>
      </c>
      <c r="C413" s="72" t="s">
        <v>509</v>
      </c>
      <c r="D413" s="72" t="s">
        <v>131</v>
      </c>
      <c r="E413" s="72" t="s">
        <v>124</v>
      </c>
      <c r="F413" s="72" t="s">
        <v>510</v>
      </c>
      <c r="G413" s="72" t="s">
        <v>308</v>
      </c>
      <c r="H413" s="73">
        <f t="shared" si="37"/>
        <v>7.5</v>
      </c>
      <c r="I413" s="72" t="s">
        <v>134</v>
      </c>
      <c r="J413" s="74" t="s">
        <v>127</v>
      </c>
      <c r="L413" s="17">
        <f t="shared" si="33"/>
        <v>45754</v>
      </c>
      <c r="N413">
        <f t="shared" si="34"/>
        <v>4</v>
      </c>
    </row>
    <row r="414" spans="1:14" ht="26.45">
      <c r="A414" s="72" t="s">
        <v>507</v>
      </c>
      <c r="B414" s="72" t="s">
        <v>508</v>
      </c>
      <c r="C414" s="72" t="s">
        <v>509</v>
      </c>
      <c r="D414" s="72" t="s">
        <v>131</v>
      </c>
      <c r="E414" s="72" t="s">
        <v>124</v>
      </c>
      <c r="F414" s="72" t="s">
        <v>314</v>
      </c>
      <c r="G414" s="72" t="s">
        <v>372</v>
      </c>
      <c r="H414" s="73">
        <f t="shared" si="37"/>
        <v>7.5</v>
      </c>
      <c r="I414" s="72" t="s">
        <v>134</v>
      </c>
      <c r="J414" s="74" t="s">
        <v>127</v>
      </c>
      <c r="L414" s="17">
        <f t="shared" si="33"/>
        <v>45824</v>
      </c>
      <c r="N414">
        <f t="shared" si="34"/>
        <v>6</v>
      </c>
    </row>
    <row r="415" spans="1:14" ht="26.45">
      <c r="A415" s="72" t="s">
        <v>507</v>
      </c>
      <c r="B415" s="72" t="s">
        <v>508</v>
      </c>
      <c r="C415" s="72" t="s">
        <v>509</v>
      </c>
      <c r="D415" s="72" t="s">
        <v>131</v>
      </c>
      <c r="E415" s="72" t="s">
        <v>124</v>
      </c>
      <c r="F415" s="72" t="s">
        <v>345</v>
      </c>
      <c r="G415" s="72" t="s">
        <v>289</v>
      </c>
      <c r="H415" s="73">
        <f t="shared" si="37"/>
        <v>7.5</v>
      </c>
      <c r="I415" s="72" t="s">
        <v>134</v>
      </c>
      <c r="J415" s="74" t="s">
        <v>127</v>
      </c>
      <c r="L415" s="17">
        <f t="shared" si="33"/>
        <v>46017</v>
      </c>
      <c r="N415">
        <f t="shared" si="34"/>
        <v>12</v>
      </c>
    </row>
    <row r="416" spans="1:14" ht="26.45">
      <c r="A416" s="72" t="s">
        <v>507</v>
      </c>
      <c r="B416" s="72" t="s">
        <v>508</v>
      </c>
      <c r="C416" s="72" t="s">
        <v>509</v>
      </c>
      <c r="D416" s="72" t="s">
        <v>131</v>
      </c>
      <c r="E416" s="72" t="s">
        <v>124</v>
      </c>
      <c r="F416" s="72" t="s">
        <v>510</v>
      </c>
      <c r="G416" s="72" t="s">
        <v>511</v>
      </c>
      <c r="H416" s="73">
        <f t="shared" si="37"/>
        <v>7.5</v>
      </c>
      <c r="I416" s="72" t="s">
        <v>134</v>
      </c>
      <c r="J416" s="74" t="s">
        <v>127</v>
      </c>
      <c r="L416" s="17">
        <f t="shared" si="33"/>
        <v>45751</v>
      </c>
      <c r="N416">
        <f t="shared" si="34"/>
        <v>4</v>
      </c>
    </row>
    <row r="417" spans="1:14" ht="26.45">
      <c r="A417" s="72" t="s">
        <v>507</v>
      </c>
      <c r="B417" s="72" t="s">
        <v>508</v>
      </c>
      <c r="C417" s="72" t="s">
        <v>509</v>
      </c>
      <c r="D417" s="72" t="s">
        <v>131</v>
      </c>
      <c r="E417" s="72" t="s">
        <v>124</v>
      </c>
      <c r="F417" s="72" t="s">
        <v>510</v>
      </c>
      <c r="G417" s="72" t="s">
        <v>300</v>
      </c>
      <c r="H417" s="73">
        <f t="shared" si="37"/>
        <v>7.5</v>
      </c>
      <c r="I417" s="72" t="s">
        <v>134</v>
      </c>
      <c r="J417" s="74" t="s">
        <v>127</v>
      </c>
      <c r="L417" s="17">
        <f t="shared" si="33"/>
        <v>45747</v>
      </c>
      <c r="N417">
        <f t="shared" si="34"/>
        <v>3</v>
      </c>
    </row>
    <row r="418" spans="1:14" ht="26.45">
      <c r="A418" s="72" t="s">
        <v>507</v>
      </c>
      <c r="B418" s="72" t="s">
        <v>508</v>
      </c>
      <c r="C418" s="72" t="s">
        <v>509</v>
      </c>
      <c r="D418" s="72" t="s">
        <v>131</v>
      </c>
      <c r="E418" s="72" t="s">
        <v>124</v>
      </c>
      <c r="F418" s="72" t="s">
        <v>503</v>
      </c>
      <c r="G418" s="72" t="s">
        <v>505</v>
      </c>
      <c r="H418" s="73">
        <f t="shared" si="37"/>
        <v>7.5</v>
      </c>
      <c r="I418" s="72" t="s">
        <v>134</v>
      </c>
      <c r="J418" s="74" t="s">
        <v>127</v>
      </c>
      <c r="L418" s="17">
        <f t="shared" si="33"/>
        <v>45946</v>
      </c>
      <c r="N418">
        <f t="shared" si="34"/>
        <v>10</v>
      </c>
    </row>
    <row r="419" spans="1:14" ht="26.45">
      <c r="A419" s="72" t="s">
        <v>507</v>
      </c>
      <c r="B419" s="72" t="s">
        <v>508</v>
      </c>
      <c r="C419" s="72" t="s">
        <v>509</v>
      </c>
      <c r="D419" s="72" t="s">
        <v>131</v>
      </c>
      <c r="E419" s="72" t="s">
        <v>124</v>
      </c>
      <c r="F419" s="72" t="s">
        <v>503</v>
      </c>
      <c r="G419" s="72" t="s">
        <v>503</v>
      </c>
      <c r="H419" s="73">
        <f t="shared" si="37"/>
        <v>7.5</v>
      </c>
      <c r="I419" s="72" t="s">
        <v>134</v>
      </c>
      <c r="J419" s="74" t="s">
        <v>127</v>
      </c>
      <c r="L419" s="17">
        <f t="shared" si="33"/>
        <v>45945</v>
      </c>
      <c r="N419">
        <f t="shared" si="34"/>
        <v>10</v>
      </c>
    </row>
    <row r="420" spans="1:14" ht="26.45">
      <c r="A420" s="72" t="s">
        <v>507</v>
      </c>
      <c r="B420" s="72" t="s">
        <v>508</v>
      </c>
      <c r="C420" s="72" t="s">
        <v>509</v>
      </c>
      <c r="D420" s="72" t="s">
        <v>131</v>
      </c>
      <c r="E420" s="72" t="s">
        <v>124</v>
      </c>
      <c r="F420" s="72" t="s">
        <v>510</v>
      </c>
      <c r="G420" s="72" t="s">
        <v>431</v>
      </c>
      <c r="H420" s="73">
        <f t="shared" si="37"/>
        <v>7.5</v>
      </c>
      <c r="I420" s="72" t="s">
        <v>134</v>
      </c>
      <c r="J420" s="74" t="s">
        <v>127</v>
      </c>
      <c r="L420" s="17">
        <f t="shared" si="33"/>
        <v>45750</v>
      </c>
      <c r="N420">
        <f t="shared" si="34"/>
        <v>4</v>
      </c>
    </row>
    <row r="421" spans="1:14" ht="26.45">
      <c r="A421" s="72" t="s">
        <v>51</v>
      </c>
      <c r="B421" s="72" t="s">
        <v>269</v>
      </c>
      <c r="C421" s="72" t="s">
        <v>224</v>
      </c>
      <c r="D421" s="72" t="s">
        <v>123</v>
      </c>
      <c r="E421" s="72" t="s">
        <v>124</v>
      </c>
      <c r="F421" s="72" t="s">
        <v>479</v>
      </c>
      <c r="G421" s="72" t="s">
        <v>397</v>
      </c>
      <c r="H421" s="73">
        <f>ROUND(1,2)</f>
        <v>1</v>
      </c>
      <c r="I421" s="72" t="s">
        <v>126</v>
      </c>
      <c r="J421" s="74" t="s">
        <v>127</v>
      </c>
      <c r="L421" s="17">
        <f t="shared" si="33"/>
        <v>46010</v>
      </c>
      <c r="N421">
        <f t="shared" si="34"/>
        <v>12</v>
      </c>
    </row>
    <row r="422" spans="1:14" ht="26.45">
      <c r="A422" s="72" t="s">
        <v>51</v>
      </c>
      <c r="B422" s="72" t="s">
        <v>269</v>
      </c>
      <c r="C422" s="72" t="s">
        <v>224</v>
      </c>
      <c r="D422" s="72" t="s">
        <v>123</v>
      </c>
      <c r="E422" s="72" t="s">
        <v>124</v>
      </c>
      <c r="F422" s="72" t="s">
        <v>479</v>
      </c>
      <c r="G422" s="72" t="s">
        <v>396</v>
      </c>
      <c r="H422" s="73">
        <f>ROUND(1,2)</f>
        <v>1</v>
      </c>
      <c r="I422" s="72" t="s">
        <v>126</v>
      </c>
      <c r="J422" s="74" t="s">
        <v>127</v>
      </c>
      <c r="L422" s="17">
        <f t="shared" si="33"/>
        <v>46009</v>
      </c>
      <c r="N422">
        <f t="shared" si="34"/>
        <v>12</v>
      </c>
    </row>
    <row r="423" spans="1:14" ht="26.45">
      <c r="A423" s="75" t="s">
        <v>270</v>
      </c>
      <c r="B423" s="75" t="s">
        <v>512</v>
      </c>
      <c r="C423" s="75"/>
      <c r="D423" s="75"/>
      <c r="E423" s="75"/>
      <c r="F423" s="75"/>
      <c r="G423" s="75"/>
      <c r="H423" s="75"/>
      <c r="I423" s="75"/>
      <c r="J423" s="76"/>
    </row>
  </sheetData>
  <autoFilter ref="A1:N423" xr:uid="{B008D237-EAFC-409B-ADA0-016E2D9A88A3}">
    <filterColumn colId="4">
      <filters>
        <filter val="UNPAID"/>
      </filters>
    </filterColumn>
  </autoFilter>
  <pageMargins left="0.25" right="0.25" top="0.75" bottom="0.75" header="0.25" footer="0.2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3FA2-056D-4F75-9D0B-2FFEE5F90FBE}">
  <dimension ref="A1:I62"/>
  <sheetViews>
    <sheetView showGridLines="0" topLeftCell="A13" workbookViewId="0">
      <selection activeCell="I29" sqref="I29"/>
    </sheetView>
  </sheetViews>
  <sheetFormatPr defaultColWidth="8.85546875" defaultRowHeight="14.45"/>
  <cols>
    <col min="1" max="1" width="3.85546875" customWidth="1"/>
    <col min="2" max="2" width="6.140625" bestFit="1" customWidth="1"/>
    <col min="3" max="3" width="23.42578125" bestFit="1" customWidth="1"/>
    <col min="4" max="4" width="23.85546875" bestFit="1" customWidth="1"/>
    <col min="5" max="5" width="2.42578125" customWidth="1"/>
    <col min="6" max="6" width="14.42578125" bestFit="1" customWidth="1"/>
    <col min="7" max="7" width="11.140625" bestFit="1" customWidth="1"/>
    <col min="8" max="8" width="14.42578125" customWidth="1"/>
    <col min="9" max="9" width="12.42578125" customWidth="1"/>
  </cols>
  <sheetData>
    <row r="1" spans="1:9" ht="15.6">
      <c r="A1" s="2"/>
      <c r="B1" s="29"/>
      <c r="C1" s="23"/>
      <c r="D1" s="2"/>
      <c r="E1" s="2"/>
      <c r="F1" s="3"/>
    </row>
    <row r="2" spans="1:9" ht="15.6">
      <c r="A2" s="2"/>
      <c r="B2" s="228" t="s">
        <v>0</v>
      </c>
      <c r="C2" s="229"/>
      <c r="D2" s="230"/>
      <c r="E2" s="2"/>
      <c r="F2" s="118" t="s">
        <v>1</v>
      </c>
    </row>
    <row r="3" spans="1:9" ht="62.45">
      <c r="A3" s="119" t="s">
        <v>513</v>
      </c>
      <c r="B3" s="28" t="s">
        <v>3</v>
      </c>
      <c r="C3" s="24" t="s">
        <v>4</v>
      </c>
      <c r="D3" s="7" t="s">
        <v>5</v>
      </c>
      <c r="E3" s="1"/>
      <c r="F3" s="5" t="s">
        <v>7</v>
      </c>
      <c r="G3" s="15" t="s">
        <v>514</v>
      </c>
      <c r="H3" s="15" t="s">
        <v>515</v>
      </c>
      <c r="I3" s="15" t="s">
        <v>516</v>
      </c>
    </row>
    <row r="4" spans="1:9" ht="15.6">
      <c r="A4" s="23">
        <v>1</v>
      </c>
      <c r="B4" s="30" t="s">
        <v>25</v>
      </c>
      <c r="C4" s="25" t="s">
        <v>26</v>
      </c>
      <c r="D4" s="22" t="s">
        <v>27</v>
      </c>
      <c r="E4" s="8"/>
      <c r="F4" s="19"/>
      <c r="G4" s="33"/>
      <c r="H4" s="34">
        <f t="shared" ref="H4:I4" si="0">IF(YEAR(G4)=2025,
    F4 * (12 - MONTH(G4) + 1) / 12,
    F4)</f>
        <v>0</v>
      </c>
      <c r="I4" s="34">
        <f t="shared" si="0"/>
        <v>0</v>
      </c>
    </row>
    <row r="5" spans="1:9" ht="15.6">
      <c r="A5" s="23">
        <v>2</v>
      </c>
      <c r="B5" s="31" t="s">
        <v>25</v>
      </c>
      <c r="C5" s="26" t="s">
        <v>28</v>
      </c>
      <c r="D5" s="13" t="s">
        <v>29</v>
      </c>
      <c r="E5" s="8"/>
      <c r="F5" s="20">
        <v>25</v>
      </c>
      <c r="G5" s="33">
        <v>44243</v>
      </c>
      <c r="H5" s="34">
        <f>IF(YEAR($G5)=2025,
    $F5 * (12 - MONTH($G5) + 1) / 12,
    $F5)</f>
        <v>25</v>
      </c>
      <c r="I5" s="34">
        <f>IF(YEAR($G5)=2026,
    $F5 * (12 - MONTH($G5) + 1) / 12,
    $F5)</f>
        <v>25</v>
      </c>
    </row>
    <row r="6" spans="1:9" ht="15.6">
      <c r="A6" s="23">
        <v>3</v>
      </c>
      <c r="B6" s="31" t="s">
        <v>25</v>
      </c>
      <c r="C6" s="26" t="s">
        <v>30</v>
      </c>
      <c r="D6" s="13" t="s">
        <v>31</v>
      </c>
      <c r="E6" s="8"/>
      <c r="F6" s="20">
        <v>20</v>
      </c>
      <c r="G6" s="33">
        <v>45231</v>
      </c>
      <c r="H6" s="34">
        <f t="shared" ref="H6:H41" si="1">IF(YEAR($G6)=2025,
    $F6 * (12 - MONTH($G6) + 1) / 12,
    $F6)</f>
        <v>20</v>
      </c>
      <c r="I6" s="34">
        <f t="shared" ref="I6:I41" si="2">IF(YEAR($G6)=2026,
    $F6 * (12 - MONTH($G6) + 1) / 12,
    $F6)</f>
        <v>20</v>
      </c>
    </row>
    <row r="7" spans="1:9" ht="15.6">
      <c r="A7" s="23">
        <v>4</v>
      </c>
      <c r="B7" s="31" t="s">
        <v>25</v>
      </c>
      <c r="C7" s="26" t="s">
        <v>32</v>
      </c>
      <c r="D7" s="13" t="s">
        <v>33</v>
      </c>
      <c r="E7" s="8"/>
      <c r="F7" s="20">
        <v>20</v>
      </c>
      <c r="G7" s="33">
        <v>44746</v>
      </c>
      <c r="H7" s="34">
        <f t="shared" si="1"/>
        <v>20</v>
      </c>
      <c r="I7" s="34">
        <f t="shared" si="2"/>
        <v>20</v>
      </c>
    </row>
    <row r="8" spans="1:9" ht="15.6">
      <c r="A8" s="23">
        <v>5</v>
      </c>
      <c r="B8" s="31" t="s">
        <v>25</v>
      </c>
      <c r="C8" s="26" t="s">
        <v>34</v>
      </c>
      <c r="D8" s="13" t="s">
        <v>35</v>
      </c>
      <c r="E8" s="8"/>
      <c r="F8" s="20">
        <v>20</v>
      </c>
      <c r="G8" s="33">
        <v>44270</v>
      </c>
      <c r="H8" s="34">
        <f t="shared" si="1"/>
        <v>20</v>
      </c>
      <c r="I8" s="34">
        <f t="shared" si="2"/>
        <v>20</v>
      </c>
    </row>
    <row r="9" spans="1:9" ht="15.6">
      <c r="A9" s="23">
        <v>7</v>
      </c>
      <c r="B9" s="31" t="s">
        <v>36</v>
      </c>
      <c r="C9" s="26" t="s">
        <v>37</v>
      </c>
      <c r="D9" s="13" t="s">
        <v>38</v>
      </c>
      <c r="E9" s="8"/>
      <c r="F9" s="20">
        <v>15</v>
      </c>
      <c r="G9" s="33">
        <v>42826</v>
      </c>
      <c r="H9" s="34">
        <f t="shared" si="1"/>
        <v>15</v>
      </c>
      <c r="I9" s="34">
        <f t="shared" si="2"/>
        <v>15</v>
      </c>
    </row>
    <row r="10" spans="1:9" ht="15.6">
      <c r="A10" s="23">
        <v>8</v>
      </c>
      <c r="B10" s="31" t="s">
        <v>36</v>
      </c>
      <c r="C10" s="26" t="s">
        <v>37</v>
      </c>
      <c r="D10" s="13" t="s">
        <v>39</v>
      </c>
      <c r="E10" s="8"/>
      <c r="F10" s="20">
        <v>25</v>
      </c>
      <c r="G10" s="33">
        <v>38596</v>
      </c>
      <c r="H10" s="34">
        <f t="shared" si="1"/>
        <v>25</v>
      </c>
      <c r="I10" s="34">
        <f t="shared" si="2"/>
        <v>25</v>
      </c>
    </row>
    <row r="11" spans="1:9" ht="15.6">
      <c r="A11" s="23">
        <v>9</v>
      </c>
      <c r="B11" s="31" t="s">
        <v>36</v>
      </c>
      <c r="C11" s="26" t="s">
        <v>37</v>
      </c>
      <c r="D11" s="13" t="s">
        <v>40</v>
      </c>
      <c r="E11" s="8"/>
      <c r="F11" s="20">
        <v>15</v>
      </c>
      <c r="G11" s="33">
        <v>44383</v>
      </c>
      <c r="H11" s="34">
        <f t="shared" si="1"/>
        <v>15</v>
      </c>
      <c r="I11" s="34">
        <f t="shared" si="2"/>
        <v>15</v>
      </c>
    </row>
    <row r="12" spans="1:9" ht="15.6">
      <c r="A12" s="23">
        <v>10</v>
      </c>
      <c r="B12" s="31" t="s">
        <v>36</v>
      </c>
      <c r="C12" s="26" t="s">
        <v>37</v>
      </c>
      <c r="D12" s="13" t="s">
        <v>41</v>
      </c>
      <c r="E12" s="8"/>
      <c r="F12" s="20">
        <v>15</v>
      </c>
      <c r="G12" s="33">
        <v>45789</v>
      </c>
      <c r="H12" s="34">
        <f t="shared" si="1"/>
        <v>10</v>
      </c>
      <c r="I12" s="34">
        <f t="shared" si="2"/>
        <v>15</v>
      </c>
    </row>
    <row r="13" spans="1:9" ht="15.6">
      <c r="A13" s="23">
        <v>11</v>
      </c>
      <c r="B13" s="31" t="s">
        <v>36</v>
      </c>
      <c r="C13" s="26" t="s">
        <v>37</v>
      </c>
      <c r="D13" s="13" t="s">
        <v>42</v>
      </c>
      <c r="E13" s="8"/>
      <c r="F13" s="20">
        <v>15</v>
      </c>
      <c r="G13" s="33">
        <v>45880</v>
      </c>
      <c r="H13" s="34">
        <f t="shared" si="1"/>
        <v>6.25</v>
      </c>
      <c r="I13" s="34">
        <f t="shared" si="2"/>
        <v>15</v>
      </c>
    </row>
    <row r="14" spans="1:9" ht="15.6">
      <c r="A14" s="23">
        <v>12</v>
      </c>
      <c r="B14" s="31" t="s">
        <v>36</v>
      </c>
      <c r="C14" s="26" t="s">
        <v>37</v>
      </c>
      <c r="D14" s="13" t="s">
        <v>43</v>
      </c>
      <c r="E14" s="8"/>
      <c r="F14" s="20">
        <v>15</v>
      </c>
      <c r="G14" s="33">
        <v>44811</v>
      </c>
      <c r="H14" s="34">
        <f t="shared" si="1"/>
        <v>15</v>
      </c>
      <c r="I14" s="34">
        <f t="shared" si="2"/>
        <v>15</v>
      </c>
    </row>
    <row r="15" spans="1:9" ht="15.6">
      <c r="A15" s="23">
        <v>13</v>
      </c>
      <c r="B15" s="31" t="s">
        <v>36</v>
      </c>
      <c r="C15" s="26" t="s">
        <v>37</v>
      </c>
      <c r="D15" s="13" t="s">
        <v>44</v>
      </c>
      <c r="E15" s="8"/>
      <c r="F15" s="20">
        <v>15</v>
      </c>
      <c r="G15" s="33">
        <v>45964</v>
      </c>
      <c r="H15" s="34">
        <f t="shared" si="1"/>
        <v>2.5</v>
      </c>
      <c r="I15" s="34">
        <f t="shared" si="2"/>
        <v>15</v>
      </c>
    </row>
    <row r="16" spans="1:9" ht="15.6">
      <c r="A16" s="23">
        <v>14</v>
      </c>
      <c r="B16" s="31" t="s">
        <v>45</v>
      </c>
      <c r="C16" s="26" t="s">
        <v>37</v>
      </c>
      <c r="D16" s="13" t="s">
        <v>46</v>
      </c>
      <c r="E16" s="8"/>
      <c r="F16" s="20">
        <v>10</v>
      </c>
      <c r="G16" s="33">
        <v>45826</v>
      </c>
      <c r="H16" s="34">
        <f t="shared" si="1"/>
        <v>5.833333333333333</v>
      </c>
      <c r="I16" s="34">
        <f t="shared" si="2"/>
        <v>10</v>
      </c>
    </row>
    <row r="17" spans="1:9" ht="15.6">
      <c r="A17" s="23">
        <v>15</v>
      </c>
      <c r="B17" s="31" t="s">
        <v>45</v>
      </c>
      <c r="C17" s="26" t="s">
        <v>47</v>
      </c>
      <c r="D17" s="13" t="s">
        <v>48</v>
      </c>
      <c r="E17" s="8"/>
      <c r="F17" s="20">
        <v>15</v>
      </c>
      <c r="G17" s="33">
        <v>45558</v>
      </c>
      <c r="H17" s="34">
        <f t="shared" si="1"/>
        <v>15</v>
      </c>
      <c r="I17" s="34">
        <f t="shared" si="2"/>
        <v>15</v>
      </c>
    </row>
    <row r="18" spans="1:9" ht="15.6">
      <c r="A18" s="23">
        <v>16</v>
      </c>
      <c r="B18" s="31" t="s">
        <v>49</v>
      </c>
      <c r="C18" s="26" t="s">
        <v>50</v>
      </c>
      <c r="D18" s="13" t="s">
        <v>51</v>
      </c>
      <c r="E18" s="8"/>
      <c r="F18" s="20">
        <v>20</v>
      </c>
      <c r="G18" s="33">
        <v>45797</v>
      </c>
      <c r="H18" s="34">
        <f t="shared" si="1"/>
        <v>13.333333333333334</v>
      </c>
      <c r="I18" s="34">
        <f t="shared" si="2"/>
        <v>20</v>
      </c>
    </row>
    <row r="19" spans="1:9" ht="15.6">
      <c r="A19" s="23">
        <v>17</v>
      </c>
      <c r="B19" s="31" t="s">
        <v>45</v>
      </c>
      <c r="C19" s="26" t="s">
        <v>52</v>
      </c>
      <c r="D19" s="13" t="s">
        <v>53</v>
      </c>
      <c r="E19" s="8"/>
      <c r="F19" s="20">
        <v>15</v>
      </c>
      <c r="G19" s="33">
        <v>45882</v>
      </c>
      <c r="H19" s="34">
        <f t="shared" si="1"/>
        <v>6.25</v>
      </c>
      <c r="I19" s="34">
        <f t="shared" si="2"/>
        <v>15</v>
      </c>
    </row>
    <row r="20" spans="1:9" ht="15.75">
      <c r="A20" s="23">
        <v>18</v>
      </c>
      <c r="B20" s="31" t="s">
        <v>45</v>
      </c>
      <c r="C20" s="26" t="s">
        <v>52</v>
      </c>
      <c r="D20" s="13" t="s">
        <v>54</v>
      </c>
      <c r="E20" s="8"/>
      <c r="F20" s="20">
        <v>15</v>
      </c>
      <c r="G20" s="33">
        <v>46076</v>
      </c>
      <c r="H20" s="34"/>
      <c r="I20" s="34">
        <f t="shared" si="2"/>
        <v>13.75</v>
      </c>
    </row>
    <row r="21" spans="1:9" ht="15.6">
      <c r="A21" s="23">
        <v>19</v>
      </c>
      <c r="B21" s="31" t="s">
        <v>45</v>
      </c>
      <c r="C21" s="26" t="s">
        <v>55</v>
      </c>
      <c r="D21" s="13" t="s">
        <v>56</v>
      </c>
      <c r="E21" s="8"/>
      <c r="F21" s="20">
        <v>15</v>
      </c>
      <c r="G21" s="33">
        <v>45538</v>
      </c>
      <c r="H21" s="34">
        <f t="shared" si="1"/>
        <v>15</v>
      </c>
      <c r="I21" s="34">
        <f t="shared" si="2"/>
        <v>15</v>
      </c>
    </row>
    <row r="22" spans="1:9" ht="15.75">
      <c r="A22" s="23"/>
      <c r="B22" s="31"/>
      <c r="C22" s="26" t="s">
        <v>55</v>
      </c>
      <c r="D22" s="13" t="s">
        <v>57</v>
      </c>
      <c r="E22" s="8"/>
      <c r="F22" s="20">
        <v>10</v>
      </c>
      <c r="G22" s="33">
        <v>46076</v>
      </c>
      <c r="H22" s="34"/>
      <c r="I22" s="34">
        <f t="shared" si="2"/>
        <v>9.1666666666666661</v>
      </c>
    </row>
    <row r="23" spans="1:9" ht="15.6">
      <c r="A23" s="23">
        <v>20</v>
      </c>
      <c r="B23" s="31" t="s">
        <v>45</v>
      </c>
      <c r="C23" s="26" t="s">
        <v>58</v>
      </c>
      <c r="D23" s="13" t="s">
        <v>59</v>
      </c>
      <c r="E23" s="8"/>
      <c r="F23" s="20">
        <v>15</v>
      </c>
      <c r="G23" s="33">
        <v>44522</v>
      </c>
      <c r="H23" s="34">
        <f t="shared" si="1"/>
        <v>15</v>
      </c>
      <c r="I23" s="34">
        <f t="shared" si="2"/>
        <v>15</v>
      </c>
    </row>
    <row r="24" spans="1:9" ht="15.6">
      <c r="A24" s="23">
        <v>21</v>
      </c>
      <c r="B24" s="31" t="s">
        <v>45</v>
      </c>
      <c r="C24" s="26" t="s">
        <v>60</v>
      </c>
      <c r="D24" s="13" t="s">
        <v>61</v>
      </c>
      <c r="E24" s="8"/>
      <c r="F24" s="20">
        <v>10</v>
      </c>
      <c r="G24" s="33">
        <v>45831</v>
      </c>
      <c r="H24" s="34">
        <f>IF(YEAR($G24)=2025,
    $F24 * (12 - MONTH($G24) + 1) / 12,
    $F24)</f>
        <v>5.833333333333333</v>
      </c>
      <c r="I24" s="34">
        <f>IF(YEAR($G24)=2026,
    $F24 * (12 - MONTH($G24) + 1) / 12,
    $F24)</f>
        <v>10</v>
      </c>
    </row>
    <row r="25" spans="1:9" ht="15.75">
      <c r="A25" s="23"/>
      <c r="B25" s="31"/>
      <c r="C25" s="26" t="s">
        <v>62</v>
      </c>
      <c r="D25" s="13" t="s">
        <v>63</v>
      </c>
      <c r="E25" s="8"/>
      <c r="F25" s="20">
        <v>10</v>
      </c>
      <c r="G25" s="33">
        <v>46078</v>
      </c>
      <c r="H25" s="34"/>
      <c r="I25" s="34">
        <f>IF(YEAR($G25)=2026,
    $F25 * (12 - MONTH($G25) + 1) / 12,
    $F25)</f>
        <v>9.1666666666666661</v>
      </c>
    </row>
    <row r="26" spans="1:9" ht="15.6">
      <c r="A26" s="23">
        <v>22</v>
      </c>
      <c r="B26" s="31" t="s">
        <v>49</v>
      </c>
      <c r="C26" s="26" t="s">
        <v>64</v>
      </c>
      <c r="D26" s="13" t="s">
        <v>65</v>
      </c>
      <c r="E26" s="8"/>
      <c r="F26" s="20">
        <v>20</v>
      </c>
      <c r="G26" s="33">
        <v>45152</v>
      </c>
      <c r="H26" s="34">
        <f t="shared" si="1"/>
        <v>20</v>
      </c>
      <c r="I26" s="34">
        <f t="shared" si="2"/>
        <v>20</v>
      </c>
    </row>
    <row r="27" spans="1:9" ht="15.6">
      <c r="A27" s="23">
        <v>23</v>
      </c>
      <c r="B27" s="31" t="s">
        <v>49</v>
      </c>
      <c r="C27" s="26" t="s">
        <v>66</v>
      </c>
      <c r="D27" s="13" t="s">
        <v>67</v>
      </c>
      <c r="E27" s="8"/>
      <c r="F27" s="20">
        <v>15</v>
      </c>
      <c r="G27" s="33">
        <v>45964</v>
      </c>
      <c r="H27" s="34">
        <f t="shared" si="1"/>
        <v>2.5</v>
      </c>
      <c r="I27" s="34">
        <f t="shared" si="2"/>
        <v>15</v>
      </c>
    </row>
    <row r="28" spans="1:9" ht="15.6">
      <c r="A28" s="23">
        <v>24</v>
      </c>
      <c r="B28" s="31" t="s">
        <v>45</v>
      </c>
      <c r="C28" s="26" t="s">
        <v>68</v>
      </c>
      <c r="D28" s="13" t="s">
        <v>69</v>
      </c>
      <c r="E28" s="8"/>
      <c r="F28" s="20">
        <v>10</v>
      </c>
      <c r="G28" s="33">
        <v>45712</v>
      </c>
      <c r="H28" s="34">
        <f t="shared" si="1"/>
        <v>9.1666666666666661</v>
      </c>
      <c r="I28" s="34">
        <f t="shared" si="2"/>
        <v>10</v>
      </c>
    </row>
    <row r="29" spans="1:9" ht="15.6">
      <c r="A29" s="23">
        <v>25</v>
      </c>
      <c r="B29" s="31" t="s">
        <v>45</v>
      </c>
      <c r="C29" s="26" t="s">
        <v>70</v>
      </c>
      <c r="D29" s="13" t="s">
        <v>71</v>
      </c>
      <c r="E29" s="8"/>
      <c r="F29" s="20">
        <v>10</v>
      </c>
      <c r="G29" s="33">
        <v>45264</v>
      </c>
      <c r="H29" s="34">
        <f t="shared" si="1"/>
        <v>10</v>
      </c>
      <c r="I29" s="34">
        <f t="shared" si="2"/>
        <v>10</v>
      </c>
    </row>
    <row r="30" spans="1:9" ht="15.6">
      <c r="A30" s="23">
        <v>26</v>
      </c>
      <c r="B30" s="31" t="s">
        <v>45</v>
      </c>
      <c r="C30" s="26" t="s">
        <v>70</v>
      </c>
      <c r="D30" s="13" t="s">
        <v>72</v>
      </c>
      <c r="E30" s="8"/>
      <c r="F30" s="20">
        <v>10</v>
      </c>
      <c r="G30" s="33">
        <v>45275</v>
      </c>
      <c r="H30" s="34">
        <f t="shared" si="1"/>
        <v>10</v>
      </c>
      <c r="I30" s="34">
        <f t="shared" si="2"/>
        <v>10</v>
      </c>
    </row>
    <row r="31" spans="1:9" ht="15.75">
      <c r="A31" s="23"/>
      <c r="B31" s="31" t="s">
        <v>45</v>
      </c>
      <c r="C31" s="26" t="s">
        <v>73</v>
      </c>
      <c r="D31" s="13" t="s">
        <v>74</v>
      </c>
      <c r="E31" s="8"/>
      <c r="F31" s="20">
        <v>10</v>
      </c>
      <c r="G31" s="33">
        <v>46050</v>
      </c>
      <c r="H31" s="34"/>
      <c r="I31" s="34">
        <f t="shared" si="2"/>
        <v>10</v>
      </c>
    </row>
    <row r="32" spans="1:9" ht="15.6">
      <c r="A32" s="23">
        <v>27</v>
      </c>
      <c r="B32" s="31" t="s">
        <v>49</v>
      </c>
      <c r="C32" s="26" t="s">
        <v>75</v>
      </c>
      <c r="D32" s="13" t="s">
        <v>76</v>
      </c>
      <c r="E32" s="8"/>
      <c r="F32" s="20">
        <v>15</v>
      </c>
      <c r="G32" s="33">
        <v>45817</v>
      </c>
      <c r="H32" s="34">
        <f t="shared" si="1"/>
        <v>8.75</v>
      </c>
      <c r="I32" s="34">
        <f t="shared" si="2"/>
        <v>15</v>
      </c>
    </row>
    <row r="33" spans="1:9" ht="15.6">
      <c r="A33" s="23">
        <v>28</v>
      </c>
      <c r="B33" s="31" t="s">
        <v>45</v>
      </c>
      <c r="C33" s="26" t="s">
        <v>77</v>
      </c>
      <c r="D33" s="13" t="s">
        <v>78</v>
      </c>
      <c r="E33" s="8"/>
      <c r="F33" s="20">
        <v>10</v>
      </c>
      <c r="G33" s="33">
        <v>45833</v>
      </c>
      <c r="H33" s="34">
        <f t="shared" si="1"/>
        <v>5.833333333333333</v>
      </c>
      <c r="I33" s="34">
        <f t="shared" si="2"/>
        <v>10</v>
      </c>
    </row>
    <row r="34" spans="1:9" ht="15.6">
      <c r="A34" s="23">
        <v>29</v>
      </c>
      <c r="B34" s="31" t="s">
        <v>45</v>
      </c>
      <c r="C34" s="26" t="s">
        <v>77</v>
      </c>
      <c r="D34" s="13" t="s">
        <v>79</v>
      </c>
      <c r="E34" s="8"/>
      <c r="F34" s="20">
        <v>10</v>
      </c>
      <c r="G34" s="33">
        <v>45855</v>
      </c>
      <c r="H34" s="34">
        <f t="shared" si="1"/>
        <v>5</v>
      </c>
      <c r="I34" s="34">
        <f t="shared" si="2"/>
        <v>10</v>
      </c>
    </row>
    <row r="35" spans="1:9" ht="15.6">
      <c r="A35" s="23">
        <v>30</v>
      </c>
      <c r="B35" s="31" t="s">
        <v>45</v>
      </c>
      <c r="C35" s="26" t="s">
        <v>77</v>
      </c>
      <c r="D35" s="13" t="s">
        <v>80</v>
      </c>
      <c r="E35" s="8"/>
      <c r="F35" s="20">
        <v>10</v>
      </c>
      <c r="G35" s="33">
        <v>45413</v>
      </c>
      <c r="H35" s="34">
        <f t="shared" si="1"/>
        <v>10</v>
      </c>
      <c r="I35" s="34">
        <f t="shared" si="2"/>
        <v>10</v>
      </c>
    </row>
    <row r="36" spans="1:9" ht="15.6">
      <c r="A36" s="23">
        <v>31</v>
      </c>
      <c r="B36" s="31" t="s">
        <v>49</v>
      </c>
      <c r="C36" s="26" t="s">
        <v>81</v>
      </c>
      <c r="D36" s="13" t="s">
        <v>82</v>
      </c>
      <c r="E36" s="8"/>
      <c r="F36" s="20">
        <v>20</v>
      </c>
      <c r="G36" s="33">
        <v>42795</v>
      </c>
      <c r="H36" s="34">
        <f t="shared" si="1"/>
        <v>20</v>
      </c>
      <c r="I36" s="34">
        <f t="shared" si="2"/>
        <v>20</v>
      </c>
    </row>
    <row r="37" spans="1:9" ht="15.6">
      <c r="A37" s="23">
        <v>32</v>
      </c>
      <c r="B37" s="31" t="s">
        <v>45</v>
      </c>
      <c r="C37" s="26" t="s">
        <v>83</v>
      </c>
      <c r="D37" s="13" t="s">
        <v>84</v>
      </c>
      <c r="E37" s="8"/>
      <c r="F37" s="20">
        <v>15</v>
      </c>
      <c r="G37" s="33">
        <v>44963</v>
      </c>
      <c r="H37" s="34">
        <f t="shared" si="1"/>
        <v>15</v>
      </c>
      <c r="I37" s="34">
        <f t="shared" si="2"/>
        <v>15</v>
      </c>
    </row>
    <row r="38" spans="1:9" ht="15.6">
      <c r="A38" s="23">
        <v>33</v>
      </c>
      <c r="B38" s="31" t="s">
        <v>45</v>
      </c>
      <c r="C38" s="26" t="s">
        <v>85</v>
      </c>
      <c r="D38" s="13" t="s">
        <v>86</v>
      </c>
      <c r="E38" s="8"/>
      <c r="F38" s="20">
        <v>15</v>
      </c>
      <c r="G38" s="33">
        <v>43759</v>
      </c>
      <c r="H38" s="34">
        <f t="shared" si="1"/>
        <v>15</v>
      </c>
      <c r="I38" s="34">
        <f t="shared" si="2"/>
        <v>15</v>
      </c>
    </row>
    <row r="39" spans="1:9" ht="15.6">
      <c r="A39" s="23">
        <v>34</v>
      </c>
      <c r="B39" s="31" t="s">
        <v>45</v>
      </c>
      <c r="C39" s="26" t="s">
        <v>87</v>
      </c>
      <c r="D39" s="13" t="s">
        <v>88</v>
      </c>
      <c r="E39" s="8"/>
      <c r="F39" s="20">
        <v>10</v>
      </c>
      <c r="G39" s="33">
        <v>44963</v>
      </c>
      <c r="H39" s="34">
        <f t="shared" si="1"/>
        <v>10</v>
      </c>
      <c r="I39" s="34">
        <f t="shared" si="2"/>
        <v>10</v>
      </c>
    </row>
    <row r="40" spans="1:9" ht="15.6">
      <c r="A40" s="23">
        <v>35</v>
      </c>
      <c r="B40" s="31" t="s">
        <v>45</v>
      </c>
      <c r="C40" s="26" t="s">
        <v>89</v>
      </c>
      <c r="D40" s="13" t="s">
        <v>90</v>
      </c>
      <c r="E40" s="8"/>
      <c r="F40" s="20">
        <v>15</v>
      </c>
      <c r="G40" s="33">
        <v>44587</v>
      </c>
      <c r="H40" s="34">
        <f t="shared" si="1"/>
        <v>15</v>
      </c>
      <c r="I40" s="34">
        <f t="shared" si="2"/>
        <v>15</v>
      </c>
    </row>
    <row r="41" spans="1:9" ht="15.6">
      <c r="A41" s="23">
        <v>36</v>
      </c>
      <c r="B41" s="31" t="s">
        <v>45</v>
      </c>
      <c r="C41" s="26" t="s">
        <v>89</v>
      </c>
      <c r="D41" s="13" t="s">
        <v>91</v>
      </c>
      <c r="E41" s="8"/>
      <c r="F41" s="20">
        <v>15</v>
      </c>
      <c r="G41" s="33">
        <v>44956</v>
      </c>
      <c r="H41" s="34">
        <f t="shared" si="1"/>
        <v>15</v>
      </c>
      <c r="I41" s="34">
        <f t="shared" si="2"/>
        <v>15</v>
      </c>
    </row>
    <row r="42" spans="1:9" ht="15.6">
      <c r="A42" s="2"/>
      <c r="B42" s="31"/>
      <c r="C42" s="26"/>
      <c r="D42" s="13"/>
      <c r="E42" s="8"/>
      <c r="F42" s="20"/>
      <c r="G42" s="33"/>
    </row>
    <row r="43" spans="1:9" ht="15.6">
      <c r="A43" s="2"/>
      <c r="B43" s="31"/>
      <c r="C43" s="26"/>
      <c r="D43" s="13"/>
      <c r="E43" s="8"/>
      <c r="F43" s="20"/>
      <c r="G43" s="33"/>
    </row>
    <row r="44" spans="1:9" ht="15.6">
      <c r="A44" s="2"/>
      <c r="B44" s="31"/>
      <c r="C44" s="26"/>
      <c r="D44" s="13"/>
      <c r="E44" s="8"/>
      <c r="F44" s="20"/>
      <c r="G44" s="33"/>
    </row>
    <row r="45" spans="1:9" ht="15.6">
      <c r="A45" s="2"/>
      <c r="B45" s="31"/>
      <c r="C45" s="26"/>
      <c r="D45" s="13"/>
      <c r="E45" s="8"/>
      <c r="F45" s="20"/>
      <c r="G45" s="33"/>
    </row>
    <row r="46" spans="1:9" ht="15.6">
      <c r="A46" s="2"/>
      <c r="B46" s="31"/>
      <c r="C46" s="26"/>
      <c r="D46" s="13"/>
      <c r="E46" s="8"/>
      <c r="F46" s="20"/>
    </row>
    <row r="47" spans="1:9" ht="15.6">
      <c r="A47" s="2"/>
      <c r="B47" s="31"/>
      <c r="C47" s="26"/>
      <c r="D47" s="13"/>
      <c r="E47" s="8"/>
      <c r="F47" s="20"/>
    </row>
    <row r="48" spans="1:9" ht="15.6">
      <c r="A48" s="2"/>
      <c r="B48" s="31"/>
      <c r="C48" s="26"/>
      <c r="D48" s="13"/>
      <c r="E48" s="8"/>
      <c r="F48" s="20"/>
    </row>
    <row r="49" spans="1:6" ht="15.6">
      <c r="A49" s="2"/>
      <c r="B49" s="31"/>
      <c r="C49" s="26"/>
      <c r="D49" s="13"/>
      <c r="E49" s="8"/>
      <c r="F49" s="20"/>
    </row>
    <row r="50" spans="1:6" ht="15.6">
      <c r="A50" s="2"/>
      <c r="B50" s="31"/>
      <c r="C50" s="26"/>
      <c r="D50" s="13"/>
      <c r="E50" s="8"/>
      <c r="F50" s="20"/>
    </row>
    <row r="51" spans="1:6" ht="15.6">
      <c r="A51" s="2"/>
      <c r="B51" s="31"/>
      <c r="C51" s="26"/>
      <c r="D51" s="13"/>
      <c r="E51" s="8"/>
      <c r="F51" s="20"/>
    </row>
    <row r="52" spans="1:6" ht="15.6">
      <c r="A52" s="2"/>
      <c r="B52" s="31"/>
      <c r="C52" s="26"/>
      <c r="D52" s="13"/>
      <c r="E52" s="8"/>
      <c r="F52" s="20"/>
    </row>
    <row r="53" spans="1:6" ht="15.6">
      <c r="A53" s="2"/>
      <c r="B53" s="31"/>
      <c r="C53" s="26"/>
      <c r="D53" s="13"/>
      <c r="E53" s="8"/>
      <c r="F53" s="20"/>
    </row>
    <row r="54" spans="1:6" ht="15.6">
      <c r="A54" s="2"/>
      <c r="B54" s="31"/>
      <c r="C54" s="26"/>
      <c r="D54" s="13"/>
      <c r="E54" s="8"/>
      <c r="F54" s="20"/>
    </row>
    <row r="55" spans="1:6" ht="15.6">
      <c r="A55" s="2"/>
      <c r="B55" s="31"/>
      <c r="C55" s="26"/>
      <c r="D55" s="13"/>
      <c r="E55" s="8"/>
      <c r="F55" s="20"/>
    </row>
    <row r="56" spans="1:6" ht="15.6">
      <c r="A56" s="2"/>
      <c r="B56" s="31"/>
      <c r="C56" s="26"/>
      <c r="D56" s="13"/>
      <c r="E56" s="8"/>
      <c r="F56" s="20"/>
    </row>
    <row r="57" spans="1:6" ht="15.6">
      <c r="A57" s="2"/>
      <c r="B57" s="31"/>
      <c r="C57" s="26"/>
      <c r="D57" s="13"/>
      <c r="E57" s="8"/>
      <c r="F57" s="20"/>
    </row>
    <row r="58" spans="1:6" ht="15.6">
      <c r="A58" s="2"/>
      <c r="B58" s="31"/>
      <c r="C58" s="26"/>
      <c r="D58" s="13"/>
      <c r="E58" s="8"/>
      <c r="F58" s="20"/>
    </row>
    <row r="59" spans="1:6" ht="15.6">
      <c r="A59" s="2"/>
      <c r="B59" s="31"/>
      <c r="C59" s="26"/>
      <c r="D59" s="13"/>
      <c r="E59" s="8"/>
      <c r="F59" s="20"/>
    </row>
    <row r="60" spans="1:6" ht="15.6">
      <c r="A60" s="2"/>
      <c r="B60" s="31"/>
      <c r="C60" s="26"/>
      <c r="D60" s="13"/>
      <c r="E60" s="8"/>
      <c r="F60" s="20"/>
    </row>
    <row r="61" spans="1:6" ht="15.6">
      <c r="A61" s="2"/>
      <c r="B61" s="31"/>
      <c r="C61" s="26"/>
      <c r="D61" s="13"/>
      <c r="E61" s="8"/>
      <c r="F61" s="20"/>
    </row>
    <row r="62" spans="1:6" ht="15"/>
  </sheetData>
  <autoFilter ref="A3:F3" xr:uid="{8BE23FA2-056D-4F75-9D0B-2FFEE5F90FBE}">
    <sortState xmlns:xlrd2="http://schemas.microsoft.com/office/spreadsheetml/2017/richdata2" ref="A4:F38">
      <sortCondition ref="A3"/>
    </sortState>
  </autoFilter>
  <mergeCells count="1">
    <mergeCell ref="B2:D2"/>
  </mergeCells>
  <dataValidations count="1">
    <dataValidation allowBlank="1" showInputMessage="1" showErrorMessage="1" sqref="A1:A55 E1:E55" xr:uid="{368359B9-2215-4144-954C-012ADE8F1424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 Off Balance Summary</dc:title>
  <dc:subject>Patrick Brassard</dc:subject>
  <dc:creator>Patrick Brassard</dc:creator>
  <cp:keywords/>
  <dc:description/>
  <cp:lastModifiedBy/>
  <cp:revision/>
  <dcterms:created xsi:type="dcterms:W3CDTF">2025-10-20T19:00:31Z</dcterms:created>
  <dcterms:modified xsi:type="dcterms:W3CDTF">2026-03-20T20:54:16Z</dcterms:modified>
  <cp:category/>
  <cp:contentStatus/>
</cp:coreProperties>
</file>