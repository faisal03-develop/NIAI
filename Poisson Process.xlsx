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ber\Desktop\Statistics and Applied Data Analysis\Module 4\"/>
    </mc:Choice>
  </mc:AlternateContent>
  <xr:revisionPtr revIDLastSave="0" documentId="13_ncr:1_{0397BCDF-F709-4A46-B1A1-9E42FEA2EEF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" sheetId="1" r:id="rId1"/>
  </sheets>
  <definedNames>
    <definedName name="counts">Data!$H$8:$H$37</definedName>
    <definedName name="mean">Data!$K$4</definedName>
    <definedName name="minutes">Data!$B$8:$B$147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8" i="1"/>
  <c r="L11" i="1"/>
  <c r="L9" i="1" a="1"/>
  <c r="L9" i="1" s="1"/>
  <c r="L10" i="1" a="1"/>
  <c r="L10" i="1" s="1"/>
  <c r="L12" i="1" a="1"/>
  <c r="L12" i="1" s="1"/>
  <c r="L13" i="1" a="1"/>
  <c r="L13" i="1" s="1"/>
  <c r="L14" i="1" a="1"/>
  <c r="L14" i="1"/>
  <c r="L15" i="1" a="1"/>
  <c r="L15" i="1" s="1"/>
  <c r="L16" i="1" a="1"/>
  <c r="L16" i="1" s="1"/>
  <c r="L17" i="1" a="1"/>
  <c r="L17" i="1"/>
  <c r="L18" i="1" a="1"/>
  <c r="L18" i="1"/>
  <c r="L19" i="1" a="1"/>
  <c r="L19" i="1"/>
  <c r="L20" i="1" a="1"/>
  <c r="L20" i="1"/>
  <c r="L21" i="1" a="1"/>
  <c r="L21" i="1" s="1"/>
  <c r="L8" i="1" a="1"/>
  <c r="L8" i="1" s="1"/>
  <c r="K4" i="1"/>
  <c r="K3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8" i="1"/>
  <c r="J8" i="1" a="1"/>
  <c r="J8" i="1" s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8" i="1"/>
  <c r="G8" i="1" a="1"/>
  <c r="G8" i="1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9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8" i="1"/>
  <c r="D9" i="1"/>
  <c r="D10" i="1"/>
  <c r="D11" i="1"/>
  <c r="D12" i="1"/>
  <c r="D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<sst xmlns="http://schemas.openxmlformats.org/spreadsheetml/2006/main" count="22" uniqueCount="22">
  <si>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Car Number</t>
  </si>
  <si>
    <t>Minute</t>
  </si>
  <si>
    <t>Seconds</t>
  </si>
  <si>
    <t>Elapsed Time</t>
  </si>
  <si>
    <t>Technicians:  D. &amp; S. Clough</t>
  </si>
  <si>
    <t>30-minute interval</t>
  </si>
  <si>
    <t>Statistics and Data Analysis with Excel, Part 1</t>
  </si>
  <si>
    <t>Traffic Data</t>
  </si>
  <si>
    <t>Total seconds</t>
  </si>
  <si>
    <t>Time between cars</t>
  </si>
  <si>
    <t>minutes</t>
  </si>
  <si>
    <t>Minutes</t>
  </si>
  <si>
    <t>Experimental frequency</t>
  </si>
  <si>
    <t>Car passing in a 1-minute interval</t>
  </si>
  <si>
    <t>Frequency</t>
  </si>
  <si>
    <t>Theoretical Probability</t>
  </si>
  <si>
    <t>Theoretical Frequency</t>
  </si>
  <si>
    <t>T</t>
  </si>
  <si>
    <t>lambda</t>
  </si>
  <si>
    <t>events\minutes</t>
  </si>
  <si>
    <t>mean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</si>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</sst>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0" xfId="0" quotePrefix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Data!$J$8:$J$21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Data!$K$8:$K$21</c:f>
              <c:numCache>
                <c:formatCode>General</c:formatCode>
                <c:ptCount val="14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A-4F16-B36F-8F4B783EA25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Data!$J$8:$J$21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Data!$M$8:$M$21</c:f>
              <c:numCache>
                <c:formatCode>0.00</c:formatCode>
                <c:ptCount val="14"/>
                <c:pt idx="0">
                  <c:v>0.28210687654485617</c:v>
                </c:pt>
                <c:pt idx="1">
                  <c:v>1.316498757209329</c:v>
                </c:pt>
                <c:pt idx="2">
                  <c:v>3.0718304334884343</c:v>
                </c:pt>
                <c:pt idx="3">
                  <c:v>4.7784028965375658</c:v>
                </c:pt>
                <c:pt idx="4">
                  <c:v>5.5748033792938267</c:v>
                </c:pt>
                <c:pt idx="5">
                  <c:v>5.2031498206742386</c:v>
                </c:pt>
                <c:pt idx="6">
                  <c:v>4.0468943049688528</c:v>
                </c:pt>
                <c:pt idx="7">
                  <c:v>2.6979295366459013</c:v>
                </c:pt>
                <c:pt idx="8">
                  <c:v>1.5737922297101097</c:v>
                </c:pt>
                <c:pt idx="9">
                  <c:v>0.81604041540524208</c:v>
                </c:pt>
                <c:pt idx="10">
                  <c:v>0.38081886052244612</c:v>
                </c:pt>
                <c:pt idx="11">
                  <c:v>0.16155951658528023</c:v>
                </c:pt>
                <c:pt idx="12">
                  <c:v>6.2828700894275655E-2</c:v>
                </c:pt>
                <c:pt idx="13">
                  <c:v>2.2553892628714343E-2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EA-4F16-B36F-8F4B783E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624527"/>
        <c:axId val="1892623087"/>
      </c:barChart>
      <c:catAx>
        <c:axId val="189262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Cars</a:t>
                </a:r>
                <a:r>
                  <a:rPr lang="en-GB" baseline="0"/>
                  <a:t> </a:t>
                </a:r>
                <a:r>
                  <a:rPr lang="en-GB"/>
                  <a:t>in a 1-minute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623087"/>
        <c:crosses val="autoZero"/>
        <c:auto val="1"/>
        <c:lblAlgn val="ctr"/>
        <c:lblOffset val="100"/>
        <c:noMultiLvlLbl val="0"/>
      </c:catAx>
      <c:valAx>
        <c:axId val="189262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62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288925</xdr:colOff>
      <xdr:row>24</xdr:row>
      <xdr:rowOff>6350</xdr:rowOff>
    </xdr:from>
    <xdr:to>
      <xdr:col>14</xdr:col>
      <xdr:colOff>485775</xdr:colOff>
      <xdr:row>41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98BF38-4EEA-6783-B832-291A722F6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7"/>
  <sheetViews>
    <sheetView tabSelected="1" topLeftCell="A3" zoomScaleNormal="100" workbookViewId="0">
      <selection activeCell="M12" sqref="M12"/>
    </sheetView>
  </sheetViews>
  <sheetFormatPr defaultRowHeight="12.5" x14ac:dyDescent="0.25"/>
  <cols>
    <col min="5" max="5" width="13.26953125" customWidth="1"/>
    <col min="8" max="8" width="12.81640625" customWidth="1"/>
    <col min="10" max="10" width="14.81640625" customWidth="1"/>
    <col min="11" max="11" width="9.6328125" customWidth="1"/>
    <col min="12" max="12" width="10.7265625" customWidth="1"/>
    <col min="13" max="13" width="10" customWidth="1"/>
  </cols>
  <sheetData>
    <row r="1" spans="1:13" ht="13" x14ac:dyDescent="0.3">
      <c r="A1" s="4" t="s">
        <v>6</v>
      </c>
    </row>
    <row r="2" spans="1:13" ht="13" x14ac:dyDescent="0.3">
      <c r="A2" s="5" t="s">
        <v>7</v>
      </c>
      <c r="J2" t="s">
        <v>17</v>
      </c>
      <c r="K2">
        <v>1</v>
      </c>
      <c r="L2" t="s">
        <v>10</v>
      </c>
    </row>
    <row r="3" spans="1:13" x14ac:dyDescent="0.25">
      <c r="J3" t="s">
        <v>18</v>
      </c>
      <c r="K3">
        <f>140/30</f>
        <v>4.666666666666667</v>
      </c>
      <c r="L3" t="s">
        <v>19</v>
      </c>
    </row>
    <row r="4" spans="1:13" x14ac:dyDescent="0.25">
      <c r="A4" t="s">
        <v>4</v>
      </c>
      <c r="J4" t="s">
        <v>20</v>
      </c>
      <c r="K4">
        <f>K3*K2</f>
        <v>4.666666666666667</v>
      </c>
      <c r="L4" t="s">
        <v>21</v>
      </c>
    </row>
    <row r="5" spans="1:13" x14ac:dyDescent="0.25">
      <c r="A5" s="3" t="s">
        <v>5</v>
      </c>
    </row>
    <row r="6" spans="1:13" x14ac:dyDescent="0.25">
      <c r="B6" s="6" t="s">
        <v>3</v>
      </c>
      <c r="C6" s="6"/>
    </row>
    <row r="7" spans="1:13" ht="50" x14ac:dyDescent="0.25">
      <c r="A7" s="1" t="s">
        <v>0</v>
      </c>
      <c r="B7" s="1" t="s">
        <v>1</v>
      </c>
      <c r="C7" s="1" t="s">
        <v>2</v>
      </c>
      <c r="D7" s="1" t="s">
        <v>8</v>
      </c>
      <c r="E7" s="1" t="s">
        <v>9</v>
      </c>
      <c r="G7" s="1" t="s">
        <v>11</v>
      </c>
      <c r="H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</row>
    <row r="8" spans="1:13" x14ac:dyDescent="0.25">
      <c r="A8">
        <v>1</v>
      </c>
      <c r="B8">
        <v>0</v>
      </c>
      <c r="C8" s="2">
        <v>16.100000000000001</v>
      </c>
      <c r="D8">
        <f t="shared" ref="D8:D12" si="0">B8*60+C8</f>
        <v>16.100000000000001</v>
      </c>
      <c r="G8" cm="1">
        <f t="array" ref="G8:G37">_xlfn.SEQUENCE(30,1,0,1)</f>
        <v>0</v>
      </c>
      <c r="H8">
        <f>COUNTIF(minutes,G8)</f>
        <v>5</v>
      </c>
      <c r="J8" cm="1">
        <f t="array" ref="J8:J21">_xlfn.SEQUENCE(14,1,0,1)</f>
        <v>0</v>
      </c>
      <c r="K8">
        <f>COUNTIF(counts,J8)</f>
        <v>2</v>
      </c>
      <c r="L8" cm="1">
        <f t="array" ref="L8">_xlfn.POISSON.DIST(J8,mean,FALSE)</f>
        <v>9.4035625514952061E-3</v>
      </c>
      <c r="M8" s="7">
        <f>L8*30</f>
        <v>0.28210687654485617</v>
      </c>
    </row>
    <row r="9" spans="1:13" x14ac:dyDescent="0.25">
      <c r="A9">
        <v>2</v>
      </c>
      <c r="B9">
        <v>0</v>
      </c>
      <c r="C9" s="2">
        <v>37.799999999999997</v>
      </c>
      <c r="D9">
        <f t="shared" si="0"/>
        <v>37.799999999999997</v>
      </c>
      <c r="E9">
        <f>D9-D8</f>
        <v>21.699999999999996</v>
      </c>
      <c r="G9">
        <v>1</v>
      </c>
      <c r="H9">
        <f>COUNTIF(minutes,G9)</f>
        <v>4</v>
      </c>
      <c r="J9">
        <v>1</v>
      </c>
      <c r="K9">
        <f>COUNTIF(counts,J9)</f>
        <v>1</v>
      </c>
      <c r="L9" cm="1">
        <f t="array" ref="L9">_xlfn.POISSON.DIST(J9,mean,FALSE)</f>
        <v>4.388329190697763E-2</v>
      </c>
      <c r="M9" s="7">
        <f t="shared" ref="M9:M21" si="1">L9*30</f>
        <v>1.316498757209329</v>
      </c>
    </row>
    <row r="10" spans="1:13" x14ac:dyDescent="0.25">
      <c r="A10">
        <v>3</v>
      </c>
      <c r="B10">
        <v>0</v>
      </c>
      <c r="C10" s="2">
        <v>42.2</v>
      </c>
      <c r="D10">
        <f t="shared" si="0"/>
        <v>42.2</v>
      </c>
      <c r="E10">
        <f t="shared" ref="E10:E73" si="2">D10-D9</f>
        <v>4.4000000000000057</v>
      </c>
      <c r="G10">
        <v>2</v>
      </c>
      <c r="H10">
        <f>COUNTIF(minutes,G10)</f>
        <v>0</v>
      </c>
      <c r="J10">
        <v>2</v>
      </c>
      <c r="K10">
        <f>COUNTIF(counts,J10)</f>
        <v>3</v>
      </c>
      <c r="L10" cm="1">
        <f t="array" ref="L10">_xlfn.POISSON.DIST(J10,mean,FALSE)</f>
        <v>0.10239434778294781</v>
      </c>
      <c r="M10" s="7">
        <f t="shared" si="1"/>
        <v>3.0718304334884343</v>
      </c>
    </row>
    <row r="11" spans="1:13" x14ac:dyDescent="0.25">
      <c r="A11">
        <v>4</v>
      </c>
      <c r="B11">
        <v>0</v>
      </c>
      <c r="C11" s="2">
        <v>47.2</v>
      </c>
      <c r="D11">
        <f t="shared" si="0"/>
        <v>47.2</v>
      </c>
      <c r="E11">
        <f t="shared" si="2"/>
        <v>5</v>
      </c>
      <c r="G11">
        <v>3</v>
      </c>
      <c r="H11">
        <f>COUNTIF(minutes,G11)</f>
        <v>3</v>
      </c>
      <c r="J11">
        <v>3</v>
      </c>
      <c r="K11">
        <f>COUNTIF(counts,J11)</f>
        <v>5</v>
      </c>
      <c r="L11">
        <f>_xlfn.POISSON.DIST(J11,mean,FALSE)</f>
        <v>0.15928009655125219</v>
      </c>
      <c r="M11" s="7">
        <f t="shared" si="1"/>
        <v>4.7784028965375658</v>
      </c>
    </row>
    <row r="12" spans="1:13" x14ac:dyDescent="0.25">
      <c r="A12">
        <v>5</v>
      </c>
      <c r="B12">
        <v>0</v>
      </c>
      <c r="C12" s="2">
        <v>49.2</v>
      </c>
      <c r="D12">
        <f t="shared" si="0"/>
        <v>49.2</v>
      </c>
      <c r="E12">
        <f t="shared" si="2"/>
        <v>2</v>
      </c>
      <c r="G12">
        <v>4</v>
      </c>
      <c r="H12">
        <f>COUNTIF(minutes,G12)</f>
        <v>5</v>
      </c>
      <c r="J12">
        <v>4</v>
      </c>
      <c r="K12">
        <f>COUNTIF(counts,J12)</f>
        <v>6</v>
      </c>
      <c r="L12" cm="1">
        <f t="array" ref="L12">_xlfn.POISSON.DIST(J12,mean,FALSE)</f>
        <v>0.18582677930979422</v>
      </c>
      <c r="M12" s="7">
        <f t="shared" si="1"/>
        <v>5.5748033792938267</v>
      </c>
    </row>
    <row r="13" spans="1:13" x14ac:dyDescent="0.25">
      <c r="A13">
        <v>6</v>
      </c>
      <c r="B13">
        <v>1</v>
      </c>
      <c r="C13" s="2">
        <v>8.6</v>
      </c>
      <c r="D13">
        <f>B13*60+C13</f>
        <v>68.599999999999994</v>
      </c>
      <c r="E13">
        <f t="shared" si="2"/>
        <v>19.399999999999991</v>
      </c>
      <c r="G13">
        <v>5</v>
      </c>
      <c r="H13">
        <f>COUNTIF(minutes,G13)</f>
        <v>8</v>
      </c>
      <c r="J13">
        <v>5</v>
      </c>
      <c r="K13">
        <f>COUNTIF(counts,J13)</f>
        <v>4</v>
      </c>
      <c r="L13" cm="1">
        <f t="array" ref="L13">_xlfn.POISSON.DIST(J13,mean,FALSE)</f>
        <v>0.17343832735580794</v>
      </c>
      <c r="M13" s="7">
        <f t="shared" si="1"/>
        <v>5.2031498206742386</v>
      </c>
    </row>
    <row r="14" spans="1:13" x14ac:dyDescent="0.25">
      <c r="A14">
        <v>7</v>
      </c>
      <c r="B14">
        <v>1</v>
      </c>
      <c r="C14" s="2">
        <v>39.700000000000003</v>
      </c>
      <c r="D14">
        <f t="shared" ref="D14:D77" si="3">B14*60+C14</f>
        <v>99.7</v>
      </c>
      <c r="E14">
        <f t="shared" si="2"/>
        <v>31.100000000000009</v>
      </c>
      <c r="G14">
        <v>6</v>
      </c>
      <c r="H14">
        <f>COUNTIF(minutes,G14)</f>
        <v>2</v>
      </c>
      <c r="J14">
        <v>6</v>
      </c>
      <c r="K14">
        <f>COUNTIF(counts,J14)</f>
        <v>4</v>
      </c>
      <c r="L14" cm="1">
        <f t="array" ref="L14">_xlfn.POISSON.DIST(J14,mean,FALSE)</f>
        <v>0.13489647683229508</v>
      </c>
      <c r="M14" s="7">
        <f t="shared" si="1"/>
        <v>4.0468943049688528</v>
      </c>
    </row>
    <row r="15" spans="1:13" x14ac:dyDescent="0.25">
      <c r="A15">
        <v>8</v>
      </c>
      <c r="B15">
        <v>1</v>
      </c>
      <c r="C15" s="2">
        <v>50.4</v>
      </c>
      <c r="D15">
        <f t="shared" si="3"/>
        <v>110.4</v>
      </c>
      <c r="E15">
        <f t="shared" si="2"/>
        <v>10.700000000000003</v>
      </c>
      <c r="G15">
        <v>7</v>
      </c>
      <c r="H15">
        <f>COUNTIF(minutes,G15)</f>
        <v>6</v>
      </c>
      <c r="J15">
        <v>7</v>
      </c>
      <c r="K15">
        <f>COUNTIF(counts,J15)</f>
        <v>0</v>
      </c>
      <c r="L15" cm="1">
        <f t="array" ref="L15">_xlfn.POISSON.DIST(J15,mean,FALSE)</f>
        <v>8.9930984554863383E-2</v>
      </c>
      <c r="M15" s="7">
        <f t="shared" si="1"/>
        <v>2.6979295366459013</v>
      </c>
    </row>
    <row r="16" spans="1:13" x14ac:dyDescent="0.25">
      <c r="A16">
        <v>9</v>
      </c>
      <c r="B16">
        <v>1</v>
      </c>
      <c r="C16" s="2">
        <v>52.2</v>
      </c>
      <c r="D16">
        <f t="shared" si="3"/>
        <v>112.2</v>
      </c>
      <c r="E16">
        <f t="shared" si="2"/>
        <v>1.7999999999999972</v>
      </c>
      <c r="G16">
        <v>8</v>
      </c>
      <c r="H16">
        <f>COUNTIF(minutes,G16)</f>
        <v>4</v>
      </c>
      <c r="J16">
        <v>8</v>
      </c>
      <c r="K16">
        <f>COUNTIF(counts,J16)</f>
        <v>2</v>
      </c>
      <c r="L16" cm="1">
        <f t="array" ref="L16">_xlfn.POISSON.DIST(J16,mean,FALSE)</f>
        <v>5.2459740990336991E-2</v>
      </c>
      <c r="M16" s="7">
        <f t="shared" si="1"/>
        <v>1.5737922297101097</v>
      </c>
    </row>
    <row r="17" spans="1:13" x14ac:dyDescent="0.25">
      <c r="A17">
        <v>10</v>
      </c>
      <c r="B17">
        <v>3</v>
      </c>
      <c r="C17" s="2">
        <v>7</v>
      </c>
      <c r="D17">
        <f t="shared" si="3"/>
        <v>187</v>
      </c>
      <c r="E17">
        <f t="shared" si="2"/>
        <v>74.8</v>
      </c>
      <c r="G17">
        <v>9</v>
      </c>
      <c r="H17">
        <f>COUNTIF(minutes,G17)</f>
        <v>5</v>
      </c>
      <c r="J17">
        <v>9</v>
      </c>
      <c r="K17">
        <f>COUNTIF(counts,J17)</f>
        <v>0</v>
      </c>
      <c r="L17" cm="1">
        <f t="array" ref="L17">_xlfn.POISSON.DIST(J17,mean,FALSE)</f>
        <v>2.7201347180174737E-2</v>
      </c>
      <c r="M17" s="7">
        <f t="shared" si="1"/>
        <v>0.81604041540524208</v>
      </c>
    </row>
    <row r="18" spans="1:13" x14ac:dyDescent="0.25">
      <c r="A18">
        <v>11</v>
      </c>
      <c r="B18">
        <v>3</v>
      </c>
      <c r="C18" s="2">
        <v>24.7</v>
      </c>
      <c r="D18">
        <f t="shared" si="3"/>
        <v>204.7</v>
      </c>
      <c r="E18">
        <f t="shared" si="2"/>
        <v>17.699999999999989</v>
      </c>
      <c r="G18">
        <v>10</v>
      </c>
      <c r="H18">
        <f>COUNTIF(minutes,G18)</f>
        <v>4</v>
      </c>
      <c r="J18">
        <v>10</v>
      </c>
      <c r="K18">
        <f>COUNTIF(counts,J18)</f>
        <v>1</v>
      </c>
      <c r="L18" cm="1">
        <f t="array" ref="L18">_xlfn.POISSON.DIST(J18,mean,FALSE)</f>
        <v>1.2693962017414871E-2</v>
      </c>
      <c r="M18" s="7">
        <f t="shared" si="1"/>
        <v>0.38081886052244612</v>
      </c>
    </row>
    <row r="19" spans="1:13" x14ac:dyDescent="0.25">
      <c r="A19">
        <v>12</v>
      </c>
      <c r="B19">
        <v>3</v>
      </c>
      <c r="C19" s="2">
        <v>53.4</v>
      </c>
      <c r="D19">
        <f t="shared" si="3"/>
        <v>233.4</v>
      </c>
      <c r="E19">
        <f t="shared" si="2"/>
        <v>28.700000000000017</v>
      </c>
      <c r="G19">
        <v>11</v>
      </c>
      <c r="H19">
        <f>COUNTIF(minutes,G19)</f>
        <v>3</v>
      </c>
      <c r="J19">
        <v>11</v>
      </c>
      <c r="K19">
        <f>COUNTIF(counts,J19)</f>
        <v>1</v>
      </c>
      <c r="L19" cm="1">
        <f t="array" ref="L19">_xlfn.POISSON.DIST(J19,mean,FALSE)</f>
        <v>5.385317219509341E-3</v>
      </c>
      <c r="M19" s="7">
        <f t="shared" si="1"/>
        <v>0.16155951658528023</v>
      </c>
    </row>
    <row r="20" spans="1:13" x14ac:dyDescent="0.25">
      <c r="A20">
        <v>13</v>
      </c>
      <c r="B20">
        <v>4</v>
      </c>
      <c r="C20" s="2">
        <v>15.1</v>
      </c>
      <c r="D20">
        <f t="shared" si="3"/>
        <v>255.1</v>
      </c>
      <c r="E20">
        <f t="shared" si="2"/>
        <v>21.699999999999989</v>
      </c>
      <c r="G20">
        <v>12</v>
      </c>
      <c r="H20">
        <f>COUNTIF(minutes,G20)</f>
        <v>2</v>
      </c>
      <c r="J20">
        <v>12</v>
      </c>
      <c r="K20">
        <f>COUNTIF(counts,J20)</f>
        <v>0</v>
      </c>
      <c r="L20" cm="1">
        <f t="array" ref="L20">_xlfn.POISSON.DIST(J20,mean,FALSE)</f>
        <v>2.0942900298091885E-3</v>
      </c>
      <c r="M20" s="7">
        <f t="shared" si="1"/>
        <v>6.2828700894275655E-2</v>
      </c>
    </row>
    <row r="21" spans="1:13" x14ac:dyDescent="0.25">
      <c r="A21">
        <v>14</v>
      </c>
      <c r="B21">
        <v>4</v>
      </c>
      <c r="C21" s="2">
        <v>24.2</v>
      </c>
      <c r="D21">
        <f t="shared" si="3"/>
        <v>264.2</v>
      </c>
      <c r="E21">
        <f t="shared" si="2"/>
        <v>9.0999999999999943</v>
      </c>
      <c r="G21">
        <v>13</v>
      </c>
      <c r="H21">
        <f>COUNTIF(minutes,G21)</f>
        <v>6</v>
      </c>
      <c r="J21">
        <v>13</v>
      </c>
      <c r="K21">
        <f>COUNTIF(counts,J21)</f>
        <v>1</v>
      </c>
      <c r="L21" cm="1">
        <f t="array" ref="L21">_xlfn.POISSON.DIST(J21,mean,FALSE)</f>
        <v>7.5179642095714479E-4</v>
      </c>
      <c r="M21" s="7">
        <f t="shared" si="1"/>
        <v>2.2553892628714343E-2</v>
      </c>
    </row>
    <row r="22" spans="1:13" x14ac:dyDescent="0.25">
      <c r="A22">
        <v>15</v>
      </c>
      <c r="B22">
        <v>4</v>
      </c>
      <c r="C22" s="2">
        <v>27.9</v>
      </c>
      <c r="D22">
        <f t="shared" si="3"/>
        <v>267.89999999999998</v>
      </c>
      <c r="E22">
        <f t="shared" si="2"/>
        <v>3.6999999999999886</v>
      </c>
      <c r="G22">
        <v>14</v>
      </c>
      <c r="H22">
        <f>COUNTIF(minutes,G22)</f>
        <v>6</v>
      </c>
    </row>
    <row r="23" spans="1:13" x14ac:dyDescent="0.25">
      <c r="A23">
        <v>16</v>
      </c>
      <c r="B23">
        <v>4</v>
      </c>
      <c r="C23" s="2">
        <v>33.700000000000003</v>
      </c>
      <c r="D23">
        <f t="shared" si="3"/>
        <v>273.7</v>
      </c>
      <c r="E23">
        <f t="shared" si="2"/>
        <v>5.8000000000000114</v>
      </c>
      <c r="G23">
        <v>15</v>
      </c>
      <c r="H23">
        <f>COUNTIF(minutes,G23)</f>
        <v>8</v>
      </c>
    </row>
    <row r="24" spans="1:13" x14ac:dyDescent="0.25">
      <c r="A24">
        <v>17</v>
      </c>
      <c r="B24">
        <v>4</v>
      </c>
      <c r="C24" s="2">
        <v>52.1</v>
      </c>
      <c r="D24">
        <f t="shared" si="3"/>
        <v>292.10000000000002</v>
      </c>
      <c r="E24">
        <f t="shared" si="2"/>
        <v>18.400000000000034</v>
      </c>
      <c r="G24">
        <v>16</v>
      </c>
      <c r="H24">
        <f>COUNTIF(minutes,G24)</f>
        <v>3</v>
      </c>
    </row>
    <row r="25" spans="1:13" x14ac:dyDescent="0.25">
      <c r="A25">
        <v>18</v>
      </c>
      <c r="B25">
        <v>5</v>
      </c>
      <c r="C25" s="2">
        <v>6.2</v>
      </c>
      <c r="D25">
        <f t="shared" si="3"/>
        <v>306.2</v>
      </c>
      <c r="E25">
        <f t="shared" si="2"/>
        <v>14.099999999999966</v>
      </c>
      <c r="G25">
        <v>17</v>
      </c>
      <c r="H25">
        <f>COUNTIF(minutes,G25)</f>
        <v>0</v>
      </c>
    </row>
    <row r="26" spans="1:13" x14ac:dyDescent="0.25">
      <c r="A26">
        <v>19</v>
      </c>
      <c r="B26">
        <v>5</v>
      </c>
      <c r="C26" s="2">
        <v>8.8000000000000007</v>
      </c>
      <c r="D26">
        <f t="shared" si="3"/>
        <v>308.8</v>
      </c>
      <c r="E26">
        <f t="shared" si="2"/>
        <v>2.6000000000000227</v>
      </c>
      <c r="G26">
        <v>18</v>
      </c>
      <c r="H26">
        <f>COUNTIF(minutes,G26)</f>
        <v>13</v>
      </c>
    </row>
    <row r="27" spans="1:13" x14ac:dyDescent="0.25">
      <c r="A27">
        <v>20</v>
      </c>
      <c r="B27">
        <v>5</v>
      </c>
      <c r="C27" s="2">
        <v>35.1</v>
      </c>
      <c r="D27">
        <f t="shared" si="3"/>
        <v>335.1</v>
      </c>
      <c r="E27">
        <f t="shared" si="2"/>
        <v>26.300000000000011</v>
      </c>
      <c r="G27">
        <v>19</v>
      </c>
      <c r="H27">
        <f>COUNTIF(minutes,G27)</f>
        <v>10</v>
      </c>
    </row>
    <row r="28" spans="1:13" x14ac:dyDescent="0.25">
      <c r="A28">
        <v>21</v>
      </c>
      <c r="B28">
        <v>5</v>
      </c>
      <c r="C28" s="2">
        <v>40.200000000000003</v>
      </c>
      <c r="D28">
        <f t="shared" si="3"/>
        <v>340.2</v>
      </c>
      <c r="E28">
        <f t="shared" si="2"/>
        <v>5.0999999999999659</v>
      </c>
      <c r="G28">
        <v>20</v>
      </c>
      <c r="H28">
        <f>COUNTIF(minutes,G28)</f>
        <v>5</v>
      </c>
    </row>
    <row r="29" spans="1:13" x14ac:dyDescent="0.25">
      <c r="A29">
        <v>22</v>
      </c>
      <c r="B29">
        <v>5</v>
      </c>
      <c r="C29" s="2">
        <v>41.1</v>
      </c>
      <c r="D29">
        <f t="shared" si="3"/>
        <v>341.1</v>
      </c>
      <c r="E29">
        <f t="shared" si="2"/>
        <v>0.90000000000003411</v>
      </c>
      <c r="G29">
        <v>21</v>
      </c>
      <c r="H29">
        <f>COUNTIF(minutes,G29)</f>
        <v>3</v>
      </c>
    </row>
    <row r="30" spans="1:13" x14ac:dyDescent="0.25">
      <c r="A30">
        <v>23</v>
      </c>
      <c r="B30">
        <v>5</v>
      </c>
      <c r="C30" s="2">
        <v>44.7</v>
      </c>
      <c r="D30">
        <f t="shared" si="3"/>
        <v>344.7</v>
      </c>
      <c r="E30">
        <f t="shared" si="2"/>
        <v>3.5999999999999659</v>
      </c>
      <c r="G30">
        <v>22</v>
      </c>
      <c r="H30">
        <f>COUNTIF(minutes,G30)</f>
        <v>11</v>
      </c>
    </row>
    <row r="31" spans="1:13" x14ac:dyDescent="0.25">
      <c r="A31">
        <v>24</v>
      </c>
      <c r="B31">
        <v>5</v>
      </c>
      <c r="C31" s="2">
        <v>50</v>
      </c>
      <c r="D31">
        <f t="shared" si="3"/>
        <v>350</v>
      </c>
      <c r="E31">
        <f t="shared" si="2"/>
        <v>5.3000000000000114</v>
      </c>
      <c r="G31">
        <v>23</v>
      </c>
      <c r="H31">
        <f>COUNTIF(minutes,G31)</f>
        <v>6</v>
      </c>
    </row>
    <row r="32" spans="1:13" x14ac:dyDescent="0.25">
      <c r="A32">
        <v>25</v>
      </c>
      <c r="B32">
        <v>5</v>
      </c>
      <c r="C32" s="2">
        <v>54.4</v>
      </c>
      <c r="D32">
        <f t="shared" si="3"/>
        <v>354.4</v>
      </c>
      <c r="E32">
        <f t="shared" si="2"/>
        <v>4.3999999999999773</v>
      </c>
      <c r="G32">
        <v>24</v>
      </c>
      <c r="H32">
        <f>COUNTIF(minutes,G32)</f>
        <v>2</v>
      </c>
    </row>
    <row r="33" spans="1:8" x14ac:dyDescent="0.25">
      <c r="A33">
        <v>26</v>
      </c>
      <c r="B33">
        <v>6</v>
      </c>
      <c r="C33" s="2">
        <v>10.6</v>
      </c>
      <c r="D33">
        <f t="shared" si="3"/>
        <v>370.6</v>
      </c>
      <c r="E33">
        <f t="shared" si="2"/>
        <v>16.200000000000045</v>
      </c>
      <c r="G33">
        <v>25</v>
      </c>
      <c r="H33">
        <f>COUNTIF(minutes,G33)</f>
        <v>1</v>
      </c>
    </row>
    <row r="34" spans="1:8" x14ac:dyDescent="0.25">
      <c r="A34">
        <v>27</v>
      </c>
      <c r="B34">
        <v>6</v>
      </c>
      <c r="C34" s="2">
        <v>19.399999999999999</v>
      </c>
      <c r="D34">
        <f t="shared" si="3"/>
        <v>379.4</v>
      </c>
      <c r="E34">
        <f t="shared" si="2"/>
        <v>8.7999999999999545</v>
      </c>
      <c r="G34">
        <v>26</v>
      </c>
      <c r="H34">
        <f>COUNTIF(minutes,G34)</f>
        <v>4</v>
      </c>
    </row>
    <row r="35" spans="1:8" x14ac:dyDescent="0.25">
      <c r="A35">
        <v>28</v>
      </c>
      <c r="B35">
        <v>7</v>
      </c>
      <c r="C35" s="2">
        <v>23.7</v>
      </c>
      <c r="D35">
        <f t="shared" si="3"/>
        <v>443.7</v>
      </c>
      <c r="E35">
        <f t="shared" si="2"/>
        <v>64.300000000000011</v>
      </c>
      <c r="G35">
        <v>27</v>
      </c>
      <c r="H35">
        <f>COUNTIF(minutes,G35)</f>
        <v>4</v>
      </c>
    </row>
    <row r="36" spans="1:8" x14ac:dyDescent="0.25">
      <c r="A36">
        <v>29</v>
      </c>
      <c r="B36">
        <v>7</v>
      </c>
      <c r="C36" s="2">
        <v>43.5</v>
      </c>
      <c r="D36">
        <f t="shared" si="3"/>
        <v>463.5</v>
      </c>
      <c r="E36">
        <f t="shared" si="2"/>
        <v>19.800000000000011</v>
      </c>
      <c r="G36">
        <v>28</v>
      </c>
      <c r="H36">
        <f>COUNTIF(minutes,G36)</f>
        <v>3</v>
      </c>
    </row>
    <row r="37" spans="1:8" x14ac:dyDescent="0.25">
      <c r="A37">
        <v>30</v>
      </c>
      <c r="B37">
        <v>7</v>
      </c>
      <c r="C37" s="2">
        <v>48.8</v>
      </c>
      <c r="D37">
        <f t="shared" si="3"/>
        <v>468.8</v>
      </c>
      <c r="E37">
        <f t="shared" si="2"/>
        <v>5.3000000000000114</v>
      </c>
      <c r="G37">
        <v>29</v>
      </c>
      <c r="H37">
        <f>COUNTIF(minutes,G37)</f>
        <v>4</v>
      </c>
    </row>
    <row r="38" spans="1:8" x14ac:dyDescent="0.25">
      <c r="A38">
        <v>31</v>
      </c>
      <c r="B38">
        <v>7</v>
      </c>
      <c r="C38" s="2">
        <v>49</v>
      </c>
      <c r="D38">
        <f t="shared" si="3"/>
        <v>469</v>
      </c>
      <c r="E38">
        <f t="shared" si="2"/>
        <v>0.19999999999998863</v>
      </c>
    </row>
    <row r="39" spans="1:8" x14ac:dyDescent="0.25">
      <c r="A39">
        <v>32</v>
      </c>
      <c r="B39">
        <v>7</v>
      </c>
      <c r="C39" s="2">
        <v>53</v>
      </c>
      <c r="D39">
        <f t="shared" si="3"/>
        <v>473</v>
      </c>
      <c r="E39">
        <f t="shared" si="2"/>
        <v>4</v>
      </c>
    </row>
    <row r="40" spans="1:8" x14ac:dyDescent="0.25">
      <c r="A40">
        <v>33</v>
      </c>
      <c r="B40">
        <v>7</v>
      </c>
      <c r="C40" s="2">
        <v>57.9</v>
      </c>
      <c r="D40">
        <f t="shared" si="3"/>
        <v>477.9</v>
      </c>
      <c r="E40">
        <f t="shared" si="2"/>
        <v>4.8999999999999773</v>
      </c>
    </row>
    <row r="41" spans="1:8" x14ac:dyDescent="0.25">
      <c r="A41">
        <v>34</v>
      </c>
      <c r="B41">
        <v>8</v>
      </c>
      <c r="C41" s="2">
        <v>29.6</v>
      </c>
      <c r="D41">
        <f t="shared" si="3"/>
        <v>509.6</v>
      </c>
      <c r="E41">
        <f t="shared" si="2"/>
        <v>31.700000000000045</v>
      </c>
    </row>
    <row r="42" spans="1:8" x14ac:dyDescent="0.25">
      <c r="A42">
        <v>35</v>
      </c>
      <c r="B42">
        <v>8</v>
      </c>
      <c r="C42" s="2">
        <v>34.6</v>
      </c>
      <c r="D42">
        <f t="shared" si="3"/>
        <v>514.6</v>
      </c>
      <c r="E42">
        <f t="shared" si="2"/>
        <v>5</v>
      </c>
    </row>
    <row r="43" spans="1:8" x14ac:dyDescent="0.25">
      <c r="A43">
        <v>36</v>
      </c>
      <c r="B43">
        <v>8</v>
      </c>
      <c r="C43" s="2">
        <v>36.799999999999997</v>
      </c>
      <c r="D43">
        <f t="shared" si="3"/>
        <v>516.79999999999995</v>
      </c>
      <c r="E43">
        <f t="shared" si="2"/>
        <v>2.1999999999999318</v>
      </c>
    </row>
    <row r="44" spans="1:8" x14ac:dyDescent="0.25">
      <c r="A44">
        <v>37</v>
      </c>
      <c r="B44">
        <v>8</v>
      </c>
      <c r="C44" s="2">
        <v>39.799999999999997</v>
      </c>
      <c r="D44">
        <f t="shared" si="3"/>
        <v>519.79999999999995</v>
      </c>
      <c r="E44">
        <f t="shared" si="2"/>
        <v>3</v>
      </c>
    </row>
    <row r="45" spans="1:8" x14ac:dyDescent="0.25">
      <c r="A45">
        <v>38</v>
      </c>
      <c r="B45">
        <v>9</v>
      </c>
      <c r="C45" s="2">
        <v>7.7</v>
      </c>
      <c r="D45">
        <f t="shared" si="3"/>
        <v>547.70000000000005</v>
      </c>
      <c r="E45">
        <f t="shared" si="2"/>
        <v>27.900000000000091</v>
      </c>
    </row>
    <row r="46" spans="1:8" x14ac:dyDescent="0.25">
      <c r="A46">
        <v>39</v>
      </c>
      <c r="B46">
        <v>9</v>
      </c>
      <c r="C46" s="2">
        <v>7.7</v>
      </c>
      <c r="D46">
        <f t="shared" si="3"/>
        <v>547.70000000000005</v>
      </c>
      <c r="E46">
        <f t="shared" si="2"/>
        <v>0</v>
      </c>
    </row>
    <row r="47" spans="1:8" x14ac:dyDescent="0.25">
      <c r="A47">
        <v>40</v>
      </c>
      <c r="B47">
        <v>9</v>
      </c>
      <c r="C47" s="2">
        <v>18.7</v>
      </c>
      <c r="D47">
        <f t="shared" si="3"/>
        <v>558.70000000000005</v>
      </c>
      <c r="E47">
        <f t="shared" si="2"/>
        <v>11</v>
      </c>
    </row>
    <row r="48" spans="1:8" x14ac:dyDescent="0.25">
      <c r="A48">
        <v>41</v>
      </c>
      <c r="B48">
        <v>9</v>
      </c>
      <c r="C48" s="2">
        <v>22.2</v>
      </c>
      <c r="D48">
        <f t="shared" si="3"/>
        <v>562.20000000000005</v>
      </c>
      <c r="E48">
        <f t="shared" si="2"/>
        <v>3.5</v>
      </c>
    </row>
    <row r="49" spans="1:5" x14ac:dyDescent="0.25">
      <c r="A49">
        <v>42</v>
      </c>
      <c r="B49">
        <v>9</v>
      </c>
      <c r="C49" s="2">
        <v>31</v>
      </c>
      <c r="D49">
        <f t="shared" si="3"/>
        <v>571</v>
      </c>
      <c r="E49">
        <f t="shared" si="2"/>
        <v>8.7999999999999545</v>
      </c>
    </row>
    <row r="50" spans="1:5" x14ac:dyDescent="0.25">
      <c r="A50">
        <v>43</v>
      </c>
      <c r="B50">
        <v>10</v>
      </c>
      <c r="C50" s="2">
        <v>8.4</v>
      </c>
      <c r="D50">
        <f t="shared" si="3"/>
        <v>608.4</v>
      </c>
      <c r="E50">
        <f t="shared" si="2"/>
        <v>37.399999999999977</v>
      </c>
    </row>
    <row r="51" spans="1:5" x14ac:dyDescent="0.25">
      <c r="A51">
        <v>44</v>
      </c>
      <c r="B51">
        <v>10</v>
      </c>
      <c r="C51" s="2">
        <v>11.3</v>
      </c>
      <c r="D51">
        <f t="shared" si="3"/>
        <v>611.29999999999995</v>
      </c>
      <c r="E51">
        <f t="shared" si="2"/>
        <v>2.8999999999999773</v>
      </c>
    </row>
    <row r="52" spans="1:5" x14ac:dyDescent="0.25">
      <c r="A52">
        <v>45</v>
      </c>
      <c r="B52">
        <v>10</v>
      </c>
      <c r="C52" s="2">
        <v>13.5</v>
      </c>
      <c r="D52">
        <f t="shared" si="3"/>
        <v>613.5</v>
      </c>
      <c r="E52">
        <f t="shared" si="2"/>
        <v>2.2000000000000455</v>
      </c>
    </row>
    <row r="53" spans="1:5" x14ac:dyDescent="0.25">
      <c r="A53">
        <v>46</v>
      </c>
      <c r="B53">
        <v>10</v>
      </c>
      <c r="C53" s="2">
        <v>19.7</v>
      </c>
      <c r="D53">
        <f t="shared" si="3"/>
        <v>619.70000000000005</v>
      </c>
      <c r="E53">
        <f t="shared" si="2"/>
        <v>6.2000000000000455</v>
      </c>
    </row>
    <row r="54" spans="1:5" x14ac:dyDescent="0.25">
      <c r="A54">
        <v>47</v>
      </c>
      <c r="B54">
        <v>11</v>
      </c>
      <c r="C54" s="2">
        <v>39.1</v>
      </c>
      <c r="D54">
        <f t="shared" si="3"/>
        <v>699.1</v>
      </c>
      <c r="E54">
        <f t="shared" si="2"/>
        <v>79.399999999999977</v>
      </c>
    </row>
    <row r="55" spans="1:5" x14ac:dyDescent="0.25">
      <c r="A55">
        <v>48</v>
      </c>
      <c r="B55">
        <v>11</v>
      </c>
      <c r="C55" s="2">
        <v>40.5</v>
      </c>
      <c r="D55">
        <f t="shared" si="3"/>
        <v>700.5</v>
      </c>
      <c r="E55">
        <f t="shared" si="2"/>
        <v>1.3999999999999773</v>
      </c>
    </row>
    <row r="56" spans="1:5" x14ac:dyDescent="0.25">
      <c r="A56">
        <v>49</v>
      </c>
      <c r="B56">
        <v>11</v>
      </c>
      <c r="C56" s="2">
        <v>51.2</v>
      </c>
      <c r="D56">
        <f t="shared" si="3"/>
        <v>711.2</v>
      </c>
      <c r="E56">
        <f t="shared" si="2"/>
        <v>10.700000000000045</v>
      </c>
    </row>
    <row r="57" spans="1:5" x14ac:dyDescent="0.25">
      <c r="A57">
        <v>50</v>
      </c>
      <c r="B57">
        <v>12</v>
      </c>
      <c r="C57" s="2">
        <v>57.4</v>
      </c>
      <c r="D57">
        <f t="shared" si="3"/>
        <v>777.4</v>
      </c>
      <c r="E57">
        <f t="shared" si="2"/>
        <v>66.199999999999932</v>
      </c>
    </row>
    <row r="58" spans="1:5" x14ac:dyDescent="0.25">
      <c r="A58">
        <v>51</v>
      </c>
      <c r="B58">
        <v>12</v>
      </c>
      <c r="C58" s="2">
        <v>58.8</v>
      </c>
      <c r="D58">
        <f t="shared" si="3"/>
        <v>778.8</v>
      </c>
      <c r="E58">
        <f t="shared" si="2"/>
        <v>1.3999999999999773</v>
      </c>
    </row>
    <row r="59" spans="1:5" x14ac:dyDescent="0.25">
      <c r="A59">
        <v>52</v>
      </c>
      <c r="B59">
        <v>13</v>
      </c>
      <c r="C59" s="2">
        <v>29.1</v>
      </c>
      <c r="D59">
        <f t="shared" si="3"/>
        <v>809.1</v>
      </c>
      <c r="E59">
        <f t="shared" si="2"/>
        <v>30.300000000000068</v>
      </c>
    </row>
    <row r="60" spans="1:5" x14ac:dyDescent="0.25">
      <c r="A60">
        <v>53</v>
      </c>
      <c r="B60">
        <v>13</v>
      </c>
      <c r="C60" s="2">
        <v>38.200000000000003</v>
      </c>
      <c r="D60">
        <f t="shared" si="3"/>
        <v>818.2</v>
      </c>
      <c r="E60">
        <f t="shared" si="2"/>
        <v>9.1000000000000227</v>
      </c>
    </row>
    <row r="61" spans="1:5" x14ac:dyDescent="0.25">
      <c r="A61">
        <v>54</v>
      </c>
      <c r="B61">
        <v>13</v>
      </c>
      <c r="C61" s="2">
        <v>42.7</v>
      </c>
      <c r="D61">
        <f t="shared" si="3"/>
        <v>822.7</v>
      </c>
      <c r="E61">
        <f t="shared" si="2"/>
        <v>4.5</v>
      </c>
    </row>
    <row r="62" spans="1:5" x14ac:dyDescent="0.25">
      <c r="A62">
        <v>55</v>
      </c>
      <c r="B62">
        <v>13</v>
      </c>
      <c r="C62" s="2">
        <v>49.6</v>
      </c>
      <c r="D62">
        <f t="shared" si="3"/>
        <v>829.6</v>
      </c>
      <c r="E62">
        <f t="shared" si="2"/>
        <v>6.8999999999999773</v>
      </c>
    </row>
    <row r="63" spans="1:5" x14ac:dyDescent="0.25">
      <c r="A63">
        <v>56</v>
      </c>
      <c r="B63">
        <v>13</v>
      </c>
      <c r="C63" s="2">
        <v>52.5</v>
      </c>
      <c r="D63">
        <f t="shared" si="3"/>
        <v>832.5</v>
      </c>
      <c r="E63">
        <f t="shared" si="2"/>
        <v>2.8999999999999773</v>
      </c>
    </row>
    <row r="64" spans="1:5" x14ac:dyDescent="0.25">
      <c r="A64">
        <v>57</v>
      </c>
      <c r="B64">
        <v>13</v>
      </c>
      <c r="C64" s="2">
        <v>55.7</v>
      </c>
      <c r="D64">
        <f t="shared" si="3"/>
        <v>835.7</v>
      </c>
      <c r="E64">
        <f t="shared" si="2"/>
        <v>3.2000000000000455</v>
      </c>
    </row>
    <row r="65" spans="1:5" x14ac:dyDescent="0.25">
      <c r="A65">
        <v>58</v>
      </c>
      <c r="B65">
        <v>14</v>
      </c>
      <c r="C65" s="2">
        <v>4.2</v>
      </c>
      <c r="D65">
        <f t="shared" si="3"/>
        <v>844.2</v>
      </c>
      <c r="E65">
        <f t="shared" si="2"/>
        <v>8.5</v>
      </c>
    </row>
    <row r="66" spans="1:5" x14ac:dyDescent="0.25">
      <c r="A66">
        <v>59</v>
      </c>
      <c r="B66">
        <v>14</v>
      </c>
      <c r="C66" s="2">
        <v>7.7</v>
      </c>
      <c r="D66">
        <f t="shared" si="3"/>
        <v>847.7</v>
      </c>
      <c r="E66">
        <f t="shared" si="2"/>
        <v>3.5</v>
      </c>
    </row>
    <row r="67" spans="1:5" x14ac:dyDescent="0.25">
      <c r="A67">
        <v>60</v>
      </c>
      <c r="B67">
        <v>14</v>
      </c>
      <c r="C67" s="2">
        <v>40.6</v>
      </c>
      <c r="D67">
        <f t="shared" si="3"/>
        <v>880.6</v>
      </c>
      <c r="E67">
        <f t="shared" si="2"/>
        <v>32.899999999999977</v>
      </c>
    </row>
    <row r="68" spans="1:5" x14ac:dyDescent="0.25">
      <c r="A68">
        <v>61</v>
      </c>
      <c r="B68">
        <v>14</v>
      </c>
      <c r="C68" s="2">
        <v>43.4</v>
      </c>
      <c r="D68">
        <f t="shared" si="3"/>
        <v>883.4</v>
      </c>
      <c r="E68">
        <f t="shared" si="2"/>
        <v>2.7999999999999545</v>
      </c>
    </row>
    <row r="69" spans="1:5" x14ac:dyDescent="0.25">
      <c r="A69">
        <v>62</v>
      </c>
      <c r="B69">
        <v>14</v>
      </c>
      <c r="C69" s="2">
        <v>45.2</v>
      </c>
      <c r="D69">
        <f t="shared" si="3"/>
        <v>885.2</v>
      </c>
      <c r="E69">
        <f t="shared" si="2"/>
        <v>1.8000000000000682</v>
      </c>
    </row>
    <row r="70" spans="1:5" x14ac:dyDescent="0.25">
      <c r="A70">
        <v>63</v>
      </c>
      <c r="B70">
        <v>14</v>
      </c>
      <c r="C70" s="2">
        <v>50.7</v>
      </c>
      <c r="D70">
        <f t="shared" si="3"/>
        <v>890.7</v>
      </c>
      <c r="E70">
        <f t="shared" si="2"/>
        <v>5.5</v>
      </c>
    </row>
    <row r="71" spans="1:5" x14ac:dyDescent="0.25">
      <c r="A71">
        <v>64</v>
      </c>
      <c r="B71">
        <v>15</v>
      </c>
      <c r="C71" s="2">
        <v>4</v>
      </c>
      <c r="D71">
        <f t="shared" si="3"/>
        <v>904</v>
      </c>
      <c r="E71">
        <f t="shared" si="2"/>
        <v>13.299999999999955</v>
      </c>
    </row>
    <row r="72" spans="1:5" x14ac:dyDescent="0.25">
      <c r="A72">
        <v>65</v>
      </c>
      <c r="B72">
        <v>15</v>
      </c>
      <c r="C72" s="2">
        <v>15.6</v>
      </c>
      <c r="D72">
        <f t="shared" si="3"/>
        <v>915.6</v>
      </c>
      <c r="E72">
        <f t="shared" si="2"/>
        <v>11.600000000000023</v>
      </c>
    </row>
    <row r="73" spans="1:5" x14ac:dyDescent="0.25">
      <c r="A73">
        <v>66</v>
      </c>
      <c r="B73">
        <v>15</v>
      </c>
      <c r="C73" s="2">
        <v>17.2</v>
      </c>
      <c r="D73">
        <f t="shared" si="3"/>
        <v>917.2</v>
      </c>
      <c r="E73">
        <f t="shared" si="2"/>
        <v>1.6000000000000227</v>
      </c>
    </row>
    <row r="74" spans="1:5" x14ac:dyDescent="0.25">
      <c r="A74">
        <v>67</v>
      </c>
      <c r="B74">
        <v>15</v>
      </c>
      <c r="C74" s="2">
        <v>28.4</v>
      </c>
      <c r="D74">
        <f t="shared" si="3"/>
        <v>928.4</v>
      </c>
      <c r="E74">
        <f t="shared" ref="E74:E137" si="4">D74-D73</f>
        <v>11.199999999999932</v>
      </c>
    </row>
    <row r="75" spans="1:5" x14ac:dyDescent="0.25">
      <c r="A75">
        <v>68</v>
      </c>
      <c r="B75">
        <v>15</v>
      </c>
      <c r="C75" s="2">
        <v>45.6</v>
      </c>
      <c r="D75">
        <f t="shared" si="3"/>
        <v>945.6</v>
      </c>
      <c r="E75">
        <f t="shared" si="4"/>
        <v>17.200000000000045</v>
      </c>
    </row>
    <row r="76" spans="1:5" x14ac:dyDescent="0.25">
      <c r="A76">
        <v>69</v>
      </c>
      <c r="B76">
        <v>15</v>
      </c>
      <c r="C76" s="2">
        <v>47.1</v>
      </c>
      <c r="D76">
        <f t="shared" si="3"/>
        <v>947.1</v>
      </c>
      <c r="E76">
        <f t="shared" si="4"/>
        <v>1.5</v>
      </c>
    </row>
    <row r="77" spans="1:5" x14ac:dyDescent="0.25">
      <c r="A77">
        <v>70</v>
      </c>
      <c r="B77">
        <v>15</v>
      </c>
      <c r="C77" s="2">
        <v>52.3</v>
      </c>
      <c r="D77">
        <f t="shared" si="3"/>
        <v>952.3</v>
      </c>
      <c r="E77">
        <f t="shared" si="4"/>
        <v>5.1999999999999318</v>
      </c>
    </row>
    <row r="78" spans="1:5" x14ac:dyDescent="0.25">
      <c r="A78">
        <v>71</v>
      </c>
      <c r="B78">
        <v>15</v>
      </c>
      <c r="C78" s="2">
        <v>55.8</v>
      </c>
      <c r="D78">
        <f t="shared" ref="D78:D141" si="5">B78*60+C78</f>
        <v>955.8</v>
      </c>
      <c r="E78">
        <f t="shared" si="4"/>
        <v>3.5</v>
      </c>
    </row>
    <row r="79" spans="1:5" x14ac:dyDescent="0.25">
      <c r="A79">
        <v>72</v>
      </c>
      <c r="B79">
        <v>16</v>
      </c>
      <c r="C79" s="2">
        <v>10.6</v>
      </c>
      <c r="D79">
        <f t="shared" si="5"/>
        <v>970.6</v>
      </c>
      <c r="E79">
        <f t="shared" si="4"/>
        <v>14.800000000000068</v>
      </c>
    </row>
    <row r="80" spans="1:5" x14ac:dyDescent="0.25">
      <c r="A80">
        <v>73</v>
      </c>
      <c r="B80">
        <v>16</v>
      </c>
      <c r="C80" s="2">
        <v>12.8</v>
      </c>
      <c r="D80">
        <f t="shared" si="5"/>
        <v>972.8</v>
      </c>
      <c r="E80">
        <f t="shared" si="4"/>
        <v>2.1999999999999318</v>
      </c>
    </row>
    <row r="81" spans="1:5" x14ac:dyDescent="0.25">
      <c r="A81">
        <v>74</v>
      </c>
      <c r="B81">
        <v>16</v>
      </c>
      <c r="C81" s="2">
        <v>36.299999999999997</v>
      </c>
      <c r="D81">
        <f t="shared" si="5"/>
        <v>996.3</v>
      </c>
      <c r="E81">
        <f t="shared" si="4"/>
        <v>23.5</v>
      </c>
    </row>
    <row r="82" spans="1:5" x14ac:dyDescent="0.25">
      <c r="A82">
        <v>75</v>
      </c>
      <c r="B82">
        <v>18</v>
      </c>
      <c r="C82" s="2">
        <v>11.2</v>
      </c>
      <c r="D82">
        <f t="shared" si="5"/>
        <v>1091.2</v>
      </c>
      <c r="E82">
        <f t="shared" si="4"/>
        <v>94.900000000000091</v>
      </c>
    </row>
    <row r="83" spans="1:5" x14ac:dyDescent="0.25">
      <c r="A83">
        <v>76</v>
      </c>
      <c r="B83">
        <v>18</v>
      </c>
      <c r="C83" s="2">
        <v>16.2</v>
      </c>
      <c r="D83">
        <f t="shared" si="5"/>
        <v>1096.2</v>
      </c>
      <c r="E83">
        <f t="shared" si="4"/>
        <v>5</v>
      </c>
    </row>
    <row r="84" spans="1:5" x14ac:dyDescent="0.25">
      <c r="A84">
        <v>77</v>
      </c>
      <c r="B84">
        <v>18</v>
      </c>
      <c r="C84" s="2">
        <v>17.8</v>
      </c>
      <c r="D84">
        <f t="shared" si="5"/>
        <v>1097.8</v>
      </c>
      <c r="E84">
        <f t="shared" si="4"/>
        <v>1.5999999999999091</v>
      </c>
    </row>
    <row r="85" spans="1:5" x14ac:dyDescent="0.25">
      <c r="A85">
        <v>78</v>
      </c>
      <c r="B85">
        <v>18</v>
      </c>
      <c r="C85" s="2">
        <v>19.3</v>
      </c>
      <c r="D85">
        <f t="shared" si="5"/>
        <v>1099.3</v>
      </c>
      <c r="E85">
        <f t="shared" si="4"/>
        <v>1.5</v>
      </c>
    </row>
    <row r="86" spans="1:5" x14ac:dyDescent="0.25">
      <c r="A86">
        <v>79</v>
      </c>
      <c r="B86">
        <v>18</v>
      </c>
      <c r="C86" s="2">
        <v>22.9</v>
      </c>
      <c r="D86">
        <f t="shared" si="5"/>
        <v>1102.9000000000001</v>
      </c>
      <c r="E86">
        <f t="shared" si="4"/>
        <v>3.6000000000001364</v>
      </c>
    </row>
    <row r="87" spans="1:5" x14ac:dyDescent="0.25">
      <c r="A87">
        <v>80</v>
      </c>
      <c r="B87">
        <v>18</v>
      </c>
      <c r="C87" s="2">
        <v>26.4</v>
      </c>
      <c r="D87">
        <f t="shared" si="5"/>
        <v>1106.4000000000001</v>
      </c>
      <c r="E87">
        <f t="shared" si="4"/>
        <v>3.5</v>
      </c>
    </row>
    <row r="88" spans="1:5" x14ac:dyDescent="0.25">
      <c r="A88">
        <v>81</v>
      </c>
      <c r="B88">
        <v>18</v>
      </c>
      <c r="C88" s="2">
        <v>28.3</v>
      </c>
      <c r="D88">
        <f t="shared" si="5"/>
        <v>1108.3</v>
      </c>
      <c r="E88">
        <f t="shared" si="4"/>
        <v>1.8999999999998636</v>
      </c>
    </row>
    <row r="89" spans="1:5" x14ac:dyDescent="0.25">
      <c r="A89">
        <v>82</v>
      </c>
      <c r="B89">
        <v>18</v>
      </c>
      <c r="C89" s="2">
        <v>30.7</v>
      </c>
      <c r="D89">
        <f t="shared" si="5"/>
        <v>1110.7</v>
      </c>
      <c r="E89">
        <f t="shared" si="4"/>
        <v>2.4000000000000909</v>
      </c>
    </row>
    <row r="90" spans="1:5" x14ac:dyDescent="0.25">
      <c r="A90">
        <v>83</v>
      </c>
      <c r="B90">
        <v>18</v>
      </c>
      <c r="C90" s="2">
        <v>33.1</v>
      </c>
      <c r="D90">
        <f t="shared" si="5"/>
        <v>1113.0999999999999</v>
      </c>
      <c r="E90">
        <f t="shared" si="4"/>
        <v>2.3999999999998636</v>
      </c>
    </row>
    <row r="91" spans="1:5" x14ac:dyDescent="0.25">
      <c r="A91">
        <v>84</v>
      </c>
      <c r="B91">
        <v>18</v>
      </c>
      <c r="C91" s="2">
        <v>36.299999999999997</v>
      </c>
      <c r="D91">
        <f t="shared" si="5"/>
        <v>1116.3</v>
      </c>
      <c r="E91">
        <f t="shared" si="4"/>
        <v>3.2000000000000455</v>
      </c>
    </row>
    <row r="92" spans="1:5" x14ac:dyDescent="0.25">
      <c r="A92">
        <v>85</v>
      </c>
      <c r="B92">
        <v>18</v>
      </c>
      <c r="C92" s="2">
        <v>54.4</v>
      </c>
      <c r="D92">
        <f t="shared" si="5"/>
        <v>1134.4000000000001</v>
      </c>
      <c r="E92">
        <f t="shared" si="4"/>
        <v>18.100000000000136</v>
      </c>
    </row>
    <row r="93" spans="1:5" x14ac:dyDescent="0.25">
      <c r="A93">
        <v>86</v>
      </c>
      <c r="B93">
        <v>18</v>
      </c>
      <c r="C93" s="2">
        <v>55.1</v>
      </c>
      <c r="D93">
        <f t="shared" si="5"/>
        <v>1135.0999999999999</v>
      </c>
      <c r="E93">
        <f t="shared" si="4"/>
        <v>0.6999999999998181</v>
      </c>
    </row>
    <row r="94" spans="1:5" x14ac:dyDescent="0.25">
      <c r="A94">
        <v>87</v>
      </c>
      <c r="B94">
        <v>18</v>
      </c>
      <c r="C94" s="2">
        <v>57.6</v>
      </c>
      <c r="D94">
        <f t="shared" si="5"/>
        <v>1137.5999999999999</v>
      </c>
      <c r="E94">
        <f t="shared" si="4"/>
        <v>2.5</v>
      </c>
    </row>
    <row r="95" spans="1:5" x14ac:dyDescent="0.25">
      <c r="A95">
        <v>88</v>
      </c>
      <c r="B95">
        <v>19</v>
      </c>
      <c r="C95" s="2">
        <v>2.7</v>
      </c>
      <c r="D95">
        <f t="shared" si="5"/>
        <v>1142.7</v>
      </c>
      <c r="E95">
        <f t="shared" si="4"/>
        <v>5.1000000000001364</v>
      </c>
    </row>
    <row r="96" spans="1:5" x14ac:dyDescent="0.25">
      <c r="A96">
        <v>89</v>
      </c>
      <c r="B96">
        <v>19</v>
      </c>
      <c r="C96" s="2">
        <v>3.8</v>
      </c>
      <c r="D96">
        <f t="shared" si="5"/>
        <v>1143.8</v>
      </c>
      <c r="E96">
        <f t="shared" si="4"/>
        <v>1.0999999999999091</v>
      </c>
    </row>
    <row r="97" spans="1:5" x14ac:dyDescent="0.25">
      <c r="A97">
        <v>90</v>
      </c>
      <c r="B97">
        <v>19</v>
      </c>
      <c r="C97" s="2">
        <v>6.1</v>
      </c>
      <c r="D97">
        <f t="shared" si="5"/>
        <v>1146.0999999999999</v>
      </c>
      <c r="E97">
        <f t="shared" si="4"/>
        <v>2.2999999999999545</v>
      </c>
    </row>
    <row r="98" spans="1:5" x14ac:dyDescent="0.25">
      <c r="A98">
        <v>91</v>
      </c>
      <c r="B98">
        <v>19</v>
      </c>
      <c r="C98" s="2">
        <v>9.8000000000000007</v>
      </c>
      <c r="D98">
        <f t="shared" si="5"/>
        <v>1149.8</v>
      </c>
      <c r="E98">
        <f t="shared" si="4"/>
        <v>3.7000000000000455</v>
      </c>
    </row>
    <row r="99" spans="1:5" x14ac:dyDescent="0.25">
      <c r="A99">
        <v>92</v>
      </c>
      <c r="B99">
        <v>19</v>
      </c>
      <c r="C99" s="2">
        <v>21</v>
      </c>
      <c r="D99">
        <f t="shared" si="5"/>
        <v>1161</v>
      </c>
      <c r="E99">
        <f t="shared" si="4"/>
        <v>11.200000000000045</v>
      </c>
    </row>
    <row r="100" spans="1:5" x14ac:dyDescent="0.25">
      <c r="A100">
        <v>93</v>
      </c>
      <c r="B100">
        <v>19</v>
      </c>
      <c r="C100" s="2">
        <v>24.9</v>
      </c>
      <c r="D100">
        <f t="shared" si="5"/>
        <v>1164.9000000000001</v>
      </c>
      <c r="E100">
        <f t="shared" si="4"/>
        <v>3.9000000000000909</v>
      </c>
    </row>
    <row r="101" spans="1:5" x14ac:dyDescent="0.25">
      <c r="A101">
        <v>94</v>
      </c>
      <c r="B101">
        <v>19</v>
      </c>
      <c r="C101" s="2">
        <v>31.6</v>
      </c>
      <c r="D101">
        <f t="shared" si="5"/>
        <v>1171.5999999999999</v>
      </c>
      <c r="E101">
        <f t="shared" si="4"/>
        <v>6.6999999999998181</v>
      </c>
    </row>
    <row r="102" spans="1:5" x14ac:dyDescent="0.25">
      <c r="A102">
        <v>95</v>
      </c>
      <c r="B102">
        <v>19</v>
      </c>
      <c r="C102" s="2">
        <v>50.2</v>
      </c>
      <c r="D102">
        <f t="shared" si="5"/>
        <v>1190.2</v>
      </c>
      <c r="E102">
        <f t="shared" si="4"/>
        <v>18.600000000000136</v>
      </c>
    </row>
    <row r="103" spans="1:5" x14ac:dyDescent="0.25">
      <c r="A103">
        <v>96</v>
      </c>
      <c r="B103">
        <v>19</v>
      </c>
      <c r="C103" s="2">
        <v>51.2</v>
      </c>
      <c r="D103">
        <f t="shared" si="5"/>
        <v>1191.2</v>
      </c>
      <c r="E103">
        <f t="shared" si="4"/>
        <v>1</v>
      </c>
    </row>
    <row r="104" spans="1:5" x14ac:dyDescent="0.25">
      <c r="A104">
        <v>97</v>
      </c>
      <c r="B104">
        <v>19</v>
      </c>
      <c r="C104" s="2">
        <v>53.4</v>
      </c>
      <c r="D104">
        <f t="shared" si="5"/>
        <v>1193.4000000000001</v>
      </c>
      <c r="E104">
        <f t="shared" si="4"/>
        <v>2.2000000000000455</v>
      </c>
    </row>
    <row r="105" spans="1:5" x14ac:dyDescent="0.25">
      <c r="A105">
        <v>98</v>
      </c>
      <c r="B105">
        <v>20</v>
      </c>
      <c r="C105" s="2">
        <v>5</v>
      </c>
      <c r="D105">
        <f t="shared" si="5"/>
        <v>1205</v>
      </c>
      <c r="E105">
        <f t="shared" si="4"/>
        <v>11.599999999999909</v>
      </c>
    </row>
    <row r="106" spans="1:5" x14ac:dyDescent="0.25">
      <c r="A106">
        <v>99</v>
      </c>
      <c r="B106">
        <v>20</v>
      </c>
      <c r="C106" s="2">
        <v>6</v>
      </c>
      <c r="D106">
        <f t="shared" si="5"/>
        <v>1206</v>
      </c>
      <c r="E106">
        <f t="shared" si="4"/>
        <v>1</v>
      </c>
    </row>
    <row r="107" spans="1:5" x14ac:dyDescent="0.25">
      <c r="A107">
        <v>100</v>
      </c>
      <c r="B107">
        <v>20</v>
      </c>
      <c r="C107" s="2">
        <v>8.6</v>
      </c>
      <c r="D107">
        <f t="shared" si="5"/>
        <v>1208.5999999999999</v>
      </c>
      <c r="E107">
        <f t="shared" si="4"/>
        <v>2.5999999999999091</v>
      </c>
    </row>
    <row r="108" spans="1:5" x14ac:dyDescent="0.25">
      <c r="A108">
        <v>101</v>
      </c>
      <c r="B108">
        <v>20</v>
      </c>
      <c r="C108" s="2">
        <v>11.4</v>
      </c>
      <c r="D108">
        <f t="shared" si="5"/>
        <v>1211.4000000000001</v>
      </c>
      <c r="E108">
        <f t="shared" si="4"/>
        <v>2.8000000000001819</v>
      </c>
    </row>
    <row r="109" spans="1:5" x14ac:dyDescent="0.25">
      <c r="A109">
        <v>102</v>
      </c>
      <c r="B109">
        <v>20</v>
      </c>
      <c r="C109" s="2">
        <v>15.6</v>
      </c>
      <c r="D109">
        <f t="shared" si="5"/>
        <v>1215.5999999999999</v>
      </c>
      <c r="E109">
        <f t="shared" si="4"/>
        <v>4.1999999999998181</v>
      </c>
    </row>
    <row r="110" spans="1:5" x14ac:dyDescent="0.25">
      <c r="A110">
        <v>103</v>
      </c>
      <c r="B110">
        <v>21</v>
      </c>
      <c r="C110" s="2">
        <v>25.1</v>
      </c>
      <c r="D110">
        <f t="shared" si="5"/>
        <v>1285.0999999999999</v>
      </c>
      <c r="E110">
        <f t="shared" si="4"/>
        <v>69.5</v>
      </c>
    </row>
    <row r="111" spans="1:5" x14ac:dyDescent="0.25">
      <c r="A111">
        <v>104</v>
      </c>
      <c r="B111">
        <v>21</v>
      </c>
      <c r="C111" s="2">
        <v>26.6</v>
      </c>
      <c r="D111">
        <f t="shared" si="5"/>
        <v>1286.5999999999999</v>
      </c>
      <c r="E111">
        <f t="shared" si="4"/>
        <v>1.5</v>
      </c>
    </row>
    <row r="112" spans="1:5" x14ac:dyDescent="0.25">
      <c r="A112">
        <v>105</v>
      </c>
      <c r="B112">
        <v>21</v>
      </c>
      <c r="C112" s="2">
        <v>28.8</v>
      </c>
      <c r="D112">
        <f t="shared" si="5"/>
        <v>1288.8</v>
      </c>
      <c r="E112">
        <f t="shared" si="4"/>
        <v>2.2000000000000455</v>
      </c>
    </row>
    <row r="113" spans="1:5" x14ac:dyDescent="0.25">
      <c r="A113">
        <v>106</v>
      </c>
      <c r="B113">
        <v>22</v>
      </c>
      <c r="C113" s="2">
        <v>13.6</v>
      </c>
      <c r="D113">
        <f t="shared" si="5"/>
        <v>1333.6</v>
      </c>
      <c r="E113">
        <f t="shared" si="4"/>
        <v>44.799999999999955</v>
      </c>
    </row>
    <row r="114" spans="1:5" x14ac:dyDescent="0.25">
      <c r="A114">
        <v>107</v>
      </c>
      <c r="B114">
        <v>22</v>
      </c>
      <c r="C114" s="2">
        <v>16.100000000000001</v>
      </c>
      <c r="D114">
        <f t="shared" si="5"/>
        <v>1336.1</v>
      </c>
      <c r="E114">
        <f t="shared" si="4"/>
        <v>2.5</v>
      </c>
    </row>
    <row r="115" spans="1:5" x14ac:dyDescent="0.25">
      <c r="A115">
        <v>108</v>
      </c>
      <c r="B115">
        <v>22</v>
      </c>
      <c r="C115" s="2">
        <v>18.2</v>
      </c>
      <c r="D115">
        <f t="shared" si="5"/>
        <v>1338.2</v>
      </c>
      <c r="E115">
        <f t="shared" si="4"/>
        <v>2.1000000000001364</v>
      </c>
    </row>
    <row r="116" spans="1:5" x14ac:dyDescent="0.25">
      <c r="A116">
        <v>109</v>
      </c>
      <c r="B116">
        <v>22</v>
      </c>
      <c r="C116" s="2">
        <v>19.2</v>
      </c>
      <c r="D116">
        <f t="shared" si="5"/>
        <v>1339.2</v>
      </c>
      <c r="E116">
        <f t="shared" si="4"/>
        <v>1</v>
      </c>
    </row>
    <row r="117" spans="1:5" x14ac:dyDescent="0.25">
      <c r="A117">
        <v>110</v>
      </c>
      <c r="B117">
        <v>22</v>
      </c>
      <c r="C117" s="2">
        <v>21.2</v>
      </c>
      <c r="D117">
        <f t="shared" si="5"/>
        <v>1341.2</v>
      </c>
      <c r="E117">
        <f t="shared" si="4"/>
        <v>2</v>
      </c>
    </row>
    <row r="118" spans="1:5" x14ac:dyDescent="0.25">
      <c r="A118">
        <v>111</v>
      </c>
      <c r="B118">
        <v>22</v>
      </c>
      <c r="C118" s="2">
        <v>24.6</v>
      </c>
      <c r="D118">
        <f t="shared" si="5"/>
        <v>1344.6</v>
      </c>
      <c r="E118">
        <f t="shared" si="4"/>
        <v>3.3999999999998636</v>
      </c>
    </row>
    <row r="119" spans="1:5" x14ac:dyDescent="0.25">
      <c r="A119">
        <v>112</v>
      </c>
      <c r="B119">
        <v>22</v>
      </c>
      <c r="C119" s="2">
        <v>25.8</v>
      </c>
      <c r="D119">
        <f t="shared" si="5"/>
        <v>1345.8</v>
      </c>
      <c r="E119">
        <f t="shared" si="4"/>
        <v>1.2000000000000455</v>
      </c>
    </row>
    <row r="120" spans="1:5" x14ac:dyDescent="0.25">
      <c r="A120">
        <v>113</v>
      </c>
      <c r="B120">
        <v>22</v>
      </c>
      <c r="C120" s="2">
        <v>27.8</v>
      </c>
      <c r="D120">
        <f t="shared" si="5"/>
        <v>1347.8</v>
      </c>
      <c r="E120">
        <f t="shared" si="4"/>
        <v>2</v>
      </c>
    </row>
    <row r="121" spans="1:5" x14ac:dyDescent="0.25">
      <c r="A121">
        <v>114</v>
      </c>
      <c r="B121">
        <v>22</v>
      </c>
      <c r="C121" s="2">
        <v>28.9</v>
      </c>
      <c r="D121">
        <f t="shared" si="5"/>
        <v>1348.9</v>
      </c>
      <c r="E121">
        <f t="shared" si="4"/>
        <v>1.1000000000001364</v>
      </c>
    </row>
    <row r="122" spans="1:5" x14ac:dyDescent="0.25">
      <c r="A122">
        <v>115</v>
      </c>
      <c r="B122">
        <v>22</v>
      </c>
      <c r="C122" s="2">
        <v>44.4</v>
      </c>
      <c r="D122">
        <f t="shared" si="5"/>
        <v>1364.4</v>
      </c>
      <c r="E122">
        <f t="shared" si="4"/>
        <v>15.5</v>
      </c>
    </row>
    <row r="123" spans="1:5" x14ac:dyDescent="0.25">
      <c r="A123">
        <v>116</v>
      </c>
      <c r="B123">
        <v>22</v>
      </c>
      <c r="C123" s="2">
        <v>49.4</v>
      </c>
      <c r="D123">
        <f t="shared" si="5"/>
        <v>1369.4</v>
      </c>
      <c r="E123">
        <f t="shared" si="4"/>
        <v>5</v>
      </c>
    </row>
    <row r="124" spans="1:5" x14ac:dyDescent="0.25">
      <c r="A124">
        <v>117</v>
      </c>
      <c r="B124">
        <v>23</v>
      </c>
      <c r="C124" s="2">
        <v>40.299999999999997</v>
      </c>
      <c r="D124">
        <f t="shared" si="5"/>
        <v>1420.3</v>
      </c>
      <c r="E124">
        <f t="shared" si="4"/>
        <v>50.899999999999864</v>
      </c>
    </row>
    <row r="125" spans="1:5" x14ac:dyDescent="0.25">
      <c r="A125">
        <v>118</v>
      </c>
      <c r="B125">
        <v>23</v>
      </c>
      <c r="C125" s="2">
        <v>42.9</v>
      </c>
      <c r="D125">
        <f t="shared" si="5"/>
        <v>1422.9</v>
      </c>
      <c r="E125">
        <f t="shared" si="4"/>
        <v>2.6000000000001364</v>
      </c>
    </row>
    <row r="126" spans="1:5" x14ac:dyDescent="0.25">
      <c r="A126">
        <v>119</v>
      </c>
      <c r="B126">
        <v>23</v>
      </c>
      <c r="C126" s="2">
        <v>45.4</v>
      </c>
      <c r="D126">
        <f t="shared" si="5"/>
        <v>1425.4</v>
      </c>
      <c r="E126">
        <f t="shared" si="4"/>
        <v>2.5</v>
      </c>
    </row>
    <row r="127" spans="1:5" x14ac:dyDescent="0.25">
      <c r="A127">
        <v>120</v>
      </c>
      <c r="B127">
        <v>23</v>
      </c>
      <c r="C127" s="2">
        <v>49.3</v>
      </c>
      <c r="D127">
        <f t="shared" si="5"/>
        <v>1429.3</v>
      </c>
      <c r="E127">
        <f t="shared" si="4"/>
        <v>3.8999999999998636</v>
      </c>
    </row>
    <row r="128" spans="1:5" x14ac:dyDescent="0.25">
      <c r="A128">
        <v>121</v>
      </c>
      <c r="B128">
        <v>23</v>
      </c>
      <c r="C128" s="2">
        <v>51.6</v>
      </c>
      <c r="D128">
        <f t="shared" si="5"/>
        <v>1431.6</v>
      </c>
      <c r="E128">
        <f t="shared" si="4"/>
        <v>2.2999999999999545</v>
      </c>
    </row>
    <row r="129" spans="1:5" x14ac:dyDescent="0.25">
      <c r="A129">
        <v>122</v>
      </c>
      <c r="B129">
        <v>23</v>
      </c>
      <c r="C129" s="2">
        <v>59.9</v>
      </c>
      <c r="D129">
        <f t="shared" si="5"/>
        <v>1439.9</v>
      </c>
      <c r="E129">
        <f t="shared" si="4"/>
        <v>8.3000000000001819</v>
      </c>
    </row>
    <row r="130" spans="1:5" x14ac:dyDescent="0.25">
      <c r="A130">
        <v>123</v>
      </c>
      <c r="B130">
        <v>24</v>
      </c>
      <c r="C130" s="2">
        <v>8.4</v>
      </c>
      <c r="D130">
        <f t="shared" si="5"/>
        <v>1448.4</v>
      </c>
      <c r="E130">
        <f t="shared" si="4"/>
        <v>8.5</v>
      </c>
    </row>
    <row r="131" spans="1:5" x14ac:dyDescent="0.25">
      <c r="A131">
        <v>124</v>
      </c>
      <c r="B131">
        <v>24</v>
      </c>
      <c r="C131" s="2">
        <v>13.7</v>
      </c>
      <c r="D131">
        <f t="shared" si="5"/>
        <v>1453.7</v>
      </c>
      <c r="E131">
        <f t="shared" si="4"/>
        <v>5.2999999999999545</v>
      </c>
    </row>
    <row r="132" spans="1:5" x14ac:dyDescent="0.25">
      <c r="A132">
        <v>125</v>
      </c>
      <c r="B132">
        <v>25</v>
      </c>
      <c r="C132" s="2">
        <v>49.6</v>
      </c>
      <c r="D132">
        <f t="shared" si="5"/>
        <v>1549.6</v>
      </c>
      <c r="E132">
        <f t="shared" si="4"/>
        <v>95.899999999999864</v>
      </c>
    </row>
    <row r="133" spans="1:5" x14ac:dyDescent="0.25">
      <c r="A133">
        <v>126</v>
      </c>
      <c r="B133">
        <v>26</v>
      </c>
      <c r="C133" s="2">
        <v>2.2000000000000002</v>
      </c>
      <c r="D133">
        <f t="shared" si="5"/>
        <v>1562.2</v>
      </c>
      <c r="E133">
        <f t="shared" si="4"/>
        <v>12.600000000000136</v>
      </c>
    </row>
    <row r="134" spans="1:5" x14ac:dyDescent="0.25">
      <c r="A134">
        <v>127</v>
      </c>
      <c r="B134">
        <v>26</v>
      </c>
      <c r="C134" s="2">
        <v>4.4000000000000004</v>
      </c>
      <c r="D134">
        <f t="shared" si="5"/>
        <v>1564.4</v>
      </c>
      <c r="E134">
        <f t="shared" si="4"/>
        <v>2.2000000000000455</v>
      </c>
    </row>
    <row r="135" spans="1:5" x14ac:dyDescent="0.25">
      <c r="A135">
        <v>128</v>
      </c>
      <c r="B135">
        <v>26</v>
      </c>
      <c r="C135" s="2">
        <v>21.3</v>
      </c>
      <c r="D135">
        <f t="shared" si="5"/>
        <v>1581.3</v>
      </c>
      <c r="E135">
        <f t="shared" si="4"/>
        <v>16.899999999999864</v>
      </c>
    </row>
    <row r="136" spans="1:5" x14ac:dyDescent="0.25">
      <c r="A136">
        <v>129</v>
      </c>
      <c r="B136">
        <v>26</v>
      </c>
      <c r="C136" s="2">
        <v>59.7</v>
      </c>
      <c r="D136">
        <f t="shared" si="5"/>
        <v>1619.7</v>
      </c>
      <c r="E136">
        <f t="shared" si="4"/>
        <v>38.400000000000091</v>
      </c>
    </row>
    <row r="137" spans="1:5" x14ac:dyDescent="0.25">
      <c r="A137">
        <v>130</v>
      </c>
      <c r="B137">
        <v>27</v>
      </c>
      <c r="C137" s="2">
        <v>1.9</v>
      </c>
      <c r="D137">
        <f t="shared" si="5"/>
        <v>1621.9</v>
      </c>
      <c r="E137">
        <f t="shared" si="4"/>
        <v>2.2000000000000455</v>
      </c>
    </row>
    <row r="138" spans="1:5" x14ac:dyDescent="0.25">
      <c r="A138">
        <v>131</v>
      </c>
      <c r="B138">
        <v>27</v>
      </c>
      <c r="C138" s="2">
        <v>9.3000000000000007</v>
      </c>
      <c r="D138">
        <f t="shared" si="5"/>
        <v>1629.3</v>
      </c>
      <c r="E138">
        <f t="shared" ref="E138:E147" si="6">D138-D137</f>
        <v>7.3999999999998636</v>
      </c>
    </row>
    <row r="139" spans="1:5" x14ac:dyDescent="0.25">
      <c r="A139">
        <v>132</v>
      </c>
      <c r="B139">
        <v>27</v>
      </c>
      <c r="C139" s="2">
        <v>24.8</v>
      </c>
      <c r="D139">
        <f t="shared" si="5"/>
        <v>1644.8</v>
      </c>
      <c r="E139">
        <f t="shared" si="6"/>
        <v>15.5</v>
      </c>
    </row>
    <row r="140" spans="1:5" x14ac:dyDescent="0.25">
      <c r="A140">
        <v>133</v>
      </c>
      <c r="B140">
        <v>27</v>
      </c>
      <c r="C140" s="2">
        <v>33.4</v>
      </c>
      <c r="D140">
        <f t="shared" si="5"/>
        <v>1653.4</v>
      </c>
      <c r="E140">
        <f t="shared" si="6"/>
        <v>8.6000000000001364</v>
      </c>
    </row>
    <row r="141" spans="1:5" x14ac:dyDescent="0.25">
      <c r="A141">
        <v>134</v>
      </c>
      <c r="B141">
        <v>28</v>
      </c>
      <c r="C141" s="2">
        <v>37.299999999999997</v>
      </c>
      <c r="D141">
        <f t="shared" si="5"/>
        <v>1717.3</v>
      </c>
      <c r="E141">
        <f t="shared" si="6"/>
        <v>63.899999999999864</v>
      </c>
    </row>
    <row r="142" spans="1:5" x14ac:dyDescent="0.25">
      <c r="A142">
        <v>135</v>
      </c>
      <c r="B142">
        <v>28</v>
      </c>
      <c r="C142" s="2">
        <v>37.5</v>
      </c>
      <c r="D142">
        <f t="shared" ref="D142:D147" si="7">B142*60+C142</f>
        <v>1717.5</v>
      </c>
      <c r="E142">
        <f t="shared" si="6"/>
        <v>0.20000000000004547</v>
      </c>
    </row>
    <row r="143" spans="1:5" x14ac:dyDescent="0.25">
      <c r="A143">
        <v>136</v>
      </c>
      <c r="B143">
        <v>28</v>
      </c>
      <c r="C143" s="2">
        <v>43.1</v>
      </c>
      <c r="D143">
        <f t="shared" si="7"/>
        <v>1723.1</v>
      </c>
      <c r="E143">
        <f t="shared" si="6"/>
        <v>5.5999999999999091</v>
      </c>
    </row>
    <row r="144" spans="1:5" x14ac:dyDescent="0.25">
      <c r="A144">
        <v>137</v>
      </c>
      <c r="B144">
        <v>29</v>
      </c>
      <c r="C144" s="2">
        <v>18.3</v>
      </c>
      <c r="D144">
        <f t="shared" si="7"/>
        <v>1758.3</v>
      </c>
      <c r="E144">
        <f t="shared" si="6"/>
        <v>35.200000000000045</v>
      </c>
    </row>
    <row r="145" spans="1:5" x14ac:dyDescent="0.25">
      <c r="A145">
        <v>138</v>
      </c>
      <c r="B145">
        <v>29</v>
      </c>
      <c r="C145" s="2">
        <v>18.3</v>
      </c>
      <c r="D145">
        <f t="shared" si="7"/>
        <v>1758.3</v>
      </c>
      <c r="E145">
        <f t="shared" si="6"/>
        <v>0</v>
      </c>
    </row>
    <row r="146" spans="1:5" x14ac:dyDescent="0.25">
      <c r="A146">
        <v>139</v>
      </c>
      <c r="B146">
        <v>29</v>
      </c>
      <c r="C146" s="2">
        <v>36.5</v>
      </c>
      <c r="D146">
        <f t="shared" si="7"/>
        <v>1776.5</v>
      </c>
      <c r="E146">
        <f t="shared" si="6"/>
        <v>18.200000000000045</v>
      </c>
    </row>
    <row r="147" spans="1:5" x14ac:dyDescent="0.25">
      <c r="A147">
        <v>140</v>
      </c>
      <c r="B147">
        <v>29</v>
      </c>
      <c r="C147" s="2">
        <v>40.9</v>
      </c>
      <c r="D147">
        <f t="shared" si="7"/>
        <v>1780.9</v>
      </c>
      <c r="E147">
        <f t="shared" si="6"/>
        <v>4.4000000000000909</v>
      </c>
    </row>
  </sheetData>
  <mergeCells count="1">
    <mergeCell ref="B6:C6"/>
  </mergeCells>
  <printOptions gridLines="1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Data</vt:lpstr>
      <vt:lpstr>counts</vt:lpstr>
      <vt:lpstr>mean</vt:lpstr>
      <vt:lpstr>minutes</vt:lpstr>
    </vt:vector>
  </TitlesOfParts>
  <Company>University of Colorado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E. Clough</dc:creator>
  <cp:lastModifiedBy>Alberto Marini</cp:lastModifiedBy>
  <dcterms:created xsi:type="dcterms:W3CDTF">1998-08-24T02:47:32Z</dcterms:created>
  <dcterms:modified xsi:type="dcterms:W3CDTF">2025-01-28T13:00:06Z</dcterms:modified>
</cp:coreProperties>
</file>